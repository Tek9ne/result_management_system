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user\Desktop\2024  2025  1ST TERM RESULT TECH 1\ELECTRICAL TECH 1\"/>
    </mc:Choice>
  </mc:AlternateContent>
  <xr:revisionPtr revIDLastSave="0" documentId="13_ncr:1_{E9ECA4B5-F26B-4C7B-863B-F8F2EF64E10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ECH 1" sheetId="16" r:id="rId1"/>
    <sheet name="REPORT CARD" sheetId="17" r:id="rId2"/>
    <sheet name="Sheet1" sheetId="18" r:id="rId3"/>
  </sheets>
  <definedNames>
    <definedName name="_xlnm.Print_Area" localSheetId="1">'REPORT CARD'!$A$1:$AC$54</definedName>
    <definedName name="SN">'TECH 1'!$A$10:$A$109</definedName>
  </definedNames>
  <calcPr calcId="181029"/>
</workbook>
</file>

<file path=xl/calcChain.xml><?xml version="1.0" encoding="utf-8"?>
<calcChain xmlns="http://schemas.openxmlformats.org/spreadsheetml/2006/main">
  <c r="AB31" i="17" l="1"/>
  <c r="AB30" i="17"/>
  <c r="T30" i="17"/>
  <c r="B30" i="17"/>
  <c r="AB29" i="17"/>
  <c r="AB28" i="17"/>
  <c r="B28" i="17"/>
  <c r="AC27" i="17"/>
  <c r="AB27" i="17"/>
  <c r="AA27" i="17"/>
  <c r="Z27" i="17"/>
  <c r="Y27" i="17"/>
  <c r="X27" i="17"/>
  <c r="W27" i="17"/>
  <c r="V27" i="17"/>
  <c r="U27" i="17"/>
  <c r="T27" i="17"/>
  <c r="S27" i="17"/>
  <c r="AC26" i="17"/>
  <c r="AB26" i="17"/>
  <c r="AA26" i="17"/>
  <c r="Z26" i="17"/>
  <c r="Y26" i="17"/>
  <c r="X26" i="17"/>
  <c r="W26" i="17"/>
  <c r="V26" i="17"/>
  <c r="U26" i="17"/>
  <c r="T26" i="17"/>
  <c r="S26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M25" i="17"/>
  <c r="K25" i="17"/>
  <c r="J25" i="17"/>
  <c r="I25" i="17"/>
  <c r="H25" i="17"/>
  <c r="G25" i="17"/>
  <c r="F25" i="17"/>
  <c r="E25" i="17"/>
  <c r="D25" i="17"/>
  <c r="C25" i="17"/>
  <c r="B25" i="17"/>
  <c r="A25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M24" i="17"/>
  <c r="K24" i="17"/>
  <c r="J24" i="17"/>
  <c r="L24" i="17" s="1"/>
  <c r="N24" i="17" s="1"/>
  <c r="O24" i="17" s="1"/>
  <c r="I24" i="17"/>
  <c r="H24" i="17"/>
  <c r="G24" i="17"/>
  <c r="F24" i="17"/>
  <c r="E24" i="17"/>
  <c r="D24" i="17"/>
  <c r="C24" i="17"/>
  <c r="B24" i="17"/>
  <c r="A24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M23" i="17"/>
  <c r="K23" i="17"/>
  <c r="J23" i="17"/>
  <c r="I23" i="17"/>
  <c r="H23" i="17"/>
  <c r="G23" i="17"/>
  <c r="F23" i="17"/>
  <c r="E23" i="17"/>
  <c r="D23" i="17"/>
  <c r="C23" i="17"/>
  <c r="B23" i="17"/>
  <c r="A23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M22" i="17"/>
  <c r="K22" i="17"/>
  <c r="J22" i="17"/>
  <c r="I22" i="17"/>
  <c r="H22" i="17"/>
  <c r="G22" i="17"/>
  <c r="F22" i="17"/>
  <c r="E22" i="17"/>
  <c r="D22" i="17"/>
  <c r="C22" i="17"/>
  <c r="B22" i="17"/>
  <c r="A22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M21" i="17"/>
  <c r="K21" i="17"/>
  <c r="L21" i="17" s="1"/>
  <c r="N21" i="17" s="1"/>
  <c r="O21" i="17" s="1"/>
  <c r="J21" i="17"/>
  <c r="I21" i="17"/>
  <c r="H21" i="17"/>
  <c r="G21" i="17"/>
  <c r="F21" i="17"/>
  <c r="E21" i="17"/>
  <c r="D21" i="17"/>
  <c r="C21" i="17"/>
  <c r="B21" i="17"/>
  <c r="A21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M20" i="17"/>
  <c r="L20" i="17"/>
  <c r="N20" i="17" s="1"/>
  <c r="O20" i="17" s="1"/>
  <c r="K20" i="17"/>
  <c r="J20" i="17"/>
  <c r="I20" i="17"/>
  <c r="H20" i="17"/>
  <c r="G20" i="17"/>
  <c r="F20" i="17"/>
  <c r="E20" i="17"/>
  <c r="D20" i="17"/>
  <c r="C20" i="17"/>
  <c r="B20" i="17"/>
  <c r="A20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M19" i="17"/>
  <c r="K19" i="17"/>
  <c r="J19" i="17"/>
  <c r="I19" i="17"/>
  <c r="H19" i="17"/>
  <c r="G19" i="17"/>
  <c r="F19" i="17"/>
  <c r="E19" i="17"/>
  <c r="D19" i="17"/>
  <c r="C19" i="17"/>
  <c r="B19" i="17"/>
  <c r="A19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M18" i="17"/>
  <c r="K18" i="17"/>
  <c r="J18" i="17"/>
  <c r="L18" i="17" s="1"/>
  <c r="I18" i="17"/>
  <c r="H18" i="17"/>
  <c r="G18" i="17"/>
  <c r="F18" i="17"/>
  <c r="E18" i="17"/>
  <c r="D18" i="17"/>
  <c r="C18" i="17"/>
  <c r="B18" i="17"/>
  <c r="A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M17" i="17"/>
  <c r="K17" i="17"/>
  <c r="J17" i="17"/>
  <c r="I17" i="17"/>
  <c r="H17" i="17"/>
  <c r="G17" i="17"/>
  <c r="F17" i="17"/>
  <c r="E17" i="17"/>
  <c r="D17" i="17"/>
  <c r="C17" i="17"/>
  <c r="B17" i="17"/>
  <c r="A17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M16" i="17"/>
  <c r="K16" i="17"/>
  <c r="J16" i="17"/>
  <c r="L16" i="17" s="1"/>
  <c r="N16" i="17" s="1"/>
  <c r="O16" i="17" s="1"/>
  <c r="I16" i="17"/>
  <c r="H16" i="17"/>
  <c r="G16" i="17"/>
  <c r="F16" i="17"/>
  <c r="E16" i="17"/>
  <c r="D16" i="17"/>
  <c r="C16" i="17"/>
  <c r="B16" i="17"/>
  <c r="A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M15" i="17"/>
  <c r="K15" i="17"/>
  <c r="J15" i="17"/>
  <c r="L15" i="17" s="1"/>
  <c r="N15" i="17" s="1"/>
  <c r="O15" i="17" s="1"/>
  <c r="I15" i="17"/>
  <c r="H15" i="17"/>
  <c r="G15" i="17"/>
  <c r="F15" i="17"/>
  <c r="E15" i="17"/>
  <c r="D15" i="17"/>
  <c r="C15" i="17"/>
  <c r="B15" i="17"/>
  <c r="A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M14" i="17"/>
  <c r="K14" i="17"/>
  <c r="J14" i="17"/>
  <c r="L14" i="17" s="1"/>
  <c r="N14" i="17" s="1"/>
  <c r="O14" i="17" s="1"/>
  <c r="I14" i="17"/>
  <c r="H14" i="17"/>
  <c r="G14" i="17"/>
  <c r="F14" i="17"/>
  <c r="E14" i="17"/>
  <c r="D14" i="17"/>
  <c r="C14" i="17"/>
  <c r="B14" i="17"/>
  <c r="A14" i="17"/>
  <c r="T11" i="17"/>
  <c r="J11" i="17"/>
  <c r="B11" i="17"/>
  <c r="T10" i="17"/>
  <c r="J10" i="17"/>
  <c r="B10" i="17"/>
  <c r="Y9" i="17"/>
  <c r="T9" i="17"/>
  <c r="O9" i="17"/>
  <c r="J9" i="17"/>
  <c r="F9" i="17"/>
  <c r="B9" i="17"/>
  <c r="B8" i="17"/>
  <c r="S6" i="17"/>
  <c r="I6" i="17"/>
  <c r="OW110" i="16"/>
  <c r="OV110" i="16"/>
  <c r="OU110" i="16"/>
  <c r="OT110" i="16"/>
  <c r="OS110" i="16"/>
  <c r="OR110" i="16"/>
  <c r="OQ110" i="16"/>
  <c r="OP110" i="16"/>
  <c r="OO110" i="16"/>
  <c r="ON110" i="16"/>
  <c r="OK110" i="16"/>
  <c r="OJ110" i="16"/>
  <c r="OI110" i="16"/>
  <c r="OH110" i="16"/>
  <c r="OG110" i="16"/>
  <c r="OF110" i="16"/>
  <c r="OE110" i="16"/>
  <c r="OB110" i="16"/>
  <c r="OA110" i="16"/>
  <c r="NZ110" i="16"/>
  <c r="NY110" i="16"/>
  <c r="NX110" i="16"/>
  <c r="NW110" i="16"/>
  <c r="NV110" i="16"/>
  <c r="NS110" i="16"/>
  <c r="NR110" i="16"/>
  <c r="NQ110" i="16"/>
  <c r="NP110" i="16"/>
  <c r="NO110" i="16"/>
  <c r="NN110" i="16"/>
  <c r="NM110" i="16"/>
  <c r="NJ110" i="16"/>
  <c r="NI110" i="16"/>
  <c r="NH110" i="16"/>
  <c r="NG110" i="16"/>
  <c r="NF110" i="16"/>
  <c r="NE110" i="16"/>
  <c r="ND110" i="16"/>
  <c r="NA110" i="16"/>
  <c r="MZ110" i="16"/>
  <c r="MY110" i="16"/>
  <c r="MX110" i="16"/>
  <c r="MW110" i="16"/>
  <c r="MV110" i="16"/>
  <c r="MU110" i="16"/>
  <c r="MR110" i="16"/>
  <c r="MQ110" i="16"/>
  <c r="MP110" i="16"/>
  <c r="MO110" i="16"/>
  <c r="MN110" i="16"/>
  <c r="MM110" i="16"/>
  <c r="ML110" i="16"/>
  <c r="MI110" i="16"/>
  <c r="MH110" i="16"/>
  <c r="MG110" i="16"/>
  <c r="MF110" i="16"/>
  <c r="ME110" i="16"/>
  <c r="MD110" i="16"/>
  <c r="MC110" i="16"/>
  <c r="LZ110" i="16"/>
  <c r="LY110" i="16"/>
  <c r="LX110" i="16"/>
  <c r="LW110" i="16"/>
  <c r="LV110" i="16"/>
  <c r="LU110" i="16"/>
  <c r="LT110" i="16"/>
  <c r="LQ110" i="16"/>
  <c r="LP110" i="16"/>
  <c r="LO110" i="16"/>
  <c r="LN110" i="16"/>
  <c r="LM110" i="16"/>
  <c r="LL110" i="16"/>
  <c r="LK110" i="16"/>
  <c r="LH110" i="16"/>
  <c r="LG110" i="16"/>
  <c r="LF110" i="16"/>
  <c r="LE110" i="16"/>
  <c r="LD110" i="16"/>
  <c r="LC110" i="16"/>
  <c r="LB110" i="16"/>
  <c r="KY110" i="16"/>
  <c r="KX110" i="16"/>
  <c r="KW110" i="16"/>
  <c r="KV110" i="16"/>
  <c r="KU110" i="16"/>
  <c r="KT110" i="16"/>
  <c r="KS110" i="16"/>
  <c r="KP110" i="16"/>
  <c r="KO110" i="16"/>
  <c r="KN110" i="16"/>
  <c r="KM110" i="16"/>
  <c r="KL110" i="16"/>
  <c r="KK110" i="16"/>
  <c r="KJ110" i="16"/>
  <c r="KG110" i="16"/>
  <c r="KF110" i="16"/>
  <c r="KE110" i="16"/>
  <c r="KD110" i="16"/>
  <c r="KC110" i="16"/>
  <c r="KB110" i="16"/>
  <c r="KA110" i="16"/>
  <c r="JX110" i="16"/>
  <c r="JW110" i="16"/>
  <c r="JV110" i="16"/>
  <c r="JU110" i="16"/>
  <c r="JT110" i="16"/>
  <c r="JS110" i="16"/>
  <c r="JR110" i="16"/>
  <c r="JO110" i="16"/>
  <c r="JN110" i="16"/>
  <c r="JM110" i="16"/>
  <c r="JL110" i="16"/>
  <c r="JK110" i="16"/>
  <c r="JJ110" i="16"/>
  <c r="JI110" i="16"/>
  <c r="JF110" i="16"/>
  <c r="JE110" i="16"/>
  <c r="JD110" i="16"/>
  <c r="JC110" i="16"/>
  <c r="JB110" i="16"/>
  <c r="JA110" i="16"/>
  <c r="IZ110" i="16"/>
  <c r="IQ110" i="16"/>
  <c r="IP110" i="16"/>
  <c r="IO110" i="16"/>
  <c r="IN110" i="16"/>
  <c r="IM110" i="16"/>
  <c r="IL110" i="16"/>
  <c r="IK110" i="16"/>
  <c r="IJ110" i="16"/>
  <c r="II110" i="16"/>
  <c r="IF110" i="16"/>
  <c r="IE110" i="16"/>
  <c r="ID110" i="16"/>
  <c r="IC110" i="16"/>
  <c r="IB110" i="16"/>
  <c r="IA110" i="16"/>
  <c r="HX110" i="16"/>
  <c r="HW110" i="16"/>
  <c r="HV110" i="16"/>
  <c r="HU110" i="16"/>
  <c r="HT110" i="16"/>
  <c r="HS110" i="16"/>
  <c r="HP110" i="16"/>
  <c r="HO110" i="16"/>
  <c r="HN110" i="16"/>
  <c r="HM110" i="16"/>
  <c r="HL110" i="16"/>
  <c r="HK110" i="16"/>
  <c r="HH110" i="16"/>
  <c r="HG110" i="16"/>
  <c r="HF110" i="16"/>
  <c r="HE110" i="16"/>
  <c r="HD110" i="16"/>
  <c r="HC110" i="16"/>
  <c r="GZ110" i="16"/>
  <c r="GY110" i="16"/>
  <c r="GX110" i="16"/>
  <c r="GW110" i="16"/>
  <c r="GV110" i="16"/>
  <c r="GU110" i="16"/>
  <c r="GR110" i="16"/>
  <c r="GQ110" i="16"/>
  <c r="GP110" i="16"/>
  <c r="GO110" i="16"/>
  <c r="GN110" i="16"/>
  <c r="GM110" i="16"/>
  <c r="GJ110" i="16"/>
  <c r="GI110" i="16"/>
  <c r="GH110" i="16"/>
  <c r="GG110" i="16"/>
  <c r="GF110" i="16"/>
  <c r="GE110" i="16"/>
  <c r="GB110" i="16"/>
  <c r="GA110" i="16"/>
  <c r="FZ110" i="16"/>
  <c r="FY110" i="16"/>
  <c r="FX110" i="16"/>
  <c r="FW110" i="16"/>
  <c r="FT110" i="16"/>
  <c r="FS110" i="16"/>
  <c r="FR110" i="16"/>
  <c r="FQ110" i="16"/>
  <c r="FP110" i="16"/>
  <c r="FO110" i="16"/>
  <c r="FL110" i="16"/>
  <c r="FK110" i="16"/>
  <c r="FJ110" i="16"/>
  <c r="FI110" i="16"/>
  <c r="FH110" i="16"/>
  <c r="FG110" i="16"/>
  <c r="FD110" i="16"/>
  <c r="FC110" i="16"/>
  <c r="FB110" i="16"/>
  <c r="FA110" i="16"/>
  <c r="EZ110" i="16"/>
  <c r="EY110" i="16"/>
  <c r="EV110" i="16"/>
  <c r="EU110" i="16"/>
  <c r="ET110" i="16"/>
  <c r="ES110" i="16"/>
  <c r="ER110" i="16"/>
  <c r="EQ110" i="16"/>
  <c r="EN110" i="16"/>
  <c r="EM110" i="16"/>
  <c r="EL110" i="16"/>
  <c r="EK110" i="16"/>
  <c r="EJ110" i="16"/>
  <c r="EI110" i="16"/>
  <c r="EF110" i="16"/>
  <c r="EE110" i="16"/>
  <c r="ED110" i="16"/>
  <c r="EC110" i="16"/>
  <c r="EB110" i="16"/>
  <c r="EA110" i="16"/>
  <c r="DX110" i="16"/>
  <c r="DW110" i="16"/>
  <c r="DV110" i="16"/>
  <c r="DU110" i="16"/>
  <c r="DT110" i="16"/>
  <c r="DS110" i="16"/>
  <c r="DP110" i="16"/>
  <c r="DO110" i="16"/>
  <c r="DN110" i="16"/>
  <c r="DM110" i="16"/>
  <c r="DL110" i="16"/>
  <c r="DK110" i="16"/>
  <c r="DG110" i="16"/>
  <c r="DE110" i="16"/>
  <c r="DD110" i="16"/>
  <c r="DC110" i="16"/>
  <c r="DA110" i="16"/>
  <c r="CZ110" i="16"/>
  <c r="CY110" i="16"/>
  <c r="CX110" i="16"/>
  <c r="CU110" i="16"/>
  <c r="CT110" i="16"/>
  <c r="CS110" i="16"/>
  <c r="CR110" i="16"/>
  <c r="CO110" i="16"/>
  <c r="CN110" i="16"/>
  <c r="CM110" i="16"/>
  <c r="CL110" i="16"/>
  <c r="CI110" i="16"/>
  <c r="CH110" i="16"/>
  <c r="CG110" i="16"/>
  <c r="CF110" i="16"/>
  <c r="CC110" i="16"/>
  <c r="CB110" i="16"/>
  <c r="CA110" i="16"/>
  <c r="BZ110" i="16"/>
  <c r="BW110" i="16"/>
  <c r="BV110" i="16"/>
  <c r="BU110" i="16"/>
  <c r="BT110" i="16"/>
  <c r="BQ110" i="16"/>
  <c r="BP110" i="16"/>
  <c r="BO110" i="16"/>
  <c r="BN110" i="16"/>
  <c r="BK110" i="16"/>
  <c r="BJ110" i="16"/>
  <c r="BI110" i="16"/>
  <c r="BH110" i="16"/>
  <c r="BE110" i="16"/>
  <c r="BD110" i="16"/>
  <c r="BC110" i="16"/>
  <c r="BB110" i="16"/>
  <c r="AY110" i="16"/>
  <c r="AX110" i="16"/>
  <c r="AW110" i="16"/>
  <c r="AV110" i="16"/>
  <c r="AS110" i="16"/>
  <c r="AR110" i="16"/>
  <c r="AQ110" i="16"/>
  <c r="AP110" i="16"/>
  <c r="AM110" i="16"/>
  <c r="AL110" i="16"/>
  <c r="AK110" i="16"/>
  <c r="AJ110" i="16"/>
  <c r="AG110" i="16"/>
  <c r="AF110" i="16"/>
  <c r="AE110" i="16"/>
  <c r="AD110" i="16"/>
  <c r="AA110" i="16"/>
  <c r="Z110" i="16"/>
  <c r="Y110" i="16"/>
  <c r="X110" i="16"/>
  <c r="U110" i="16"/>
  <c r="T110" i="16"/>
  <c r="S110" i="16"/>
  <c r="R110" i="16"/>
  <c r="O110" i="16"/>
  <c r="N110" i="16"/>
  <c r="M110" i="16"/>
  <c r="L110" i="16"/>
  <c r="I110" i="16"/>
  <c r="H110" i="16"/>
  <c r="G110" i="16"/>
  <c r="F110" i="16"/>
  <c r="OW109" i="16"/>
  <c r="OV109" i="16"/>
  <c r="OU109" i="16"/>
  <c r="OT109" i="16"/>
  <c r="OS109" i="16"/>
  <c r="OR109" i="16"/>
  <c r="OQ109" i="16"/>
  <c r="OP109" i="16"/>
  <c r="OO109" i="16"/>
  <c r="ON109" i="16"/>
  <c r="OK109" i="16"/>
  <c r="OJ109" i="16"/>
  <c r="OI109" i="16"/>
  <c r="OH109" i="16"/>
  <c r="OG109" i="16"/>
  <c r="OF109" i="16"/>
  <c r="OE109" i="16"/>
  <c r="OB109" i="16"/>
  <c r="OA109" i="16"/>
  <c r="NZ109" i="16"/>
  <c r="NY109" i="16"/>
  <c r="NX109" i="16"/>
  <c r="NW109" i="16"/>
  <c r="NV109" i="16"/>
  <c r="NS109" i="16"/>
  <c r="NR109" i="16"/>
  <c r="NQ109" i="16"/>
  <c r="NP109" i="16"/>
  <c r="NO109" i="16"/>
  <c r="NN109" i="16"/>
  <c r="NM109" i="16"/>
  <c r="NJ109" i="16"/>
  <c r="NI109" i="16"/>
  <c r="NH109" i="16"/>
  <c r="NG109" i="16"/>
  <c r="NF109" i="16"/>
  <c r="NE109" i="16"/>
  <c r="ND109" i="16"/>
  <c r="NA109" i="16"/>
  <c r="MZ109" i="16"/>
  <c r="MY109" i="16"/>
  <c r="MX109" i="16"/>
  <c r="MW109" i="16"/>
  <c r="MV109" i="16"/>
  <c r="MU109" i="16"/>
  <c r="MR109" i="16"/>
  <c r="MQ109" i="16"/>
  <c r="MP109" i="16"/>
  <c r="MO109" i="16"/>
  <c r="MN109" i="16"/>
  <c r="MM109" i="16"/>
  <c r="ML109" i="16"/>
  <c r="MI109" i="16"/>
  <c r="MH109" i="16"/>
  <c r="MG109" i="16"/>
  <c r="MF109" i="16"/>
  <c r="ME109" i="16"/>
  <c r="MD109" i="16"/>
  <c r="MC109" i="16"/>
  <c r="LZ109" i="16"/>
  <c r="LY109" i="16"/>
  <c r="LX109" i="16"/>
  <c r="LW109" i="16"/>
  <c r="LV109" i="16"/>
  <c r="LU109" i="16"/>
  <c r="LT109" i="16"/>
  <c r="LQ109" i="16"/>
  <c r="LP109" i="16"/>
  <c r="LO109" i="16"/>
  <c r="LN109" i="16"/>
  <c r="LM109" i="16"/>
  <c r="LL109" i="16"/>
  <c r="LK109" i="16"/>
  <c r="LH109" i="16"/>
  <c r="LG109" i="16"/>
  <c r="LF109" i="16"/>
  <c r="LE109" i="16"/>
  <c r="LD109" i="16"/>
  <c r="LC109" i="16"/>
  <c r="LB109" i="16"/>
  <c r="KY109" i="16"/>
  <c r="KX109" i="16"/>
  <c r="KW109" i="16"/>
  <c r="KV109" i="16"/>
  <c r="KU109" i="16"/>
  <c r="KT109" i="16"/>
  <c r="KS109" i="16"/>
  <c r="KP109" i="16"/>
  <c r="KO109" i="16"/>
  <c r="KN109" i="16"/>
  <c r="KM109" i="16"/>
  <c r="KL109" i="16"/>
  <c r="KK109" i="16"/>
  <c r="KJ109" i="16"/>
  <c r="KG109" i="16"/>
  <c r="KF109" i="16"/>
  <c r="KE109" i="16"/>
  <c r="KD109" i="16"/>
  <c r="KC109" i="16"/>
  <c r="KB109" i="16"/>
  <c r="KA109" i="16"/>
  <c r="JX109" i="16"/>
  <c r="JW109" i="16"/>
  <c r="JV109" i="16"/>
  <c r="JU109" i="16"/>
  <c r="JT109" i="16"/>
  <c r="JS109" i="16"/>
  <c r="JR109" i="16"/>
  <c r="JO109" i="16"/>
  <c r="JN109" i="16"/>
  <c r="JM109" i="16"/>
  <c r="JL109" i="16"/>
  <c r="JK109" i="16"/>
  <c r="JJ109" i="16"/>
  <c r="JI109" i="16"/>
  <c r="JF109" i="16"/>
  <c r="JE109" i="16"/>
  <c r="JD109" i="16"/>
  <c r="JC109" i="16"/>
  <c r="JB109" i="16"/>
  <c r="JA109" i="16"/>
  <c r="IZ109" i="16"/>
  <c r="IQ109" i="16"/>
  <c r="IP109" i="16"/>
  <c r="IO109" i="16"/>
  <c r="IN109" i="16"/>
  <c r="IM109" i="16"/>
  <c r="IL109" i="16"/>
  <c r="IK109" i="16"/>
  <c r="IJ109" i="16"/>
  <c r="II109" i="16"/>
  <c r="IF109" i="16"/>
  <c r="IE109" i="16"/>
  <c r="ID109" i="16"/>
  <c r="IC109" i="16"/>
  <c r="IB109" i="16"/>
  <c r="IA109" i="16"/>
  <c r="HX109" i="16"/>
  <c r="HW109" i="16"/>
  <c r="HV109" i="16"/>
  <c r="HU109" i="16"/>
  <c r="HT109" i="16"/>
  <c r="HS109" i="16"/>
  <c r="HP109" i="16"/>
  <c r="HO109" i="16"/>
  <c r="HN109" i="16"/>
  <c r="HM109" i="16"/>
  <c r="HL109" i="16"/>
  <c r="HK109" i="16"/>
  <c r="HH109" i="16"/>
  <c r="HG109" i="16"/>
  <c r="HF109" i="16"/>
  <c r="HE109" i="16"/>
  <c r="HD109" i="16"/>
  <c r="HC109" i="16"/>
  <c r="GZ109" i="16"/>
  <c r="GY109" i="16"/>
  <c r="GX109" i="16"/>
  <c r="GW109" i="16"/>
  <c r="GV109" i="16"/>
  <c r="GU109" i="16"/>
  <c r="GR109" i="16"/>
  <c r="GQ109" i="16"/>
  <c r="GP109" i="16"/>
  <c r="GO109" i="16"/>
  <c r="GN109" i="16"/>
  <c r="GM109" i="16"/>
  <c r="GJ109" i="16"/>
  <c r="GI109" i="16"/>
  <c r="GH109" i="16"/>
  <c r="GG109" i="16"/>
  <c r="GF109" i="16"/>
  <c r="GE109" i="16"/>
  <c r="GB109" i="16"/>
  <c r="GA109" i="16"/>
  <c r="FZ109" i="16"/>
  <c r="FY109" i="16"/>
  <c r="FX109" i="16"/>
  <c r="FW109" i="16"/>
  <c r="FT109" i="16"/>
  <c r="FS109" i="16"/>
  <c r="FR109" i="16"/>
  <c r="FQ109" i="16"/>
  <c r="FP109" i="16"/>
  <c r="FO109" i="16"/>
  <c r="FL109" i="16"/>
  <c r="FK109" i="16"/>
  <c r="FJ109" i="16"/>
  <c r="FI109" i="16"/>
  <c r="FH109" i="16"/>
  <c r="FG109" i="16"/>
  <c r="FD109" i="16"/>
  <c r="FC109" i="16"/>
  <c r="FB109" i="16"/>
  <c r="FA109" i="16"/>
  <c r="EZ109" i="16"/>
  <c r="EY109" i="16"/>
  <c r="EV109" i="16"/>
  <c r="EU109" i="16"/>
  <c r="ET109" i="16"/>
  <c r="ES109" i="16"/>
  <c r="ER109" i="16"/>
  <c r="EQ109" i="16"/>
  <c r="EN109" i="16"/>
  <c r="EM109" i="16"/>
  <c r="EL109" i="16"/>
  <c r="EK109" i="16"/>
  <c r="EJ109" i="16"/>
  <c r="EI109" i="16"/>
  <c r="EF109" i="16"/>
  <c r="EE109" i="16"/>
  <c r="ED109" i="16"/>
  <c r="EC109" i="16"/>
  <c r="EB109" i="16"/>
  <c r="EA109" i="16"/>
  <c r="DX109" i="16"/>
  <c r="DW109" i="16"/>
  <c r="DV109" i="16"/>
  <c r="DU109" i="16"/>
  <c r="DT109" i="16"/>
  <c r="DS109" i="16"/>
  <c r="DP109" i="16"/>
  <c r="DO109" i="16"/>
  <c r="DN109" i="16"/>
  <c r="DM109" i="16"/>
  <c r="DL109" i="16"/>
  <c r="DK109" i="16"/>
  <c r="DG109" i="16"/>
  <c r="DE109" i="16"/>
  <c r="DD109" i="16"/>
  <c r="DC109" i="16"/>
  <c r="DA109" i="16"/>
  <c r="CZ109" i="16"/>
  <c r="CY109" i="16"/>
  <c r="CX109" i="16"/>
  <c r="CU109" i="16"/>
  <c r="CT109" i="16"/>
  <c r="CS109" i="16"/>
  <c r="CR109" i="16"/>
  <c r="CO109" i="16"/>
  <c r="CN109" i="16"/>
  <c r="CM109" i="16"/>
  <c r="CL109" i="16"/>
  <c r="CI109" i="16"/>
  <c r="CH109" i="16"/>
  <c r="CG109" i="16"/>
  <c r="CF109" i="16"/>
  <c r="CC109" i="16"/>
  <c r="CB109" i="16"/>
  <c r="CA109" i="16"/>
  <c r="BZ109" i="16"/>
  <c r="BW109" i="16"/>
  <c r="BV109" i="16"/>
  <c r="BU109" i="16"/>
  <c r="BT109" i="16"/>
  <c r="BQ109" i="16"/>
  <c r="BP109" i="16"/>
  <c r="BO109" i="16"/>
  <c r="BN109" i="16"/>
  <c r="BK109" i="16"/>
  <c r="BJ109" i="16"/>
  <c r="BI109" i="16"/>
  <c r="BH109" i="16"/>
  <c r="BE109" i="16"/>
  <c r="BD109" i="16"/>
  <c r="BC109" i="16"/>
  <c r="BB109" i="16"/>
  <c r="AY109" i="16"/>
  <c r="AX109" i="16"/>
  <c r="AW109" i="16"/>
  <c r="AV109" i="16"/>
  <c r="AS109" i="16"/>
  <c r="AR109" i="16"/>
  <c r="AQ109" i="16"/>
  <c r="AP109" i="16"/>
  <c r="AM109" i="16"/>
  <c r="AL109" i="16"/>
  <c r="AK109" i="16"/>
  <c r="AJ109" i="16"/>
  <c r="AG109" i="16"/>
  <c r="AF109" i="16"/>
  <c r="AE109" i="16"/>
  <c r="AD109" i="16"/>
  <c r="AA109" i="16"/>
  <c r="Z109" i="16"/>
  <c r="Y109" i="16"/>
  <c r="X109" i="16"/>
  <c r="U109" i="16"/>
  <c r="T109" i="16"/>
  <c r="S109" i="16"/>
  <c r="R109" i="16"/>
  <c r="O109" i="16"/>
  <c r="N109" i="16"/>
  <c r="M109" i="16"/>
  <c r="L109" i="16"/>
  <c r="I109" i="16"/>
  <c r="H109" i="16"/>
  <c r="G109" i="16"/>
  <c r="F109" i="16"/>
  <c r="OW108" i="16"/>
  <c r="OV108" i="16"/>
  <c r="OU108" i="16"/>
  <c r="OT108" i="16"/>
  <c r="OS108" i="16"/>
  <c r="OR108" i="16"/>
  <c r="OQ108" i="16"/>
  <c r="OP108" i="16"/>
  <c r="OO108" i="16"/>
  <c r="ON108" i="16"/>
  <c r="OK108" i="16"/>
  <c r="OJ108" i="16"/>
  <c r="OI108" i="16"/>
  <c r="OH108" i="16"/>
  <c r="OG108" i="16"/>
  <c r="OF108" i="16"/>
  <c r="OE108" i="16"/>
  <c r="OB108" i="16"/>
  <c r="OA108" i="16"/>
  <c r="NZ108" i="16"/>
  <c r="NY108" i="16"/>
  <c r="NX108" i="16"/>
  <c r="NW108" i="16"/>
  <c r="NV108" i="16"/>
  <c r="NS108" i="16"/>
  <c r="NR108" i="16"/>
  <c r="NQ108" i="16"/>
  <c r="NP108" i="16"/>
  <c r="NO108" i="16"/>
  <c r="NN108" i="16"/>
  <c r="NM108" i="16"/>
  <c r="NJ108" i="16"/>
  <c r="NI108" i="16"/>
  <c r="NH108" i="16"/>
  <c r="NG108" i="16"/>
  <c r="NF108" i="16"/>
  <c r="NE108" i="16"/>
  <c r="ND108" i="16"/>
  <c r="NA108" i="16"/>
  <c r="MZ108" i="16"/>
  <c r="MY108" i="16"/>
  <c r="MX108" i="16"/>
  <c r="MW108" i="16"/>
  <c r="MV108" i="16"/>
  <c r="MU108" i="16"/>
  <c r="MR108" i="16"/>
  <c r="MQ108" i="16"/>
  <c r="MP108" i="16"/>
  <c r="MO108" i="16"/>
  <c r="MN108" i="16"/>
  <c r="MM108" i="16"/>
  <c r="ML108" i="16"/>
  <c r="MI108" i="16"/>
  <c r="MH108" i="16"/>
  <c r="MG108" i="16"/>
  <c r="MF108" i="16"/>
  <c r="ME108" i="16"/>
  <c r="MD108" i="16"/>
  <c r="MC108" i="16"/>
  <c r="LZ108" i="16"/>
  <c r="LY108" i="16"/>
  <c r="LX108" i="16"/>
  <c r="LW108" i="16"/>
  <c r="LV108" i="16"/>
  <c r="LU108" i="16"/>
  <c r="LT108" i="16"/>
  <c r="LQ108" i="16"/>
  <c r="LP108" i="16"/>
  <c r="LO108" i="16"/>
  <c r="LN108" i="16"/>
  <c r="LM108" i="16"/>
  <c r="LL108" i="16"/>
  <c r="LK108" i="16"/>
  <c r="LH108" i="16"/>
  <c r="LG108" i="16"/>
  <c r="LF108" i="16"/>
  <c r="LE108" i="16"/>
  <c r="LD108" i="16"/>
  <c r="LC108" i="16"/>
  <c r="LB108" i="16"/>
  <c r="KY108" i="16"/>
  <c r="KX108" i="16"/>
  <c r="KW108" i="16"/>
  <c r="KV108" i="16"/>
  <c r="KU108" i="16"/>
  <c r="KT108" i="16"/>
  <c r="KS108" i="16"/>
  <c r="KP108" i="16"/>
  <c r="KO108" i="16"/>
  <c r="KN108" i="16"/>
  <c r="KM108" i="16"/>
  <c r="KL108" i="16"/>
  <c r="KK108" i="16"/>
  <c r="KJ108" i="16"/>
  <c r="KG108" i="16"/>
  <c r="KF108" i="16"/>
  <c r="KE108" i="16"/>
  <c r="KD108" i="16"/>
  <c r="KC108" i="16"/>
  <c r="KB108" i="16"/>
  <c r="KA108" i="16"/>
  <c r="JX108" i="16"/>
  <c r="JW108" i="16"/>
  <c r="JV108" i="16"/>
  <c r="JU108" i="16"/>
  <c r="JT108" i="16"/>
  <c r="JS108" i="16"/>
  <c r="JR108" i="16"/>
  <c r="JO108" i="16"/>
  <c r="JN108" i="16"/>
  <c r="JM108" i="16"/>
  <c r="JL108" i="16"/>
  <c r="JK108" i="16"/>
  <c r="JJ108" i="16"/>
  <c r="JI108" i="16"/>
  <c r="JF108" i="16"/>
  <c r="JE108" i="16"/>
  <c r="JD108" i="16"/>
  <c r="JC108" i="16"/>
  <c r="JB108" i="16"/>
  <c r="JA108" i="16"/>
  <c r="IZ108" i="16"/>
  <c r="IQ108" i="16"/>
  <c r="IP108" i="16"/>
  <c r="IO108" i="16"/>
  <c r="IN108" i="16"/>
  <c r="IM108" i="16"/>
  <c r="IL108" i="16"/>
  <c r="IK108" i="16"/>
  <c r="IJ108" i="16"/>
  <c r="II108" i="16"/>
  <c r="IF108" i="16"/>
  <c r="IE108" i="16"/>
  <c r="ID108" i="16"/>
  <c r="IC108" i="16"/>
  <c r="IB108" i="16"/>
  <c r="IA108" i="16"/>
  <c r="HX108" i="16"/>
  <c r="HW108" i="16"/>
  <c r="HV108" i="16"/>
  <c r="HU108" i="16"/>
  <c r="HT108" i="16"/>
  <c r="HS108" i="16"/>
  <c r="HP108" i="16"/>
  <c r="HO108" i="16"/>
  <c r="HN108" i="16"/>
  <c r="HM108" i="16"/>
  <c r="HL108" i="16"/>
  <c r="HK108" i="16"/>
  <c r="HH108" i="16"/>
  <c r="HG108" i="16"/>
  <c r="HF108" i="16"/>
  <c r="HE108" i="16"/>
  <c r="HD108" i="16"/>
  <c r="HC108" i="16"/>
  <c r="GZ108" i="16"/>
  <c r="GY108" i="16"/>
  <c r="GX108" i="16"/>
  <c r="GW108" i="16"/>
  <c r="GV108" i="16"/>
  <c r="GU108" i="16"/>
  <c r="GR108" i="16"/>
  <c r="GQ108" i="16"/>
  <c r="GP108" i="16"/>
  <c r="GO108" i="16"/>
  <c r="GN108" i="16"/>
  <c r="GM108" i="16"/>
  <c r="GJ108" i="16"/>
  <c r="GI108" i="16"/>
  <c r="GH108" i="16"/>
  <c r="GG108" i="16"/>
  <c r="GF108" i="16"/>
  <c r="GE108" i="16"/>
  <c r="GB108" i="16"/>
  <c r="GA108" i="16"/>
  <c r="FZ108" i="16"/>
  <c r="FY108" i="16"/>
  <c r="FX108" i="16"/>
  <c r="FW108" i="16"/>
  <c r="FT108" i="16"/>
  <c r="FS108" i="16"/>
  <c r="FR108" i="16"/>
  <c r="FQ108" i="16"/>
  <c r="FP108" i="16"/>
  <c r="FO108" i="16"/>
  <c r="FL108" i="16"/>
  <c r="FK108" i="16"/>
  <c r="FJ108" i="16"/>
  <c r="FI108" i="16"/>
  <c r="FH108" i="16"/>
  <c r="FG108" i="16"/>
  <c r="FD108" i="16"/>
  <c r="FC108" i="16"/>
  <c r="FB108" i="16"/>
  <c r="FA108" i="16"/>
  <c r="EZ108" i="16"/>
  <c r="EY108" i="16"/>
  <c r="EV108" i="16"/>
  <c r="EU108" i="16"/>
  <c r="ET108" i="16"/>
  <c r="ES108" i="16"/>
  <c r="ER108" i="16"/>
  <c r="EQ108" i="16"/>
  <c r="EN108" i="16"/>
  <c r="EM108" i="16"/>
  <c r="EL108" i="16"/>
  <c r="EK108" i="16"/>
  <c r="EJ108" i="16"/>
  <c r="EI108" i="16"/>
  <c r="EF108" i="16"/>
  <c r="EE108" i="16"/>
  <c r="ED108" i="16"/>
  <c r="EC108" i="16"/>
  <c r="EB108" i="16"/>
  <c r="EA108" i="16"/>
  <c r="DX108" i="16"/>
  <c r="DW108" i="16"/>
  <c r="DV108" i="16"/>
  <c r="DU108" i="16"/>
  <c r="DT108" i="16"/>
  <c r="DS108" i="16"/>
  <c r="DP108" i="16"/>
  <c r="DO108" i="16"/>
  <c r="DN108" i="16"/>
  <c r="DM108" i="16"/>
  <c r="DL108" i="16"/>
  <c r="DK108" i="16"/>
  <c r="DG108" i="16"/>
  <c r="DE108" i="16"/>
  <c r="DD108" i="16"/>
  <c r="DC108" i="16"/>
  <c r="DA108" i="16"/>
  <c r="CZ108" i="16"/>
  <c r="CY108" i="16"/>
  <c r="CX108" i="16"/>
  <c r="CU108" i="16"/>
  <c r="CT108" i="16"/>
  <c r="CS108" i="16"/>
  <c r="CR108" i="16"/>
  <c r="CO108" i="16"/>
  <c r="CN108" i="16"/>
  <c r="CM108" i="16"/>
  <c r="CL108" i="16"/>
  <c r="CI108" i="16"/>
  <c r="CH108" i="16"/>
  <c r="CG108" i="16"/>
  <c r="CF108" i="16"/>
  <c r="CC108" i="16"/>
  <c r="CB108" i="16"/>
  <c r="CA108" i="16"/>
  <c r="BZ108" i="16"/>
  <c r="BW108" i="16"/>
  <c r="BV108" i="16"/>
  <c r="BU108" i="16"/>
  <c r="BT108" i="16"/>
  <c r="BQ108" i="16"/>
  <c r="BP108" i="16"/>
  <c r="BO108" i="16"/>
  <c r="BN108" i="16"/>
  <c r="BK108" i="16"/>
  <c r="BJ108" i="16"/>
  <c r="BI108" i="16"/>
  <c r="BH108" i="16"/>
  <c r="BE108" i="16"/>
  <c r="BD108" i="16"/>
  <c r="BC108" i="16"/>
  <c r="BB108" i="16"/>
  <c r="AY108" i="16"/>
  <c r="AX108" i="16"/>
  <c r="AW108" i="16"/>
  <c r="AV108" i="16"/>
  <c r="AS108" i="16"/>
  <c r="AR108" i="16"/>
  <c r="AQ108" i="16"/>
  <c r="AP108" i="16"/>
  <c r="AM108" i="16"/>
  <c r="AL108" i="16"/>
  <c r="AK108" i="16"/>
  <c r="AJ108" i="16"/>
  <c r="AG108" i="16"/>
  <c r="AF108" i="16"/>
  <c r="AE108" i="16"/>
  <c r="AD108" i="16"/>
  <c r="AA108" i="16"/>
  <c r="Z108" i="16"/>
  <c r="Y108" i="16"/>
  <c r="X108" i="16"/>
  <c r="U108" i="16"/>
  <c r="T108" i="16"/>
  <c r="S108" i="16"/>
  <c r="R108" i="16"/>
  <c r="O108" i="16"/>
  <c r="N108" i="16"/>
  <c r="M108" i="16"/>
  <c r="L108" i="16"/>
  <c r="I108" i="16"/>
  <c r="H108" i="16"/>
  <c r="G108" i="16"/>
  <c r="F108" i="16"/>
  <c r="OW107" i="16"/>
  <c r="OV107" i="16"/>
  <c r="OU107" i="16"/>
  <c r="OT107" i="16"/>
  <c r="OS107" i="16"/>
  <c r="OR107" i="16"/>
  <c r="OQ107" i="16"/>
  <c r="OP107" i="16"/>
  <c r="OO107" i="16"/>
  <c r="ON107" i="16"/>
  <c r="OK107" i="16"/>
  <c r="OJ107" i="16"/>
  <c r="OI107" i="16"/>
  <c r="OH107" i="16"/>
  <c r="OG107" i="16"/>
  <c r="OF107" i="16"/>
  <c r="OE107" i="16"/>
  <c r="OB107" i="16"/>
  <c r="OA107" i="16"/>
  <c r="NZ107" i="16"/>
  <c r="NY107" i="16"/>
  <c r="NX107" i="16"/>
  <c r="NW107" i="16"/>
  <c r="NV107" i="16"/>
  <c r="NS107" i="16"/>
  <c r="NR107" i="16"/>
  <c r="NQ107" i="16"/>
  <c r="NP107" i="16"/>
  <c r="NO107" i="16"/>
  <c r="NN107" i="16"/>
  <c r="NM107" i="16"/>
  <c r="NJ107" i="16"/>
  <c r="NI107" i="16"/>
  <c r="NH107" i="16"/>
  <c r="NG107" i="16"/>
  <c r="NF107" i="16"/>
  <c r="NE107" i="16"/>
  <c r="ND107" i="16"/>
  <c r="NA107" i="16"/>
  <c r="MZ107" i="16"/>
  <c r="MY107" i="16"/>
  <c r="MX107" i="16"/>
  <c r="MW107" i="16"/>
  <c r="MV107" i="16"/>
  <c r="MU107" i="16"/>
  <c r="MR107" i="16"/>
  <c r="MQ107" i="16"/>
  <c r="MP107" i="16"/>
  <c r="MO107" i="16"/>
  <c r="MN107" i="16"/>
  <c r="MM107" i="16"/>
  <c r="ML107" i="16"/>
  <c r="MI107" i="16"/>
  <c r="MH107" i="16"/>
  <c r="MG107" i="16"/>
  <c r="MF107" i="16"/>
  <c r="ME107" i="16"/>
  <c r="MD107" i="16"/>
  <c r="MC107" i="16"/>
  <c r="LZ107" i="16"/>
  <c r="LY107" i="16"/>
  <c r="LX107" i="16"/>
  <c r="LW107" i="16"/>
  <c r="LV107" i="16"/>
  <c r="LU107" i="16"/>
  <c r="LT107" i="16"/>
  <c r="LQ107" i="16"/>
  <c r="LP107" i="16"/>
  <c r="LO107" i="16"/>
  <c r="LN107" i="16"/>
  <c r="LM107" i="16"/>
  <c r="LL107" i="16"/>
  <c r="LK107" i="16"/>
  <c r="LH107" i="16"/>
  <c r="LG107" i="16"/>
  <c r="LF107" i="16"/>
  <c r="LE107" i="16"/>
  <c r="LD107" i="16"/>
  <c r="LC107" i="16"/>
  <c r="LB107" i="16"/>
  <c r="KY107" i="16"/>
  <c r="KX107" i="16"/>
  <c r="KW107" i="16"/>
  <c r="KV107" i="16"/>
  <c r="KU107" i="16"/>
  <c r="KT107" i="16"/>
  <c r="KS107" i="16"/>
  <c r="KP107" i="16"/>
  <c r="KO107" i="16"/>
  <c r="KN107" i="16"/>
  <c r="KM107" i="16"/>
  <c r="KL107" i="16"/>
  <c r="KK107" i="16"/>
  <c r="KJ107" i="16"/>
  <c r="KG107" i="16"/>
  <c r="KF107" i="16"/>
  <c r="KE107" i="16"/>
  <c r="KD107" i="16"/>
  <c r="KC107" i="16"/>
  <c r="KB107" i="16"/>
  <c r="KA107" i="16"/>
  <c r="JX107" i="16"/>
  <c r="JW107" i="16"/>
  <c r="JV107" i="16"/>
  <c r="JU107" i="16"/>
  <c r="JT107" i="16"/>
  <c r="JS107" i="16"/>
  <c r="JR107" i="16"/>
  <c r="JO107" i="16"/>
  <c r="JN107" i="16"/>
  <c r="JM107" i="16"/>
  <c r="JL107" i="16"/>
  <c r="JK107" i="16"/>
  <c r="JJ107" i="16"/>
  <c r="JI107" i="16"/>
  <c r="JF107" i="16"/>
  <c r="JE107" i="16"/>
  <c r="JD107" i="16"/>
  <c r="JC107" i="16"/>
  <c r="JB107" i="16"/>
  <c r="JA107" i="16"/>
  <c r="IZ107" i="16"/>
  <c r="IQ107" i="16"/>
  <c r="IP107" i="16"/>
  <c r="IO107" i="16"/>
  <c r="IN107" i="16"/>
  <c r="IM107" i="16"/>
  <c r="IL107" i="16"/>
  <c r="IK107" i="16"/>
  <c r="IJ107" i="16"/>
  <c r="II107" i="16"/>
  <c r="IF107" i="16"/>
  <c r="IE107" i="16"/>
  <c r="ID107" i="16"/>
  <c r="IC107" i="16"/>
  <c r="IB107" i="16"/>
  <c r="IA107" i="16"/>
  <c r="HX107" i="16"/>
  <c r="HW107" i="16"/>
  <c r="HV107" i="16"/>
  <c r="HU107" i="16"/>
  <c r="HT107" i="16"/>
  <c r="HS107" i="16"/>
  <c r="HP107" i="16"/>
  <c r="HO107" i="16"/>
  <c r="HN107" i="16"/>
  <c r="HM107" i="16"/>
  <c r="HL107" i="16"/>
  <c r="HK107" i="16"/>
  <c r="HH107" i="16"/>
  <c r="HG107" i="16"/>
  <c r="HF107" i="16"/>
  <c r="HE107" i="16"/>
  <c r="HD107" i="16"/>
  <c r="HC107" i="16"/>
  <c r="GZ107" i="16"/>
  <c r="GY107" i="16"/>
  <c r="GX107" i="16"/>
  <c r="GW107" i="16"/>
  <c r="GV107" i="16"/>
  <c r="GU107" i="16"/>
  <c r="GR107" i="16"/>
  <c r="GQ107" i="16"/>
  <c r="GP107" i="16"/>
  <c r="GO107" i="16"/>
  <c r="GN107" i="16"/>
  <c r="GM107" i="16"/>
  <c r="GJ107" i="16"/>
  <c r="GI107" i="16"/>
  <c r="GH107" i="16"/>
  <c r="GG107" i="16"/>
  <c r="GF107" i="16"/>
  <c r="GE107" i="16"/>
  <c r="GB107" i="16"/>
  <c r="GA107" i="16"/>
  <c r="FZ107" i="16"/>
  <c r="FY107" i="16"/>
  <c r="FX107" i="16"/>
  <c r="FW107" i="16"/>
  <c r="FT107" i="16"/>
  <c r="FS107" i="16"/>
  <c r="FR107" i="16"/>
  <c r="FQ107" i="16"/>
  <c r="FP107" i="16"/>
  <c r="FO107" i="16"/>
  <c r="FL107" i="16"/>
  <c r="FK107" i="16"/>
  <c r="FJ107" i="16"/>
  <c r="FI107" i="16"/>
  <c r="FH107" i="16"/>
  <c r="FG107" i="16"/>
  <c r="FD107" i="16"/>
  <c r="FC107" i="16"/>
  <c r="FB107" i="16"/>
  <c r="FA107" i="16"/>
  <c r="EZ107" i="16"/>
  <c r="EY107" i="16"/>
  <c r="EV107" i="16"/>
  <c r="EU107" i="16"/>
  <c r="ET107" i="16"/>
  <c r="ES107" i="16"/>
  <c r="ER107" i="16"/>
  <c r="EQ107" i="16"/>
  <c r="EN107" i="16"/>
  <c r="EM107" i="16"/>
  <c r="EL107" i="16"/>
  <c r="EK107" i="16"/>
  <c r="EJ107" i="16"/>
  <c r="EI107" i="16"/>
  <c r="EF107" i="16"/>
  <c r="EE107" i="16"/>
  <c r="ED107" i="16"/>
  <c r="EC107" i="16"/>
  <c r="EB107" i="16"/>
  <c r="EA107" i="16"/>
  <c r="DX107" i="16"/>
  <c r="DW107" i="16"/>
  <c r="DV107" i="16"/>
  <c r="DU107" i="16"/>
  <c r="DT107" i="16"/>
  <c r="DS107" i="16"/>
  <c r="DP107" i="16"/>
  <c r="DO107" i="16"/>
  <c r="DN107" i="16"/>
  <c r="DM107" i="16"/>
  <c r="DL107" i="16"/>
  <c r="DK107" i="16"/>
  <c r="DG107" i="16"/>
  <c r="DE107" i="16"/>
  <c r="DD107" i="16"/>
  <c r="DC107" i="16"/>
  <c r="DA107" i="16"/>
  <c r="CZ107" i="16"/>
  <c r="CY107" i="16"/>
  <c r="CX107" i="16"/>
  <c r="CU107" i="16"/>
  <c r="CT107" i="16"/>
  <c r="CS107" i="16"/>
  <c r="CR107" i="16"/>
  <c r="CO107" i="16"/>
  <c r="CN107" i="16"/>
  <c r="CM107" i="16"/>
  <c r="CL107" i="16"/>
  <c r="CI107" i="16"/>
  <c r="CH107" i="16"/>
  <c r="CG107" i="16"/>
  <c r="CF107" i="16"/>
  <c r="CC107" i="16"/>
  <c r="CB107" i="16"/>
  <c r="CA107" i="16"/>
  <c r="BZ107" i="16"/>
  <c r="BW107" i="16"/>
  <c r="BV107" i="16"/>
  <c r="BU107" i="16"/>
  <c r="BT107" i="16"/>
  <c r="BQ107" i="16"/>
  <c r="BP107" i="16"/>
  <c r="BO107" i="16"/>
  <c r="BN107" i="16"/>
  <c r="BK107" i="16"/>
  <c r="BJ107" i="16"/>
  <c r="BI107" i="16"/>
  <c r="BH107" i="16"/>
  <c r="BE107" i="16"/>
  <c r="BD107" i="16"/>
  <c r="BC107" i="16"/>
  <c r="BB107" i="16"/>
  <c r="AY107" i="16"/>
  <c r="AX107" i="16"/>
  <c r="AW107" i="16"/>
  <c r="AV107" i="16"/>
  <c r="AS107" i="16"/>
  <c r="AR107" i="16"/>
  <c r="AQ107" i="16"/>
  <c r="AP107" i="16"/>
  <c r="AM107" i="16"/>
  <c r="AL107" i="16"/>
  <c r="AK107" i="16"/>
  <c r="AJ107" i="16"/>
  <c r="AG107" i="16"/>
  <c r="AF107" i="16"/>
  <c r="AE107" i="16"/>
  <c r="AD107" i="16"/>
  <c r="AA107" i="16"/>
  <c r="Z107" i="16"/>
  <c r="Y107" i="16"/>
  <c r="X107" i="16"/>
  <c r="U107" i="16"/>
  <c r="T107" i="16"/>
  <c r="S107" i="16"/>
  <c r="R107" i="16"/>
  <c r="O107" i="16"/>
  <c r="N107" i="16"/>
  <c r="M107" i="16"/>
  <c r="L107" i="16"/>
  <c r="I107" i="16"/>
  <c r="H107" i="16"/>
  <c r="G107" i="16"/>
  <c r="F107" i="16"/>
  <c r="OW106" i="16"/>
  <c r="OV106" i="16"/>
  <c r="OU106" i="16"/>
  <c r="OT106" i="16"/>
  <c r="OS106" i="16"/>
  <c r="OR106" i="16"/>
  <c r="OQ106" i="16"/>
  <c r="OP106" i="16"/>
  <c r="OO106" i="16"/>
  <c r="ON106" i="16"/>
  <c r="OK106" i="16"/>
  <c r="OJ106" i="16"/>
  <c r="OI106" i="16"/>
  <c r="OH106" i="16"/>
  <c r="OG106" i="16"/>
  <c r="OF106" i="16"/>
  <c r="OE106" i="16"/>
  <c r="OB106" i="16"/>
  <c r="OA106" i="16"/>
  <c r="NZ106" i="16"/>
  <c r="NY106" i="16"/>
  <c r="NX106" i="16"/>
  <c r="NW106" i="16"/>
  <c r="NV106" i="16"/>
  <c r="NS106" i="16"/>
  <c r="NR106" i="16"/>
  <c r="NQ106" i="16"/>
  <c r="NP106" i="16"/>
  <c r="NO106" i="16"/>
  <c r="NN106" i="16"/>
  <c r="NM106" i="16"/>
  <c r="NJ106" i="16"/>
  <c r="NI106" i="16"/>
  <c r="NH106" i="16"/>
  <c r="NG106" i="16"/>
  <c r="NF106" i="16"/>
  <c r="NE106" i="16"/>
  <c r="ND106" i="16"/>
  <c r="NA106" i="16"/>
  <c r="MZ106" i="16"/>
  <c r="MY106" i="16"/>
  <c r="MX106" i="16"/>
  <c r="MW106" i="16"/>
  <c r="MV106" i="16"/>
  <c r="MU106" i="16"/>
  <c r="MR106" i="16"/>
  <c r="MQ106" i="16"/>
  <c r="MP106" i="16"/>
  <c r="MO106" i="16"/>
  <c r="MN106" i="16"/>
  <c r="MM106" i="16"/>
  <c r="ML106" i="16"/>
  <c r="MI106" i="16"/>
  <c r="MH106" i="16"/>
  <c r="MG106" i="16"/>
  <c r="MF106" i="16"/>
  <c r="ME106" i="16"/>
  <c r="MD106" i="16"/>
  <c r="MC106" i="16"/>
  <c r="LZ106" i="16"/>
  <c r="LY106" i="16"/>
  <c r="LX106" i="16"/>
  <c r="LW106" i="16"/>
  <c r="LV106" i="16"/>
  <c r="LU106" i="16"/>
  <c r="LT106" i="16"/>
  <c r="LQ106" i="16"/>
  <c r="LP106" i="16"/>
  <c r="LO106" i="16"/>
  <c r="LN106" i="16"/>
  <c r="LM106" i="16"/>
  <c r="LL106" i="16"/>
  <c r="LK106" i="16"/>
  <c r="LH106" i="16"/>
  <c r="LG106" i="16"/>
  <c r="LF106" i="16"/>
  <c r="LE106" i="16"/>
  <c r="LD106" i="16"/>
  <c r="LC106" i="16"/>
  <c r="LB106" i="16"/>
  <c r="KY106" i="16"/>
  <c r="KX106" i="16"/>
  <c r="KW106" i="16"/>
  <c r="KV106" i="16"/>
  <c r="KU106" i="16"/>
  <c r="KT106" i="16"/>
  <c r="KS106" i="16"/>
  <c r="KP106" i="16"/>
  <c r="KO106" i="16"/>
  <c r="KN106" i="16"/>
  <c r="KM106" i="16"/>
  <c r="KL106" i="16"/>
  <c r="KK106" i="16"/>
  <c r="KJ106" i="16"/>
  <c r="KG106" i="16"/>
  <c r="KF106" i="16"/>
  <c r="KE106" i="16"/>
  <c r="KD106" i="16"/>
  <c r="KC106" i="16"/>
  <c r="KB106" i="16"/>
  <c r="KA106" i="16"/>
  <c r="JX106" i="16"/>
  <c r="JW106" i="16"/>
  <c r="JV106" i="16"/>
  <c r="JU106" i="16"/>
  <c r="JT106" i="16"/>
  <c r="JS106" i="16"/>
  <c r="JR106" i="16"/>
  <c r="JO106" i="16"/>
  <c r="JN106" i="16"/>
  <c r="JM106" i="16"/>
  <c r="JL106" i="16"/>
  <c r="JK106" i="16"/>
  <c r="JJ106" i="16"/>
  <c r="JI106" i="16"/>
  <c r="JF106" i="16"/>
  <c r="JE106" i="16"/>
  <c r="JD106" i="16"/>
  <c r="JC106" i="16"/>
  <c r="JB106" i="16"/>
  <c r="JA106" i="16"/>
  <c r="IZ106" i="16"/>
  <c r="IQ106" i="16"/>
  <c r="IP106" i="16"/>
  <c r="IO106" i="16"/>
  <c r="IN106" i="16"/>
  <c r="IM106" i="16"/>
  <c r="IL106" i="16"/>
  <c r="IK106" i="16"/>
  <c r="IJ106" i="16"/>
  <c r="II106" i="16"/>
  <c r="IF106" i="16"/>
  <c r="IE106" i="16"/>
  <c r="ID106" i="16"/>
  <c r="IC106" i="16"/>
  <c r="IB106" i="16"/>
  <c r="IA106" i="16"/>
  <c r="HX106" i="16"/>
  <c r="HW106" i="16"/>
  <c r="HV106" i="16"/>
  <c r="HU106" i="16"/>
  <c r="HT106" i="16"/>
  <c r="HS106" i="16"/>
  <c r="HP106" i="16"/>
  <c r="HO106" i="16"/>
  <c r="HN106" i="16"/>
  <c r="HM106" i="16"/>
  <c r="HL106" i="16"/>
  <c r="HK106" i="16"/>
  <c r="HH106" i="16"/>
  <c r="HG106" i="16"/>
  <c r="HF106" i="16"/>
  <c r="HE106" i="16"/>
  <c r="HD106" i="16"/>
  <c r="HC106" i="16"/>
  <c r="GZ106" i="16"/>
  <c r="GY106" i="16"/>
  <c r="GX106" i="16"/>
  <c r="GW106" i="16"/>
  <c r="GV106" i="16"/>
  <c r="GU106" i="16"/>
  <c r="GR106" i="16"/>
  <c r="GQ106" i="16"/>
  <c r="GP106" i="16"/>
  <c r="GO106" i="16"/>
  <c r="GN106" i="16"/>
  <c r="GM106" i="16"/>
  <c r="GJ106" i="16"/>
  <c r="GI106" i="16"/>
  <c r="GH106" i="16"/>
  <c r="GG106" i="16"/>
  <c r="GF106" i="16"/>
  <c r="GE106" i="16"/>
  <c r="GB106" i="16"/>
  <c r="GA106" i="16"/>
  <c r="FZ106" i="16"/>
  <c r="FY106" i="16"/>
  <c r="FX106" i="16"/>
  <c r="FW106" i="16"/>
  <c r="FT106" i="16"/>
  <c r="FS106" i="16"/>
  <c r="FR106" i="16"/>
  <c r="FQ106" i="16"/>
  <c r="FP106" i="16"/>
  <c r="FO106" i="16"/>
  <c r="FL106" i="16"/>
  <c r="FK106" i="16"/>
  <c r="FJ106" i="16"/>
  <c r="FI106" i="16"/>
  <c r="FH106" i="16"/>
  <c r="FG106" i="16"/>
  <c r="FD106" i="16"/>
  <c r="FC106" i="16"/>
  <c r="FB106" i="16"/>
  <c r="FA106" i="16"/>
  <c r="EZ106" i="16"/>
  <c r="EY106" i="16"/>
  <c r="EV106" i="16"/>
  <c r="EU106" i="16"/>
  <c r="ET106" i="16"/>
  <c r="ES106" i="16"/>
  <c r="ER106" i="16"/>
  <c r="EQ106" i="16"/>
  <c r="EN106" i="16"/>
  <c r="EM106" i="16"/>
  <c r="EL106" i="16"/>
  <c r="EK106" i="16"/>
  <c r="EJ106" i="16"/>
  <c r="EI106" i="16"/>
  <c r="EF106" i="16"/>
  <c r="EE106" i="16"/>
  <c r="ED106" i="16"/>
  <c r="EC106" i="16"/>
  <c r="EB106" i="16"/>
  <c r="EA106" i="16"/>
  <c r="DX106" i="16"/>
  <c r="DW106" i="16"/>
  <c r="DV106" i="16"/>
  <c r="DU106" i="16"/>
  <c r="DT106" i="16"/>
  <c r="DS106" i="16"/>
  <c r="DP106" i="16"/>
  <c r="DO106" i="16"/>
  <c r="DN106" i="16"/>
  <c r="DM106" i="16"/>
  <c r="DL106" i="16"/>
  <c r="DK106" i="16"/>
  <c r="DG106" i="16"/>
  <c r="DE106" i="16"/>
  <c r="DD106" i="16"/>
  <c r="DC106" i="16"/>
  <c r="DA106" i="16"/>
  <c r="CZ106" i="16"/>
  <c r="CY106" i="16"/>
  <c r="CX106" i="16"/>
  <c r="CU106" i="16"/>
  <c r="CT106" i="16"/>
  <c r="CS106" i="16"/>
  <c r="CR106" i="16"/>
  <c r="CO106" i="16"/>
  <c r="CN106" i="16"/>
  <c r="CM106" i="16"/>
  <c r="CL106" i="16"/>
  <c r="CI106" i="16"/>
  <c r="CH106" i="16"/>
  <c r="CG106" i="16"/>
  <c r="CF106" i="16"/>
  <c r="CC106" i="16"/>
  <c r="CB106" i="16"/>
  <c r="CA106" i="16"/>
  <c r="BZ106" i="16"/>
  <c r="BW106" i="16"/>
  <c r="BV106" i="16"/>
  <c r="BU106" i="16"/>
  <c r="BT106" i="16"/>
  <c r="BQ106" i="16"/>
  <c r="BP106" i="16"/>
  <c r="BO106" i="16"/>
  <c r="BN106" i="16"/>
  <c r="BK106" i="16"/>
  <c r="BJ106" i="16"/>
  <c r="BI106" i="16"/>
  <c r="BH106" i="16"/>
  <c r="BE106" i="16"/>
  <c r="BD106" i="16"/>
  <c r="BC106" i="16"/>
  <c r="BB106" i="16"/>
  <c r="AY106" i="16"/>
  <c r="AX106" i="16"/>
  <c r="AW106" i="16"/>
  <c r="AV106" i="16"/>
  <c r="AS106" i="16"/>
  <c r="AR106" i="16"/>
  <c r="AQ106" i="16"/>
  <c r="AP106" i="16"/>
  <c r="AM106" i="16"/>
  <c r="AL106" i="16"/>
  <c r="AK106" i="16"/>
  <c r="AJ106" i="16"/>
  <c r="AG106" i="16"/>
  <c r="AF106" i="16"/>
  <c r="AE106" i="16"/>
  <c r="AD106" i="16"/>
  <c r="AA106" i="16"/>
  <c r="Z106" i="16"/>
  <c r="Y106" i="16"/>
  <c r="X106" i="16"/>
  <c r="U106" i="16"/>
  <c r="T106" i="16"/>
  <c r="S106" i="16"/>
  <c r="R106" i="16"/>
  <c r="O106" i="16"/>
  <c r="N106" i="16"/>
  <c r="M106" i="16"/>
  <c r="L106" i="16"/>
  <c r="I106" i="16"/>
  <c r="H106" i="16"/>
  <c r="G106" i="16"/>
  <c r="F106" i="16"/>
  <c r="OW105" i="16"/>
  <c r="OV105" i="16"/>
  <c r="OU105" i="16"/>
  <c r="OT105" i="16"/>
  <c r="OS105" i="16"/>
  <c r="OR105" i="16"/>
  <c r="OQ105" i="16"/>
  <c r="OP105" i="16"/>
  <c r="OO105" i="16"/>
  <c r="ON105" i="16"/>
  <c r="OK105" i="16"/>
  <c r="OJ105" i="16"/>
  <c r="OI105" i="16"/>
  <c r="OH105" i="16"/>
  <c r="OG105" i="16"/>
  <c r="OF105" i="16"/>
  <c r="OE105" i="16"/>
  <c r="OB105" i="16"/>
  <c r="OA105" i="16"/>
  <c r="NZ105" i="16"/>
  <c r="NY105" i="16"/>
  <c r="NX105" i="16"/>
  <c r="NW105" i="16"/>
  <c r="NV105" i="16"/>
  <c r="NS105" i="16"/>
  <c r="NR105" i="16"/>
  <c r="NQ105" i="16"/>
  <c r="NP105" i="16"/>
  <c r="NO105" i="16"/>
  <c r="NN105" i="16"/>
  <c r="NM105" i="16"/>
  <c r="NJ105" i="16"/>
  <c r="NI105" i="16"/>
  <c r="NH105" i="16"/>
  <c r="NG105" i="16"/>
  <c r="NF105" i="16"/>
  <c r="NE105" i="16"/>
  <c r="ND105" i="16"/>
  <c r="NA105" i="16"/>
  <c r="MZ105" i="16"/>
  <c r="MY105" i="16"/>
  <c r="MX105" i="16"/>
  <c r="MW105" i="16"/>
  <c r="MV105" i="16"/>
  <c r="MU105" i="16"/>
  <c r="MR105" i="16"/>
  <c r="MQ105" i="16"/>
  <c r="MP105" i="16"/>
  <c r="MO105" i="16"/>
  <c r="MN105" i="16"/>
  <c r="MM105" i="16"/>
  <c r="ML105" i="16"/>
  <c r="MI105" i="16"/>
  <c r="MH105" i="16"/>
  <c r="MG105" i="16"/>
  <c r="MF105" i="16"/>
  <c r="ME105" i="16"/>
  <c r="MD105" i="16"/>
  <c r="MC105" i="16"/>
  <c r="LZ105" i="16"/>
  <c r="LY105" i="16"/>
  <c r="LX105" i="16"/>
  <c r="LW105" i="16"/>
  <c r="LV105" i="16"/>
  <c r="LU105" i="16"/>
  <c r="LT105" i="16"/>
  <c r="LQ105" i="16"/>
  <c r="LP105" i="16"/>
  <c r="LO105" i="16"/>
  <c r="LN105" i="16"/>
  <c r="LM105" i="16"/>
  <c r="LL105" i="16"/>
  <c r="LK105" i="16"/>
  <c r="LH105" i="16"/>
  <c r="LG105" i="16"/>
  <c r="LF105" i="16"/>
  <c r="LE105" i="16"/>
  <c r="LD105" i="16"/>
  <c r="LC105" i="16"/>
  <c r="LB105" i="16"/>
  <c r="KY105" i="16"/>
  <c r="KX105" i="16"/>
  <c r="KW105" i="16"/>
  <c r="KV105" i="16"/>
  <c r="KU105" i="16"/>
  <c r="KT105" i="16"/>
  <c r="KS105" i="16"/>
  <c r="KP105" i="16"/>
  <c r="KO105" i="16"/>
  <c r="KN105" i="16"/>
  <c r="KM105" i="16"/>
  <c r="KL105" i="16"/>
  <c r="KK105" i="16"/>
  <c r="KJ105" i="16"/>
  <c r="KG105" i="16"/>
  <c r="KF105" i="16"/>
  <c r="KE105" i="16"/>
  <c r="KD105" i="16"/>
  <c r="KC105" i="16"/>
  <c r="KB105" i="16"/>
  <c r="KA105" i="16"/>
  <c r="JX105" i="16"/>
  <c r="JW105" i="16"/>
  <c r="JV105" i="16"/>
  <c r="JU105" i="16"/>
  <c r="JT105" i="16"/>
  <c r="JS105" i="16"/>
  <c r="JR105" i="16"/>
  <c r="JO105" i="16"/>
  <c r="JN105" i="16"/>
  <c r="JM105" i="16"/>
  <c r="JL105" i="16"/>
  <c r="JK105" i="16"/>
  <c r="JJ105" i="16"/>
  <c r="JI105" i="16"/>
  <c r="JF105" i="16"/>
  <c r="JE105" i="16"/>
  <c r="JD105" i="16"/>
  <c r="JC105" i="16"/>
  <c r="JB105" i="16"/>
  <c r="JA105" i="16"/>
  <c r="IZ105" i="16"/>
  <c r="IQ105" i="16"/>
  <c r="IP105" i="16"/>
  <c r="IO105" i="16"/>
  <c r="IN105" i="16"/>
  <c r="IM105" i="16"/>
  <c r="IL105" i="16"/>
  <c r="IK105" i="16"/>
  <c r="IJ105" i="16"/>
  <c r="II105" i="16"/>
  <c r="IF105" i="16"/>
  <c r="IE105" i="16"/>
  <c r="ID105" i="16"/>
  <c r="IC105" i="16"/>
  <c r="IB105" i="16"/>
  <c r="IA105" i="16"/>
  <c r="HX105" i="16"/>
  <c r="HW105" i="16"/>
  <c r="HV105" i="16"/>
  <c r="HU105" i="16"/>
  <c r="HT105" i="16"/>
  <c r="HS105" i="16"/>
  <c r="HP105" i="16"/>
  <c r="HO105" i="16"/>
  <c r="HN105" i="16"/>
  <c r="HM105" i="16"/>
  <c r="HL105" i="16"/>
  <c r="HK105" i="16"/>
  <c r="HH105" i="16"/>
  <c r="HG105" i="16"/>
  <c r="HF105" i="16"/>
  <c r="HE105" i="16"/>
  <c r="HD105" i="16"/>
  <c r="HC105" i="16"/>
  <c r="GZ105" i="16"/>
  <c r="GY105" i="16"/>
  <c r="GX105" i="16"/>
  <c r="GW105" i="16"/>
  <c r="GV105" i="16"/>
  <c r="GU105" i="16"/>
  <c r="GR105" i="16"/>
  <c r="GQ105" i="16"/>
  <c r="GP105" i="16"/>
  <c r="GO105" i="16"/>
  <c r="GN105" i="16"/>
  <c r="GM105" i="16"/>
  <c r="GJ105" i="16"/>
  <c r="GI105" i="16"/>
  <c r="GH105" i="16"/>
  <c r="GG105" i="16"/>
  <c r="GF105" i="16"/>
  <c r="GE105" i="16"/>
  <c r="GB105" i="16"/>
  <c r="GA105" i="16"/>
  <c r="FZ105" i="16"/>
  <c r="FY105" i="16"/>
  <c r="FX105" i="16"/>
  <c r="FW105" i="16"/>
  <c r="FT105" i="16"/>
  <c r="FS105" i="16"/>
  <c r="FR105" i="16"/>
  <c r="FQ105" i="16"/>
  <c r="FP105" i="16"/>
  <c r="FO105" i="16"/>
  <c r="FL105" i="16"/>
  <c r="FK105" i="16"/>
  <c r="FJ105" i="16"/>
  <c r="FI105" i="16"/>
  <c r="FH105" i="16"/>
  <c r="FG105" i="16"/>
  <c r="FD105" i="16"/>
  <c r="FC105" i="16"/>
  <c r="FB105" i="16"/>
  <c r="FA105" i="16"/>
  <c r="EZ105" i="16"/>
  <c r="EY105" i="16"/>
  <c r="EV105" i="16"/>
  <c r="EU105" i="16"/>
  <c r="ET105" i="16"/>
  <c r="ES105" i="16"/>
  <c r="ER105" i="16"/>
  <c r="EQ105" i="16"/>
  <c r="EN105" i="16"/>
  <c r="EM105" i="16"/>
  <c r="EL105" i="16"/>
  <c r="EK105" i="16"/>
  <c r="EJ105" i="16"/>
  <c r="EI105" i="16"/>
  <c r="EF105" i="16"/>
  <c r="EE105" i="16"/>
  <c r="ED105" i="16"/>
  <c r="EC105" i="16"/>
  <c r="EB105" i="16"/>
  <c r="EA105" i="16"/>
  <c r="DX105" i="16"/>
  <c r="DW105" i="16"/>
  <c r="DV105" i="16"/>
  <c r="DU105" i="16"/>
  <c r="DT105" i="16"/>
  <c r="DS105" i="16"/>
  <c r="DP105" i="16"/>
  <c r="DO105" i="16"/>
  <c r="DN105" i="16"/>
  <c r="DM105" i="16"/>
  <c r="DL105" i="16"/>
  <c r="DK105" i="16"/>
  <c r="DG105" i="16"/>
  <c r="DE105" i="16"/>
  <c r="DD105" i="16"/>
  <c r="DC105" i="16"/>
  <c r="DA105" i="16"/>
  <c r="CZ105" i="16"/>
  <c r="CY105" i="16"/>
  <c r="CX105" i="16"/>
  <c r="CU105" i="16"/>
  <c r="CT105" i="16"/>
  <c r="CS105" i="16"/>
  <c r="CR105" i="16"/>
  <c r="CO105" i="16"/>
  <c r="CN105" i="16"/>
  <c r="CM105" i="16"/>
  <c r="CL105" i="16"/>
  <c r="CI105" i="16"/>
  <c r="CH105" i="16"/>
  <c r="CG105" i="16"/>
  <c r="CF105" i="16"/>
  <c r="CC105" i="16"/>
  <c r="CB105" i="16"/>
  <c r="CA105" i="16"/>
  <c r="BZ105" i="16"/>
  <c r="BW105" i="16"/>
  <c r="BV105" i="16"/>
  <c r="BU105" i="16"/>
  <c r="BT105" i="16"/>
  <c r="BQ105" i="16"/>
  <c r="BP105" i="16"/>
  <c r="BO105" i="16"/>
  <c r="BN105" i="16"/>
  <c r="BK105" i="16"/>
  <c r="BJ105" i="16"/>
  <c r="BI105" i="16"/>
  <c r="BH105" i="16"/>
  <c r="BE105" i="16"/>
  <c r="BD105" i="16"/>
  <c r="BC105" i="16"/>
  <c r="BB105" i="16"/>
  <c r="AY105" i="16"/>
  <c r="AX105" i="16"/>
  <c r="AW105" i="16"/>
  <c r="AV105" i="16"/>
  <c r="AS105" i="16"/>
  <c r="AR105" i="16"/>
  <c r="AQ105" i="16"/>
  <c r="AP105" i="16"/>
  <c r="AM105" i="16"/>
  <c r="AL105" i="16"/>
  <c r="AK105" i="16"/>
  <c r="AJ105" i="16"/>
  <c r="AG105" i="16"/>
  <c r="AF105" i="16"/>
  <c r="AE105" i="16"/>
  <c r="AD105" i="16"/>
  <c r="AA105" i="16"/>
  <c r="Z105" i="16"/>
  <c r="Y105" i="16"/>
  <c r="X105" i="16"/>
  <c r="U105" i="16"/>
  <c r="T105" i="16"/>
  <c r="S105" i="16"/>
  <c r="R105" i="16"/>
  <c r="O105" i="16"/>
  <c r="N105" i="16"/>
  <c r="M105" i="16"/>
  <c r="L105" i="16"/>
  <c r="I105" i="16"/>
  <c r="H105" i="16"/>
  <c r="G105" i="16"/>
  <c r="F105" i="16"/>
  <c r="OW104" i="16"/>
  <c r="OV104" i="16"/>
  <c r="OU104" i="16"/>
  <c r="OT104" i="16"/>
  <c r="OS104" i="16"/>
  <c r="OR104" i="16"/>
  <c r="OQ104" i="16"/>
  <c r="OP104" i="16"/>
  <c r="OO104" i="16"/>
  <c r="ON104" i="16"/>
  <c r="OK104" i="16"/>
  <c r="OJ104" i="16"/>
  <c r="OI104" i="16"/>
  <c r="OH104" i="16"/>
  <c r="OG104" i="16"/>
  <c r="OF104" i="16"/>
  <c r="OE104" i="16"/>
  <c r="OB104" i="16"/>
  <c r="OA104" i="16"/>
  <c r="NZ104" i="16"/>
  <c r="NY104" i="16"/>
  <c r="NX104" i="16"/>
  <c r="NW104" i="16"/>
  <c r="NV104" i="16"/>
  <c r="NS104" i="16"/>
  <c r="NR104" i="16"/>
  <c r="NQ104" i="16"/>
  <c r="NP104" i="16"/>
  <c r="NO104" i="16"/>
  <c r="NN104" i="16"/>
  <c r="NM104" i="16"/>
  <c r="NJ104" i="16"/>
  <c r="NI104" i="16"/>
  <c r="NH104" i="16"/>
  <c r="NG104" i="16"/>
  <c r="NF104" i="16"/>
  <c r="NE104" i="16"/>
  <c r="ND104" i="16"/>
  <c r="NA104" i="16"/>
  <c r="MZ104" i="16"/>
  <c r="MY104" i="16"/>
  <c r="MX104" i="16"/>
  <c r="MW104" i="16"/>
  <c r="MV104" i="16"/>
  <c r="MU104" i="16"/>
  <c r="MR104" i="16"/>
  <c r="MQ104" i="16"/>
  <c r="MP104" i="16"/>
  <c r="MO104" i="16"/>
  <c r="MN104" i="16"/>
  <c r="MM104" i="16"/>
  <c r="ML104" i="16"/>
  <c r="MI104" i="16"/>
  <c r="MH104" i="16"/>
  <c r="MG104" i="16"/>
  <c r="MF104" i="16"/>
  <c r="ME104" i="16"/>
  <c r="MD104" i="16"/>
  <c r="MC104" i="16"/>
  <c r="LZ104" i="16"/>
  <c r="LY104" i="16"/>
  <c r="LX104" i="16"/>
  <c r="LW104" i="16"/>
  <c r="LV104" i="16"/>
  <c r="LU104" i="16"/>
  <c r="LT104" i="16"/>
  <c r="LQ104" i="16"/>
  <c r="LP104" i="16"/>
  <c r="LO104" i="16"/>
  <c r="LN104" i="16"/>
  <c r="LM104" i="16"/>
  <c r="LL104" i="16"/>
  <c r="LK104" i="16"/>
  <c r="LH104" i="16"/>
  <c r="LG104" i="16"/>
  <c r="LF104" i="16"/>
  <c r="LE104" i="16"/>
  <c r="LD104" i="16"/>
  <c r="LC104" i="16"/>
  <c r="LB104" i="16"/>
  <c r="KY104" i="16"/>
  <c r="KX104" i="16"/>
  <c r="KW104" i="16"/>
  <c r="KV104" i="16"/>
  <c r="KU104" i="16"/>
  <c r="KT104" i="16"/>
  <c r="KS104" i="16"/>
  <c r="KP104" i="16"/>
  <c r="KO104" i="16"/>
  <c r="KN104" i="16"/>
  <c r="KM104" i="16"/>
  <c r="KL104" i="16"/>
  <c r="KK104" i="16"/>
  <c r="KJ104" i="16"/>
  <c r="KG104" i="16"/>
  <c r="KF104" i="16"/>
  <c r="KE104" i="16"/>
  <c r="KD104" i="16"/>
  <c r="KC104" i="16"/>
  <c r="KB104" i="16"/>
  <c r="KA104" i="16"/>
  <c r="JX104" i="16"/>
  <c r="JW104" i="16"/>
  <c r="JV104" i="16"/>
  <c r="JU104" i="16"/>
  <c r="JT104" i="16"/>
  <c r="JS104" i="16"/>
  <c r="JR104" i="16"/>
  <c r="JO104" i="16"/>
  <c r="JN104" i="16"/>
  <c r="JM104" i="16"/>
  <c r="JL104" i="16"/>
  <c r="JK104" i="16"/>
  <c r="JJ104" i="16"/>
  <c r="JI104" i="16"/>
  <c r="JF104" i="16"/>
  <c r="JE104" i="16"/>
  <c r="JD104" i="16"/>
  <c r="JC104" i="16"/>
  <c r="JB104" i="16"/>
  <c r="JA104" i="16"/>
  <c r="IZ104" i="16"/>
  <c r="IQ104" i="16"/>
  <c r="IP104" i="16"/>
  <c r="IO104" i="16"/>
  <c r="IN104" i="16"/>
  <c r="IM104" i="16"/>
  <c r="IL104" i="16"/>
  <c r="IK104" i="16"/>
  <c r="IJ104" i="16"/>
  <c r="II104" i="16"/>
  <c r="IF104" i="16"/>
  <c r="IE104" i="16"/>
  <c r="ID104" i="16"/>
  <c r="IC104" i="16"/>
  <c r="IB104" i="16"/>
  <c r="IA104" i="16"/>
  <c r="HX104" i="16"/>
  <c r="HW104" i="16"/>
  <c r="HV104" i="16"/>
  <c r="HU104" i="16"/>
  <c r="HT104" i="16"/>
  <c r="HS104" i="16"/>
  <c r="HP104" i="16"/>
  <c r="HO104" i="16"/>
  <c r="HN104" i="16"/>
  <c r="HM104" i="16"/>
  <c r="HL104" i="16"/>
  <c r="HK104" i="16"/>
  <c r="HH104" i="16"/>
  <c r="HG104" i="16"/>
  <c r="HF104" i="16"/>
  <c r="HE104" i="16"/>
  <c r="HD104" i="16"/>
  <c r="HC104" i="16"/>
  <c r="GZ104" i="16"/>
  <c r="GY104" i="16"/>
  <c r="GX104" i="16"/>
  <c r="GW104" i="16"/>
  <c r="GV104" i="16"/>
  <c r="GU104" i="16"/>
  <c r="GR104" i="16"/>
  <c r="GQ104" i="16"/>
  <c r="GP104" i="16"/>
  <c r="GO104" i="16"/>
  <c r="GN104" i="16"/>
  <c r="GM104" i="16"/>
  <c r="GJ104" i="16"/>
  <c r="GI104" i="16"/>
  <c r="GH104" i="16"/>
  <c r="GG104" i="16"/>
  <c r="GF104" i="16"/>
  <c r="GE104" i="16"/>
  <c r="GB104" i="16"/>
  <c r="GA104" i="16"/>
  <c r="FZ104" i="16"/>
  <c r="FY104" i="16"/>
  <c r="FX104" i="16"/>
  <c r="FW104" i="16"/>
  <c r="FT104" i="16"/>
  <c r="FS104" i="16"/>
  <c r="FR104" i="16"/>
  <c r="FQ104" i="16"/>
  <c r="FP104" i="16"/>
  <c r="FO104" i="16"/>
  <c r="FL104" i="16"/>
  <c r="FK104" i="16"/>
  <c r="FJ104" i="16"/>
  <c r="FI104" i="16"/>
  <c r="FH104" i="16"/>
  <c r="FG104" i="16"/>
  <c r="FD104" i="16"/>
  <c r="FC104" i="16"/>
  <c r="FB104" i="16"/>
  <c r="FA104" i="16"/>
  <c r="EZ104" i="16"/>
  <c r="EY104" i="16"/>
  <c r="EV104" i="16"/>
  <c r="EU104" i="16"/>
  <c r="ET104" i="16"/>
  <c r="ES104" i="16"/>
  <c r="ER104" i="16"/>
  <c r="EQ104" i="16"/>
  <c r="EN104" i="16"/>
  <c r="EM104" i="16"/>
  <c r="EL104" i="16"/>
  <c r="EK104" i="16"/>
  <c r="EJ104" i="16"/>
  <c r="EI104" i="16"/>
  <c r="EF104" i="16"/>
  <c r="EE104" i="16"/>
  <c r="ED104" i="16"/>
  <c r="EC104" i="16"/>
  <c r="EB104" i="16"/>
  <c r="EA104" i="16"/>
  <c r="DX104" i="16"/>
  <c r="DW104" i="16"/>
  <c r="DV104" i="16"/>
  <c r="DU104" i="16"/>
  <c r="DT104" i="16"/>
  <c r="DS104" i="16"/>
  <c r="DP104" i="16"/>
  <c r="DO104" i="16"/>
  <c r="DN104" i="16"/>
  <c r="DM104" i="16"/>
  <c r="DL104" i="16"/>
  <c r="DK104" i="16"/>
  <c r="DG104" i="16"/>
  <c r="DE104" i="16"/>
  <c r="DD104" i="16"/>
  <c r="DC104" i="16"/>
  <c r="DA104" i="16"/>
  <c r="CZ104" i="16"/>
  <c r="CY104" i="16"/>
  <c r="CX104" i="16"/>
  <c r="CU104" i="16"/>
  <c r="CT104" i="16"/>
  <c r="CS104" i="16"/>
  <c r="CR104" i="16"/>
  <c r="CO104" i="16"/>
  <c r="CN104" i="16"/>
  <c r="CM104" i="16"/>
  <c r="CL104" i="16"/>
  <c r="CI104" i="16"/>
  <c r="CH104" i="16"/>
  <c r="CG104" i="16"/>
  <c r="CF104" i="16"/>
  <c r="CC104" i="16"/>
  <c r="CB104" i="16"/>
  <c r="CA104" i="16"/>
  <c r="BZ104" i="16"/>
  <c r="BW104" i="16"/>
  <c r="BV104" i="16"/>
  <c r="BU104" i="16"/>
  <c r="BT104" i="16"/>
  <c r="BQ104" i="16"/>
  <c r="BP104" i="16"/>
  <c r="BO104" i="16"/>
  <c r="BN104" i="16"/>
  <c r="BK104" i="16"/>
  <c r="BJ104" i="16"/>
  <c r="BI104" i="16"/>
  <c r="BH104" i="16"/>
  <c r="BE104" i="16"/>
  <c r="BD104" i="16"/>
  <c r="BC104" i="16"/>
  <c r="BB104" i="16"/>
  <c r="AY104" i="16"/>
  <c r="AX104" i="16"/>
  <c r="AW104" i="16"/>
  <c r="AV104" i="16"/>
  <c r="AS104" i="16"/>
  <c r="AR104" i="16"/>
  <c r="AQ104" i="16"/>
  <c r="AP104" i="16"/>
  <c r="AM104" i="16"/>
  <c r="AL104" i="16"/>
  <c r="AK104" i="16"/>
  <c r="AJ104" i="16"/>
  <c r="AG104" i="16"/>
  <c r="AF104" i="16"/>
  <c r="AE104" i="16"/>
  <c r="AD104" i="16"/>
  <c r="AA104" i="16"/>
  <c r="Z104" i="16"/>
  <c r="Y104" i="16"/>
  <c r="X104" i="16"/>
  <c r="U104" i="16"/>
  <c r="T104" i="16"/>
  <c r="S104" i="16"/>
  <c r="R104" i="16"/>
  <c r="O104" i="16"/>
  <c r="N104" i="16"/>
  <c r="M104" i="16"/>
  <c r="L104" i="16"/>
  <c r="I104" i="16"/>
  <c r="H104" i="16"/>
  <c r="G104" i="16"/>
  <c r="F104" i="16"/>
  <c r="OW103" i="16"/>
  <c r="OV103" i="16"/>
  <c r="OU103" i="16"/>
  <c r="OT103" i="16"/>
  <c r="OS103" i="16"/>
  <c r="OR103" i="16"/>
  <c r="OQ103" i="16"/>
  <c r="OP103" i="16"/>
  <c r="OO103" i="16"/>
  <c r="ON103" i="16"/>
  <c r="OK103" i="16"/>
  <c r="OJ103" i="16"/>
  <c r="OI103" i="16"/>
  <c r="OH103" i="16"/>
  <c r="OG103" i="16"/>
  <c r="OF103" i="16"/>
  <c r="OE103" i="16"/>
  <c r="OB103" i="16"/>
  <c r="OA103" i="16"/>
  <c r="NZ103" i="16"/>
  <c r="NY103" i="16"/>
  <c r="NX103" i="16"/>
  <c r="NW103" i="16"/>
  <c r="NV103" i="16"/>
  <c r="NS103" i="16"/>
  <c r="NR103" i="16"/>
  <c r="NQ103" i="16"/>
  <c r="NP103" i="16"/>
  <c r="NO103" i="16"/>
  <c r="NN103" i="16"/>
  <c r="NM103" i="16"/>
  <c r="NJ103" i="16"/>
  <c r="NI103" i="16"/>
  <c r="NH103" i="16"/>
  <c r="NG103" i="16"/>
  <c r="NF103" i="16"/>
  <c r="NE103" i="16"/>
  <c r="ND103" i="16"/>
  <c r="NA103" i="16"/>
  <c r="MZ103" i="16"/>
  <c r="MY103" i="16"/>
  <c r="MX103" i="16"/>
  <c r="MW103" i="16"/>
  <c r="MV103" i="16"/>
  <c r="MU103" i="16"/>
  <c r="MR103" i="16"/>
  <c r="MQ103" i="16"/>
  <c r="MP103" i="16"/>
  <c r="MO103" i="16"/>
  <c r="MN103" i="16"/>
  <c r="MM103" i="16"/>
  <c r="ML103" i="16"/>
  <c r="MI103" i="16"/>
  <c r="MH103" i="16"/>
  <c r="MG103" i="16"/>
  <c r="MF103" i="16"/>
  <c r="ME103" i="16"/>
  <c r="MD103" i="16"/>
  <c r="MC103" i="16"/>
  <c r="LZ103" i="16"/>
  <c r="LY103" i="16"/>
  <c r="LX103" i="16"/>
  <c r="LW103" i="16"/>
  <c r="LV103" i="16"/>
  <c r="LU103" i="16"/>
  <c r="LT103" i="16"/>
  <c r="LQ103" i="16"/>
  <c r="LP103" i="16"/>
  <c r="LO103" i="16"/>
  <c r="LN103" i="16"/>
  <c r="LM103" i="16"/>
  <c r="LL103" i="16"/>
  <c r="LK103" i="16"/>
  <c r="LH103" i="16"/>
  <c r="LG103" i="16"/>
  <c r="LF103" i="16"/>
  <c r="LE103" i="16"/>
  <c r="LD103" i="16"/>
  <c r="LC103" i="16"/>
  <c r="LB103" i="16"/>
  <c r="KY103" i="16"/>
  <c r="KX103" i="16"/>
  <c r="KW103" i="16"/>
  <c r="KV103" i="16"/>
  <c r="KU103" i="16"/>
  <c r="KT103" i="16"/>
  <c r="KS103" i="16"/>
  <c r="KP103" i="16"/>
  <c r="KO103" i="16"/>
  <c r="KN103" i="16"/>
  <c r="KM103" i="16"/>
  <c r="KL103" i="16"/>
  <c r="KK103" i="16"/>
  <c r="KJ103" i="16"/>
  <c r="KG103" i="16"/>
  <c r="KF103" i="16"/>
  <c r="KE103" i="16"/>
  <c r="KD103" i="16"/>
  <c r="KC103" i="16"/>
  <c r="KB103" i="16"/>
  <c r="KA103" i="16"/>
  <c r="JX103" i="16"/>
  <c r="JW103" i="16"/>
  <c r="JV103" i="16"/>
  <c r="JU103" i="16"/>
  <c r="JT103" i="16"/>
  <c r="JS103" i="16"/>
  <c r="JR103" i="16"/>
  <c r="JO103" i="16"/>
  <c r="JN103" i="16"/>
  <c r="JM103" i="16"/>
  <c r="JL103" i="16"/>
  <c r="JK103" i="16"/>
  <c r="JJ103" i="16"/>
  <c r="JI103" i="16"/>
  <c r="JF103" i="16"/>
  <c r="JE103" i="16"/>
  <c r="JD103" i="16"/>
  <c r="JC103" i="16"/>
  <c r="JB103" i="16"/>
  <c r="JA103" i="16"/>
  <c r="IZ103" i="16"/>
  <c r="IQ103" i="16"/>
  <c r="IP103" i="16"/>
  <c r="IO103" i="16"/>
  <c r="IN103" i="16"/>
  <c r="IM103" i="16"/>
  <c r="IL103" i="16"/>
  <c r="IK103" i="16"/>
  <c r="IJ103" i="16"/>
  <c r="II103" i="16"/>
  <c r="IF103" i="16"/>
  <c r="IE103" i="16"/>
  <c r="ID103" i="16"/>
  <c r="IC103" i="16"/>
  <c r="IB103" i="16"/>
  <c r="IA103" i="16"/>
  <c r="HX103" i="16"/>
  <c r="HW103" i="16"/>
  <c r="HV103" i="16"/>
  <c r="HU103" i="16"/>
  <c r="HT103" i="16"/>
  <c r="HS103" i="16"/>
  <c r="HP103" i="16"/>
  <c r="HO103" i="16"/>
  <c r="HN103" i="16"/>
  <c r="HM103" i="16"/>
  <c r="HL103" i="16"/>
  <c r="HK103" i="16"/>
  <c r="HH103" i="16"/>
  <c r="HG103" i="16"/>
  <c r="HF103" i="16"/>
  <c r="HE103" i="16"/>
  <c r="HD103" i="16"/>
  <c r="HC103" i="16"/>
  <c r="GZ103" i="16"/>
  <c r="GY103" i="16"/>
  <c r="GX103" i="16"/>
  <c r="GW103" i="16"/>
  <c r="GV103" i="16"/>
  <c r="GU103" i="16"/>
  <c r="GR103" i="16"/>
  <c r="GQ103" i="16"/>
  <c r="GP103" i="16"/>
  <c r="GO103" i="16"/>
  <c r="GN103" i="16"/>
  <c r="GM103" i="16"/>
  <c r="GJ103" i="16"/>
  <c r="GI103" i="16"/>
  <c r="GH103" i="16"/>
  <c r="GG103" i="16"/>
  <c r="GF103" i="16"/>
  <c r="GE103" i="16"/>
  <c r="GB103" i="16"/>
  <c r="GA103" i="16"/>
  <c r="FZ103" i="16"/>
  <c r="FY103" i="16"/>
  <c r="FX103" i="16"/>
  <c r="FW103" i="16"/>
  <c r="FT103" i="16"/>
  <c r="FS103" i="16"/>
  <c r="FR103" i="16"/>
  <c r="FQ103" i="16"/>
  <c r="FP103" i="16"/>
  <c r="FO103" i="16"/>
  <c r="FL103" i="16"/>
  <c r="FK103" i="16"/>
  <c r="FJ103" i="16"/>
  <c r="FI103" i="16"/>
  <c r="FH103" i="16"/>
  <c r="FG103" i="16"/>
  <c r="FD103" i="16"/>
  <c r="FC103" i="16"/>
  <c r="FB103" i="16"/>
  <c r="FA103" i="16"/>
  <c r="EZ103" i="16"/>
  <c r="EY103" i="16"/>
  <c r="EV103" i="16"/>
  <c r="EU103" i="16"/>
  <c r="ET103" i="16"/>
  <c r="ES103" i="16"/>
  <c r="ER103" i="16"/>
  <c r="EQ103" i="16"/>
  <c r="EN103" i="16"/>
  <c r="EM103" i="16"/>
  <c r="EL103" i="16"/>
  <c r="EK103" i="16"/>
  <c r="EJ103" i="16"/>
  <c r="EI103" i="16"/>
  <c r="EF103" i="16"/>
  <c r="EE103" i="16"/>
  <c r="ED103" i="16"/>
  <c r="EC103" i="16"/>
  <c r="EB103" i="16"/>
  <c r="EA103" i="16"/>
  <c r="DX103" i="16"/>
  <c r="DW103" i="16"/>
  <c r="DV103" i="16"/>
  <c r="DU103" i="16"/>
  <c r="DT103" i="16"/>
  <c r="DS103" i="16"/>
  <c r="DP103" i="16"/>
  <c r="DO103" i="16"/>
  <c r="DN103" i="16"/>
  <c r="DM103" i="16"/>
  <c r="DL103" i="16"/>
  <c r="DK103" i="16"/>
  <c r="DG103" i="16"/>
  <c r="DE103" i="16"/>
  <c r="DD103" i="16"/>
  <c r="DC103" i="16"/>
  <c r="DA103" i="16"/>
  <c r="CZ103" i="16"/>
  <c r="CY103" i="16"/>
  <c r="CX103" i="16"/>
  <c r="CU103" i="16"/>
  <c r="CT103" i="16"/>
  <c r="CS103" i="16"/>
  <c r="CR103" i="16"/>
  <c r="CO103" i="16"/>
  <c r="CN103" i="16"/>
  <c r="CM103" i="16"/>
  <c r="CL103" i="16"/>
  <c r="CI103" i="16"/>
  <c r="CH103" i="16"/>
  <c r="CG103" i="16"/>
  <c r="CF103" i="16"/>
  <c r="CC103" i="16"/>
  <c r="CB103" i="16"/>
  <c r="CA103" i="16"/>
  <c r="BZ103" i="16"/>
  <c r="BW103" i="16"/>
  <c r="BV103" i="16"/>
  <c r="BU103" i="16"/>
  <c r="BT103" i="16"/>
  <c r="BQ103" i="16"/>
  <c r="BP103" i="16"/>
  <c r="BO103" i="16"/>
  <c r="BN103" i="16"/>
  <c r="BK103" i="16"/>
  <c r="BJ103" i="16"/>
  <c r="BI103" i="16"/>
  <c r="BH103" i="16"/>
  <c r="BE103" i="16"/>
  <c r="BD103" i="16"/>
  <c r="BC103" i="16"/>
  <c r="BB103" i="16"/>
  <c r="AY103" i="16"/>
  <c r="AX103" i="16"/>
  <c r="AW103" i="16"/>
  <c r="AV103" i="16"/>
  <c r="AS103" i="16"/>
  <c r="AR103" i="16"/>
  <c r="AQ103" i="16"/>
  <c r="AP103" i="16"/>
  <c r="AM103" i="16"/>
  <c r="AL103" i="16"/>
  <c r="AK103" i="16"/>
  <c r="AJ103" i="16"/>
  <c r="AG103" i="16"/>
  <c r="AF103" i="16"/>
  <c r="AE103" i="16"/>
  <c r="AD103" i="16"/>
  <c r="AA103" i="16"/>
  <c r="Z103" i="16"/>
  <c r="Y103" i="16"/>
  <c r="X103" i="16"/>
  <c r="U103" i="16"/>
  <c r="T103" i="16"/>
  <c r="S103" i="16"/>
  <c r="R103" i="16"/>
  <c r="O103" i="16"/>
  <c r="N103" i="16"/>
  <c r="M103" i="16"/>
  <c r="L103" i="16"/>
  <c r="I103" i="16"/>
  <c r="H103" i="16"/>
  <c r="G103" i="16"/>
  <c r="F103" i="16"/>
  <c r="OW102" i="16"/>
  <c r="OV102" i="16"/>
  <c r="OU102" i="16"/>
  <c r="OT102" i="16"/>
  <c r="OS102" i="16"/>
  <c r="OR102" i="16"/>
  <c r="OQ102" i="16"/>
  <c r="OP102" i="16"/>
  <c r="OO102" i="16"/>
  <c r="ON102" i="16"/>
  <c r="OK102" i="16"/>
  <c r="OJ102" i="16"/>
  <c r="OI102" i="16"/>
  <c r="OH102" i="16"/>
  <c r="OG102" i="16"/>
  <c r="OF102" i="16"/>
  <c r="OE102" i="16"/>
  <c r="OB102" i="16"/>
  <c r="OA102" i="16"/>
  <c r="NZ102" i="16"/>
  <c r="NY102" i="16"/>
  <c r="NX102" i="16"/>
  <c r="NW102" i="16"/>
  <c r="NV102" i="16"/>
  <c r="NS102" i="16"/>
  <c r="NR102" i="16"/>
  <c r="NQ102" i="16"/>
  <c r="NP102" i="16"/>
  <c r="NO102" i="16"/>
  <c r="NN102" i="16"/>
  <c r="NM102" i="16"/>
  <c r="NJ102" i="16"/>
  <c r="NI102" i="16"/>
  <c r="NH102" i="16"/>
  <c r="NG102" i="16"/>
  <c r="NF102" i="16"/>
  <c r="NE102" i="16"/>
  <c r="ND102" i="16"/>
  <c r="NA102" i="16"/>
  <c r="MZ102" i="16"/>
  <c r="MY102" i="16"/>
  <c r="MX102" i="16"/>
  <c r="MW102" i="16"/>
  <c r="MV102" i="16"/>
  <c r="MU102" i="16"/>
  <c r="MR102" i="16"/>
  <c r="MQ102" i="16"/>
  <c r="MP102" i="16"/>
  <c r="MO102" i="16"/>
  <c r="MN102" i="16"/>
  <c r="MM102" i="16"/>
  <c r="ML102" i="16"/>
  <c r="MI102" i="16"/>
  <c r="MH102" i="16"/>
  <c r="MG102" i="16"/>
  <c r="MF102" i="16"/>
  <c r="ME102" i="16"/>
  <c r="MD102" i="16"/>
  <c r="MC102" i="16"/>
  <c r="LZ102" i="16"/>
  <c r="LY102" i="16"/>
  <c r="LX102" i="16"/>
  <c r="LW102" i="16"/>
  <c r="LV102" i="16"/>
  <c r="LU102" i="16"/>
  <c r="LT102" i="16"/>
  <c r="LQ102" i="16"/>
  <c r="LP102" i="16"/>
  <c r="LO102" i="16"/>
  <c r="LN102" i="16"/>
  <c r="LM102" i="16"/>
  <c r="LL102" i="16"/>
  <c r="LK102" i="16"/>
  <c r="LH102" i="16"/>
  <c r="LG102" i="16"/>
  <c r="LF102" i="16"/>
  <c r="LE102" i="16"/>
  <c r="LD102" i="16"/>
  <c r="LC102" i="16"/>
  <c r="LB102" i="16"/>
  <c r="KY102" i="16"/>
  <c r="KX102" i="16"/>
  <c r="KW102" i="16"/>
  <c r="KV102" i="16"/>
  <c r="KU102" i="16"/>
  <c r="KT102" i="16"/>
  <c r="KS102" i="16"/>
  <c r="KP102" i="16"/>
  <c r="KO102" i="16"/>
  <c r="KN102" i="16"/>
  <c r="KM102" i="16"/>
  <c r="KL102" i="16"/>
  <c r="KK102" i="16"/>
  <c r="KJ102" i="16"/>
  <c r="KG102" i="16"/>
  <c r="KF102" i="16"/>
  <c r="KE102" i="16"/>
  <c r="KD102" i="16"/>
  <c r="KC102" i="16"/>
  <c r="KB102" i="16"/>
  <c r="KA102" i="16"/>
  <c r="JX102" i="16"/>
  <c r="JW102" i="16"/>
  <c r="JV102" i="16"/>
  <c r="JU102" i="16"/>
  <c r="JT102" i="16"/>
  <c r="JS102" i="16"/>
  <c r="JR102" i="16"/>
  <c r="JO102" i="16"/>
  <c r="JN102" i="16"/>
  <c r="JM102" i="16"/>
  <c r="JL102" i="16"/>
  <c r="JK102" i="16"/>
  <c r="JJ102" i="16"/>
  <c r="JI102" i="16"/>
  <c r="JF102" i="16"/>
  <c r="JE102" i="16"/>
  <c r="JD102" i="16"/>
  <c r="JC102" i="16"/>
  <c r="JB102" i="16"/>
  <c r="JA102" i="16"/>
  <c r="IZ102" i="16"/>
  <c r="IQ102" i="16"/>
  <c r="IP102" i="16"/>
  <c r="IO102" i="16"/>
  <c r="IN102" i="16"/>
  <c r="IM102" i="16"/>
  <c r="IL102" i="16"/>
  <c r="IK102" i="16"/>
  <c r="IJ102" i="16"/>
  <c r="II102" i="16"/>
  <c r="IF102" i="16"/>
  <c r="IE102" i="16"/>
  <c r="ID102" i="16"/>
  <c r="IC102" i="16"/>
  <c r="IB102" i="16"/>
  <c r="IA102" i="16"/>
  <c r="HX102" i="16"/>
  <c r="HW102" i="16"/>
  <c r="HV102" i="16"/>
  <c r="HU102" i="16"/>
  <c r="HT102" i="16"/>
  <c r="HS102" i="16"/>
  <c r="HP102" i="16"/>
  <c r="HO102" i="16"/>
  <c r="HN102" i="16"/>
  <c r="HM102" i="16"/>
  <c r="HL102" i="16"/>
  <c r="HK102" i="16"/>
  <c r="HH102" i="16"/>
  <c r="HG102" i="16"/>
  <c r="HF102" i="16"/>
  <c r="HE102" i="16"/>
  <c r="HD102" i="16"/>
  <c r="HC102" i="16"/>
  <c r="GZ102" i="16"/>
  <c r="GY102" i="16"/>
  <c r="GX102" i="16"/>
  <c r="GW102" i="16"/>
  <c r="GV102" i="16"/>
  <c r="GU102" i="16"/>
  <c r="GR102" i="16"/>
  <c r="GQ102" i="16"/>
  <c r="GP102" i="16"/>
  <c r="GO102" i="16"/>
  <c r="GN102" i="16"/>
  <c r="GM102" i="16"/>
  <c r="GJ102" i="16"/>
  <c r="GI102" i="16"/>
  <c r="GH102" i="16"/>
  <c r="GG102" i="16"/>
  <c r="GF102" i="16"/>
  <c r="GE102" i="16"/>
  <c r="GB102" i="16"/>
  <c r="GA102" i="16"/>
  <c r="FZ102" i="16"/>
  <c r="FY102" i="16"/>
  <c r="FX102" i="16"/>
  <c r="FW102" i="16"/>
  <c r="FT102" i="16"/>
  <c r="FS102" i="16"/>
  <c r="FR102" i="16"/>
  <c r="FQ102" i="16"/>
  <c r="FP102" i="16"/>
  <c r="FO102" i="16"/>
  <c r="FL102" i="16"/>
  <c r="FK102" i="16"/>
  <c r="FJ102" i="16"/>
  <c r="FI102" i="16"/>
  <c r="FH102" i="16"/>
  <c r="FG102" i="16"/>
  <c r="FD102" i="16"/>
  <c r="FC102" i="16"/>
  <c r="FB102" i="16"/>
  <c r="FA102" i="16"/>
  <c r="EZ102" i="16"/>
  <c r="EY102" i="16"/>
  <c r="EV102" i="16"/>
  <c r="EU102" i="16"/>
  <c r="ET102" i="16"/>
  <c r="ES102" i="16"/>
  <c r="ER102" i="16"/>
  <c r="EQ102" i="16"/>
  <c r="EN102" i="16"/>
  <c r="EM102" i="16"/>
  <c r="EL102" i="16"/>
  <c r="EK102" i="16"/>
  <c r="EJ102" i="16"/>
  <c r="EI102" i="16"/>
  <c r="EF102" i="16"/>
  <c r="EE102" i="16"/>
  <c r="ED102" i="16"/>
  <c r="EC102" i="16"/>
  <c r="EB102" i="16"/>
  <c r="EA102" i="16"/>
  <c r="DX102" i="16"/>
  <c r="DW102" i="16"/>
  <c r="DV102" i="16"/>
  <c r="DU102" i="16"/>
  <c r="DT102" i="16"/>
  <c r="DS102" i="16"/>
  <c r="DP102" i="16"/>
  <c r="DO102" i="16"/>
  <c r="DN102" i="16"/>
  <c r="DM102" i="16"/>
  <c r="DL102" i="16"/>
  <c r="DK102" i="16"/>
  <c r="DG102" i="16"/>
  <c r="DE102" i="16"/>
  <c r="DD102" i="16"/>
  <c r="DC102" i="16"/>
  <c r="DA102" i="16"/>
  <c r="CZ102" i="16"/>
  <c r="CY102" i="16"/>
  <c r="CX102" i="16"/>
  <c r="CU102" i="16"/>
  <c r="CT102" i="16"/>
  <c r="CS102" i="16"/>
  <c r="CR102" i="16"/>
  <c r="CO102" i="16"/>
  <c r="CN102" i="16"/>
  <c r="CM102" i="16"/>
  <c r="CL102" i="16"/>
  <c r="CI102" i="16"/>
  <c r="CH102" i="16"/>
  <c r="CG102" i="16"/>
  <c r="CF102" i="16"/>
  <c r="CC102" i="16"/>
  <c r="CB102" i="16"/>
  <c r="CA102" i="16"/>
  <c r="BZ102" i="16"/>
  <c r="BW102" i="16"/>
  <c r="BV102" i="16"/>
  <c r="BU102" i="16"/>
  <c r="BT102" i="16"/>
  <c r="BQ102" i="16"/>
  <c r="BP102" i="16"/>
  <c r="BO102" i="16"/>
  <c r="BN102" i="16"/>
  <c r="BK102" i="16"/>
  <c r="BJ102" i="16"/>
  <c r="BI102" i="16"/>
  <c r="BH102" i="16"/>
  <c r="BE102" i="16"/>
  <c r="BD102" i="16"/>
  <c r="BC102" i="16"/>
  <c r="BB102" i="16"/>
  <c r="AY102" i="16"/>
  <c r="AX102" i="16"/>
  <c r="AW102" i="16"/>
  <c r="AV102" i="16"/>
  <c r="AS102" i="16"/>
  <c r="AR102" i="16"/>
  <c r="AQ102" i="16"/>
  <c r="AP102" i="16"/>
  <c r="AM102" i="16"/>
  <c r="AL102" i="16"/>
  <c r="AK102" i="16"/>
  <c r="AJ102" i="16"/>
  <c r="AG102" i="16"/>
  <c r="AF102" i="16"/>
  <c r="AE102" i="16"/>
  <c r="AD102" i="16"/>
  <c r="AA102" i="16"/>
  <c r="Z102" i="16"/>
  <c r="Y102" i="16"/>
  <c r="X102" i="16"/>
  <c r="U102" i="16"/>
  <c r="T102" i="16"/>
  <c r="S102" i="16"/>
  <c r="R102" i="16"/>
  <c r="O102" i="16"/>
  <c r="N102" i="16"/>
  <c r="M102" i="16"/>
  <c r="L102" i="16"/>
  <c r="I102" i="16"/>
  <c r="H102" i="16"/>
  <c r="G102" i="16"/>
  <c r="F102" i="16"/>
  <c r="OW101" i="16"/>
  <c r="OV101" i="16"/>
  <c r="OU101" i="16"/>
  <c r="OT101" i="16"/>
  <c r="OS101" i="16"/>
  <c r="OR101" i="16"/>
  <c r="OQ101" i="16"/>
  <c r="OP101" i="16"/>
  <c r="OO101" i="16"/>
  <c r="ON101" i="16"/>
  <c r="OK101" i="16"/>
  <c r="OJ101" i="16"/>
  <c r="OI101" i="16"/>
  <c r="OH101" i="16"/>
  <c r="OG101" i="16"/>
  <c r="OF101" i="16"/>
  <c r="OE101" i="16"/>
  <c r="OB101" i="16"/>
  <c r="OA101" i="16"/>
  <c r="NZ101" i="16"/>
  <c r="NY101" i="16"/>
  <c r="NX101" i="16"/>
  <c r="NW101" i="16"/>
  <c r="NV101" i="16"/>
  <c r="NS101" i="16"/>
  <c r="NR101" i="16"/>
  <c r="NQ101" i="16"/>
  <c r="NP101" i="16"/>
  <c r="NO101" i="16"/>
  <c r="NN101" i="16"/>
  <c r="NM101" i="16"/>
  <c r="NJ101" i="16"/>
  <c r="NI101" i="16"/>
  <c r="NH101" i="16"/>
  <c r="NG101" i="16"/>
  <c r="NF101" i="16"/>
  <c r="NE101" i="16"/>
  <c r="ND101" i="16"/>
  <c r="NA101" i="16"/>
  <c r="MZ101" i="16"/>
  <c r="MY101" i="16"/>
  <c r="MX101" i="16"/>
  <c r="MW101" i="16"/>
  <c r="MV101" i="16"/>
  <c r="MU101" i="16"/>
  <c r="MR101" i="16"/>
  <c r="MQ101" i="16"/>
  <c r="MP101" i="16"/>
  <c r="MO101" i="16"/>
  <c r="MN101" i="16"/>
  <c r="MM101" i="16"/>
  <c r="ML101" i="16"/>
  <c r="MI101" i="16"/>
  <c r="MH101" i="16"/>
  <c r="MG101" i="16"/>
  <c r="MF101" i="16"/>
  <c r="ME101" i="16"/>
  <c r="MD101" i="16"/>
  <c r="MC101" i="16"/>
  <c r="LZ101" i="16"/>
  <c r="LY101" i="16"/>
  <c r="LX101" i="16"/>
  <c r="LW101" i="16"/>
  <c r="LV101" i="16"/>
  <c r="LU101" i="16"/>
  <c r="LT101" i="16"/>
  <c r="LQ101" i="16"/>
  <c r="LP101" i="16"/>
  <c r="LO101" i="16"/>
  <c r="LN101" i="16"/>
  <c r="LM101" i="16"/>
  <c r="LL101" i="16"/>
  <c r="LK101" i="16"/>
  <c r="LH101" i="16"/>
  <c r="LG101" i="16"/>
  <c r="LF101" i="16"/>
  <c r="LE101" i="16"/>
  <c r="LD101" i="16"/>
  <c r="LC101" i="16"/>
  <c r="LB101" i="16"/>
  <c r="KY101" i="16"/>
  <c r="KX101" i="16"/>
  <c r="KW101" i="16"/>
  <c r="KV101" i="16"/>
  <c r="KU101" i="16"/>
  <c r="KT101" i="16"/>
  <c r="KS101" i="16"/>
  <c r="KP101" i="16"/>
  <c r="KO101" i="16"/>
  <c r="KN101" i="16"/>
  <c r="KM101" i="16"/>
  <c r="KL101" i="16"/>
  <c r="KK101" i="16"/>
  <c r="KJ101" i="16"/>
  <c r="KG101" i="16"/>
  <c r="KF101" i="16"/>
  <c r="KE101" i="16"/>
  <c r="KD101" i="16"/>
  <c r="KC101" i="16"/>
  <c r="KB101" i="16"/>
  <c r="KA101" i="16"/>
  <c r="JX101" i="16"/>
  <c r="JW101" i="16"/>
  <c r="JV101" i="16"/>
  <c r="JU101" i="16"/>
  <c r="JT101" i="16"/>
  <c r="JS101" i="16"/>
  <c r="JR101" i="16"/>
  <c r="JO101" i="16"/>
  <c r="JN101" i="16"/>
  <c r="JM101" i="16"/>
  <c r="JL101" i="16"/>
  <c r="JK101" i="16"/>
  <c r="JJ101" i="16"/>
  <c r="JI101" i="16"/>
  <c r="JF101" i="16"/>
  <c r="JE101" i="16"/>
  <c r="JD101" i="16"/>
  <c r="JC101" i="16"/>
  <c r="JB101" i="16"/>
  <c r="JA101" i="16"/>
  <c r="IZ101" i="16"/>
  <c r="IQ101" i="16"/>
  <c r="IP101" i="16"/>
  <c r="IO101" i="16"/>
  <c r="IN101" i="16"/>
  <c r="IM101" i="16"/>
  <c r="IL101" i="16"/>
  <c r="IK101" i="16"/>
  <c r="IJ101" i="16"/>
  <c r="II101" i="16"/>
  <c r="IF101" i="16"/>
  <c r="IE101" i="16"/>
  <c r="ID101" i="16"/>
  <c r="IC101" i="16"/>
  <c r="IB101" i="16"/>
  <c r="IA101" i="16"/>
  <c r="HX101" i="16"/>
  <c r="HW101" i="16"/>
  <c r="HV101" i="16"/>
  <c r="HU101" i="16"/>
  <c r="HT101" i="16"/>
  <c r="HS101" i="16"/>
  <c r="HP101" i="16"/>
  <c r="HO101" i="16"/>
  <c r="HN101" i="16"/>
  <c r="HM101" i="16"/>
  <c r="HL101" i="16"/>
  <c r="HK101" i="16"/>
  <c r="HH101" i="16"/>
  <c r="HG101" i="16"/>
  <c r="HF101" i="16"/>
  <c r="HE101" i="16"/>
  <c r="HD101" i="16"/>
  <c r="HC101" i="16"/>
  <c r="GZ101" i="16"/>
  <c r="GY101" i="16"/>
  <c r="GX101" i="16"/>
  <c r="GW101" i="16"/>
  <c r="GV101" i="16"/>
  <c r="GU101" i="16"/>
  <c r="GR101" i="16"/>
  <c r="GQ101" i="16"/>
  <c r="GP101" i="16"/>
  <c r="GO101" i="16"/>
  <c r="GN101" i="16"/>
  <c r="GM101" i="16"/>
  <c r="GJ101" i="16"/>
  <c r="GI101" i="16"/>
  <c r="GH101" i="16"/>
  <c r="GG101" i="16"/>
  <c r="GF101" i="16"/>
  <c r="GE101" i="16"/>
  <c r="GB101" i="16"/>
  <c r="GA101" i="16"/>
  <c r="FZ101" i="16"/>
  <c r="FY101" i="16"/>
  <c r="FX101" i="16"/>
  <c r="FW101" i="16"/>
  <c r="FT101" i="16"/>
  <c r="FS101" i="16"/>
  <c r="FR101" i="16"/>
  <c r="FQ101" i="16"/>
  <c r="FP101" i="16"/>
  <c r="FO101" i="16"/>
  <c r="FL101" i="16"/>
  <c r="FK101" i="16"/>
  <c r="FJ101" i="16"/>
  <c r="FI101" i="16"/>
  <c r="FH101" i="16"/>
  <c r="FG101" i="16"/>
  <c r="FD101" i="16"/>
  <c r="FC101" i="16"/>
  <c r="FB101" i="16"/>
  <c r="FA101" i="16"/>
  <c r="EZ101" i="16"/>
  <c r="EY101" i="16"/>
  <c r="EV101" i="16"/>
  <c r="EU101" i="16"/>
  <c r="ET101" i="16"/>
  <c r="ES101" i="16"/>
  <c r="ER101" i="16"/>
  <c r="EQ101" i="16"/>
  <c r="EN101" i="16"/>
  <c r="EM101" i="16"/>
  <c r="EL101" i="16"/>
  <c r="EK101" i="16"/>
  <c r="EJ101" i="16"/>
  <c r="EI101" i="16"/>
  <c r="EF101" i="16"/>
  <c r="EE101" i="16"/>
  <c r="ED101" i="16"/>
  <c r="EC101" i="16"/>
  <c r="EB101" i="16"/>
  <c r="EA101" i="16"/>
  <c r="DX101" i="16"/>
  <c r="DW101" i="16"/>
  <c r="DV101" i="16"/>
  <c r="DU101" i="16"/>
  <c r="DT101" i="16"/>
  <c r="DS101" i="16"/>
  <c r="DP101" i="16"/>
  <c r="DO101" i="16"/>
  <c r="DN101" i="16"/>
  <c r="DM101" i="16"/>
  <c r="DL101" i="16"/>
  <c r="DK101" i="16"/>
  <c r="DG101" i="16"/>
  <c r="DE101" i="16"/>
  <c r="DD101" i="16"/>
  <c r="DC101" i="16"/>
  <c r="DA101" i="16"/>
  <c r="CZ101" i="16"/>
  <c r="CY101" i="16"/>
  <c r="CX101" i="16"/>
  <c r="CU101" i="16"/>
  <c r="CT101" i="16"/>
  <c r="CS101" i="16"/>
  <c r="CR101" i="16"/>
  <c r="CO101" i="16"/>
  <c r="CN101" i="16"/>
  <c r="CM101" i="16"/>
  <c r="CL101" i="16"/>
  <c r="CI101" i="16"/>
  <c r="CH101" i="16"/>
  <c r="CG101" i="16"/>
  <c r="CF101" i="16"/>
  <c r="CC101" i="16"/>
  <c r="CB101" i="16"/>
  <c r="CA101" i="16"/>
  <c r="BZ101" i="16"/>
  <c r="BW101" i="16"/>
  <c r="BV101" i="16"/>
  <c r="BU101" i="16"/>
  <c r="BT101" i="16"/>
  <c r="BQ101" i="16"/>
  <c r="BP101" i="16"/>
  <c r="BO101" i="16"/>
  <c r="BN101" i="16"/>
  <c r="BK101" i="16"/>
  <c r="BJ101" i="16"/>
  <c r="BI101" i="16"/>
  <c r="BH101" i="16"/>
  <c r="BE101" i="16"/>
  <c r="BD101" i="16"/>
  <c r="BC101" i="16"/>
  <c r="BB101" i="16"/>
  <c r="AY101" i="16"/>
  <c r="AX101" i="16"/>
  <c r="AW101" i="16"/>
  <c r="AV101" i="16"/>
  <c r="AS101" i="16"/>
  <c r="AR101" i="16"/>
  <c r="AQ101" i="16"/>
  <c r="AP101" i="16"/>
  <c r="AM101" i="16"/>
  <c r="AL101" i="16"/>
  <c r="AK101" i="16"/>
  <c r="AJ101" i="16"/>
  <c r="AG101" i="16"/>
  <c r="AF101" i="16"/>
  <c r="AE101" i="16"/>
  <c r="AD101" i="16"/>
  <c r="AA101" i="16"/>
  <c r="Z101" i="16"/>
  <c r="Y101" i="16"/>
  <c r="X101" i="16"/>
  <c r="U101" i="16"/>
  <c r="T101" i="16"/>
  <c r="S101" i="16"/>
  <c r="R101" i="16"/>
  <c r="O101" i="16"/>
  <c r="N101" i="16"/>
  <c r="M101" i="16"/>
  <c r="L101" i="16"/>
  <c r="I101" i="16"/>
  <c r="H101" i="16"/>
  <c r="G101" i="16"/>
  <c r="F101" i="16"/>
  <c r="OW100" i="16"/>
  <c r="OV100" i="16"/>
  <c r="OU100" i="16"/>
  <c r="OT100" i="16"/>
  <c r="OS100" i="16"/>
  <c r="OR100" i="16"/>
  <c r="OQ100" i="16"/>
  <c r="OP100" i="16"/>
  <c r="OO100" i="16"/>
  <c r="ON100" i="16"/>
  <c r="OK100" i="16"/>
  <c r="OJ100" i="16"/>
  <c r="OI100" i="16"/>
  <c r="OH100" i="16"/>
  <c r="OG100" i="16"/>
  <c r="OF100" i="16"/>
  <c r="OE100" i="16"/>
  <c r="OB100" i="16"/>
  <c r="OA100" i="16"/>
  <c r="NZ100" i="16"/>
  <c r="NY100" i="16"/>
  <c r="NX100" i="16"/>
  <c r="NW100" i="16"/>
  <c r="NV100" i="16"/>
  <c r="NS100" i="16"/>
  <c r="NR100" i="16"/>
  <c r="NQ100" i="16"/>
  <c r="NP100" i="16"/>
  <c r="NO100" i="16"/>
  <c r="NN100" i="16"/>
  <c r="NM100" i="16"/>
  <c r="NJ100" i="16"/>
  <c r="NI100" i="16"/>
  <c r="NH100" i="16"/>
  <c r="NG100" i="16"/>
  <c r="NF100" i="16"/>
  <c r="NE100" i="16"/>
  <c r="ND100" i="16"/>
  <c r="NA100" i="16"/>
  <c r="MZ100" i="16"/>
  <c r="MY100" i="16"/>
  <c r="MX100" i="16"/>
  <c r="MW100" i="16"/>
  <c r="MV100" i="16"/>
  <c r="MU100" i="16"/>
  <c r="MR100" i="16"/>
  <c r="MQ100" i="16"/>
  <c r="MP100" i="16"/>
  <c r="MO100" i="16"/>
  <c r="MN100" i="16"/>
  <c r="MM100" i="16"/>
  <c r="ML100" i="16"/>
  <c r="MI100" i="16"/>
  <c r="MH100" i="16"/>
  <c r="MG100" i="16"/>
  <c r="MF100" i="16"/>
  <c r="ME100" i="16"/>
  <c r="MD100" i="16"/>
  <c r="MC100" i="16"/>
  <c r="LZ100" i="16"/>
  <c r="LY100" i="16"/>
  <c r="LX100" i="16"/>
  <c r="LW100" i="16"/>
  <c r="LV100" i="16"/>
  <c r="LU100" i="16"/>
  <c r="LT100" i="16"/>
  <c r="LQ100" i="16"/>
  <c r="LP100" i="16"/>
  <c r="LO100" i="16"/>
  <c r="LN100" i="16"/>
  <c r="LM100" i="16"/>
  <c r="LL100" i="16"/>
  <c r="LK100" i="16"/>
  <c r="LH100" i="16"/>
  <c r="LG100" i="16"/>
  <c r="LF100" i="16"/>
  <c r="LE100" i="16"/>
  <c r="LD100" i="16"/>
  <c r="LC100" i="16"/>
  <c r="LB100" i="16"/>
  <c r="KY100" i="16"/>
  <c r="KX100" i="16"/>
  <c r="KW100" i="16"/>
  <c r="KV100" i="16"/>
  <c r="KU100" i="16"/>
  <c r="KT100" i="16"/>
  <c r="KS100" i="16"/>
  <c r="KP100" i="16"/>
  <c r="KO100" i="16"/>
  <c r="KN100" i="16"/>
  <c r="KM100" i="16"/>
  <c r="KL100" i="16"/>
  <c r="KK100" i="16"/>
  <c r="KJ100" i="16"/>
  <c r="KG100" i="16"/>
  <c r="KF100" i="16"/>
  <c r="KE100" i="16"/>
  <c r="KD100" i="16"/>
  <c r="KC100" i="16"/>
  <c r="KB100" i="16"/>
  <c r="KA100" i="16"/>
  <c r="JX100" i="16"/>
  <c r="JW100" i="16"/>
  <c r="JV100" i="16"/>
  <c r="JU100" i="16"/>
  <c r="JT100" i="16"/>
  <c r="JS100" i="16"/>
  <c r="JR100" i="16"/>
  <c r="JO100" i="16"/>
  <c r="JN100" i="16"/>
  <c r="JM100" i="16"/>
  <c r="JL100" i="16"/>
  <c r="JK100" i="16"/>
  <c r="JJ100" i="16"/>
  <c r="JI100" i="16"/>
  <c r="JF100" i="16"/>
  <c r="JE100" i="16"/>
  <c r="JD100" i="16"/>
  <c r="JC100" i="16"/>
  <c r="JB100" i="16"/>
  <c r="JA100" i="16"/>
  <c r="IZ100" i="16"/>
  <c r="IQ100" i="16"/>
  <c r="IP100" i="16"/>
  <c r="IO100" i="16"/>
  <c r="IN100" i="16"/>
  <c r="IM100" i="16"/>
  <c r="IL100" i="16"/>
  <c r="IK100" i="16"/>
  <c r="IJ100" i="16"/>
  <c r="II100" i="16"/>
  <c r="IF100" i="16"/>
  <c r="IE100" i="16"/>
  <c r="ID100" i="16"/>
  <c r="IC100" i="16"/>
  <c r="IB100" i="16"/>
  <c r="IA100" i="16"/>
  <c r="HX100" i="16"/>
  <c r="HW100" i="16"/>
  <c r="HV100" i="16"/>
  <c r="HU100" i="16"/>
  <c r="HT100" i="16"/>
  <c r="HS100" i="16"/>
  <c r="HP100" i="16"/>
  <c r="HO100" i="16"/>
  <c r="HN100" i="16"/>
  <c r="HM100" i="16"/>
  <c r="HL100" i="16"/>
  <c r="HK100" i="16"/>
  <c r="HH100" i="16"/>
  <c r="HG100" i="16"/>
  <c r="HF100" i="16"/>
  <c r="HE100" i="16"/>
  <c r="HD100" i="16"/>
  <c r="HC100" i="16"/>
  <c r="GZ100" i="16"/>
  <c r="GY100" i="16"/>
  <c r="GX100" i="16"/>
  <c r="GW100" i="16"/>
  <c r="GV100" i="16"/>
  <c r="GU100" i="16"/>
  <c r="GR100" i="16"/>
  <c r="GQ100" i="16"/>
  <c r="GP100" i="16"/>
  <c r="GO100" i="16"/>
  <c r="GN100" i="16"/>
  <c r="GM100" i="16"/>
  <c r="GJ100" i="16"/>
  <c r="GI100" i="16"/>
  <c r="GH100" i="16"/>
  <c r="GG100" i="16"/>
  <c r="GF100" i="16"/>
  <c r="GE100" i="16"/>
  <c r="GB100" i="16"/>
  <c r="GA100" i="16"/>
  <c r="FZ100" i="16"/>
  <c r="FY100" i="16"/>
  <c r="FX100" i="16"/>
  <c r="FW100" i="16"/>
  <c r="FT100" i="16"/>
  <c r="FS100" i="16"/>
  <c r="FR100" i="16"/>
  <c r="FQ100" i="16"/>
  <c r="FP100" i="16"/>
  <c r="FO100" i="16"/>
  <c r="FL100" i="16"/>
  <c r="FK100" i="16"/>
  <c r="FJ100" i="16"/>
  <c r="FI100" i="16"/>
  <c r="FH100" i="16"/>
  <c r="FG100" i="16"/>
  <c r="FD100" i="16"/>
  <c r="FC100" i="16"/>
  <c r="FB100" i="16"/>
  <c r="FA100" i="16"/>
  <c r="EZ100" i="16"/>
  <c r="EY100" i="16"/>
  <c r="EV100" i="16"/>
  <c r="EU100" i="16"/>
  <c r="ET100" i="16"/>
  <c r="ES100" i="16"/>
  <c r="ER100" i="16"/>
  <c r="EQ100" i="16"/>
  <c r="EN100" i="16"/>
  <c r="EM100" i="16"/>
  <c r="EL100" i="16"/>
  <c r="EK100" i="16"/>
  <c r="EJ100" i="16"/>
  <c r="EI100" i="16"/>
  <c r="EF100" i="16"/>
  <c r="EE100" i="16"/>
  <c r="ED100" i="16"/>
  <c r="EC100" i="16"/>
  <c r="EB100" i="16"/>
  <c r="EA100" i="16"/>
  <c r="DX100" i="16"/>
  <c r="DW100" i="16"/>
  <c r="DV100" i="16"/>
  <c r="DU100" i="16"/>
  <c r="DT100" i="16"/>
  <c r="DS100" i="16"/>
  <c r="DP100" i="16"/>
  <c r="DO100" i="16"/>
  <c r="DN100" i="16"/>
  <c r="DM100" i="16"/>
  <c r="DL100" i="16"/>
  <c r="DK100" i="16"/>
  <c r="DG100" i="16"/>
  <c r="DE100" i="16"/>
  <c r="DD100" i="16"/>
  <c r="DC100" i="16"/>
  <c r="DA100" i="16"/>
  <c r="CZ100" i="16"/>
  <c r="CY100" i="16"/>
  <c r="CX100" i="16"/>
  <c r="CU100" i="16"/>
  <c r="CT100" i="16"/>
  <c r="CS100" i="16"/>
  <c r="CR100" i="16"/>
  <c r="CO100" i="16"/>
  <c r="CN100" i="16"/>
  <c r="CM100" i="16"/>
  <c r="CL100" i="16"/>
  <c r="CI100" i="16"/>
  <c r="CH100" i="16"/>
  <c r="CG100" i="16"/>
  <c r="CF100" i="16"/>
  <c r="CC100" i="16"/>
  <c r="CB100" i="16"/>
  <c r="CA100" i="16"/>
  <c r="BZ100" i="16"/>
  <c r="BW100" i="16"/>
  <c r="BV100" i="16"/>
  <c r="BU100" i="16"/>
  <c r="BT100" i="16"/>
  <c r="BQ100" i="16"/>
  <c r="BP100" i="16"/>
  <c r="BO100" i="16"/>
  <c r="BN100" i="16"/>
  <c r="BK100" i="16"/>
  <c r="BJ100" i="16"/>
  <c r="BI100" i="16"/>
  <c r="BH100" i="16"/>
  <c r="BE100" i="16"/>
  <c r="BD100" i="16"/>
  <c r="BC100" i="16"/>
  <c r="BB100" i="16"/>
  <c r="AY100" i="16"/>
  <c r="AX100" i="16"/>
  <c r="AW100" i="16"/>
  <c r="AV100" i="16"/>
  <c r="AS100" i="16"/>
  <c r="AR100" i="16"/>
  <c r="AQ100" i="16"/>
  <c r="AP100" i="16"/>
  <c r="AM100" i="16"/>
  <c r="AL100" i="16"/>
  <c r="AK100" i="16"/>
  <c r="AJ100" i="16"/>
  <c r="AG100" i="16"/>
  <c r="AF100" i="16"/>
  <c r="AE100" i="16"/>
  <c r="AD100" i="16"/>
  <c r="AA100" i="16"/>
  <c r="Z100" i="16"/>
  <c r="Y100" i="16"/>
  <c r="X100" i="16"/>
  <c r="U100" i="16"/>
  <c r="T100" i="16"/>
  <c r="S100" i="16"/>
  <c r="R100" i="16"/>
  <c r="O100" i="16"/>
  <c r="N100" i="16"/>
  <c r="M100" i="16"/>
  <c r="L100" i="16"/>
  <c r="I100" i="16"/>
  <c r="H100" i="16"/>
  <c r="G100" i="16"/>
  <c r="F100" i="16"/>
  <c r="OW99" i="16"/>
  <c r="OV99" i="16"/>
  <c r="OU99" i="16"/>
  <c r="OT99" i="16"/>
  <c r="OS99" i="16"/>
  <c r="OR99" i="16"/>
  <c r="OQ99" i="16"/>
  <c r="OP99" i="16"/>
  <c r="OO99" i="16"/>
  <c r="ON99" i="16"/>
  <c r="OK99" i="16"/>
  <c r="OJ99" i="16"/>
  <c r="OI99" i="16"/>
  <c r="OH99" i="16"/>
  <c r="OG99" i="16"/>
  <c r="OF99" i="16"/>
  <c r="OE99" i="16"/>
  <c r="OB99" i="16"/>
  <c r="OA99" i="16"/>
  <c r="NZ99" i="16"/>
  <c r="NY99" i="16"/>
  <c r="NX99" i="16"/>
  <c r="NW99" i="16"/>
  <c r="NV99" i="16"/>
  <c r="NS99" i="16"/>
  <c r="NR99" i="16"/>
  <c r="NQ99" i="16"/>
  <c r="NP99" i="16"/>
  <c r="NO99" i="16"/>
  <c r="NN99" i="16"/>
  <c r="NM99" i="16"/>
  <c r="NJ99" i="16"/>
  <c r="NI99" i="16"/>
  <c r="NH99" i="16"/>
  <c r="NG99" i="16"/>
  <c r="NF99" i="16"/>
  <c r="NE99" i="16"/>
  <c r="ND99" i="16"/>
  <c r="NA99" i="16"/>
  <c r="MZ99" i="16"/>
  <c r="MY99" i="16"/>
  <c r="MX99" i="16"/>
  <c r="MW99" i="16"/>
  <c r="MV99" i="16"/>
  <c r="MU99" i="16"/>
  <c r="MR99" i="16"/>
  <c r="MQ99" i="16"/>
  <c r="MP99" i="16"/>
  <c r="MO99" i="16"/>
  <c r="MN99" i="16"/>
  <c r="MM99" i="16"/>
  <c r="ML99" i="16"/>
  <c r="MI99" i="16"/>
  <c r="MH99" i="16"/>
  <c r="MG99" i="16"/>
  <c r="MF99" i="16"/>
  <c r="ME99" i="16"/>
  <c r="MD99" i="16"/>
  <c r="MC99" i="16"/>
  <c r="LZ99" i="16"/>
  <c r="LY99" i="16"/>
  <c r="LX99" i="16"/>
  <c r="LW99" i="16"/>
  <c r="LV99" i="16"/>
  <c r="LU99" i="16"/>
  <c r="LT99" i="16"/>
  <c r="LQ99" i="16"/>
  <c r="LP99" i="16"/>
  <c r="LO99" i="16"/>
  <c r="LN99" i="16"/>
  <c r="LM99" i="16"/>
  <c r="LL99" i="16"/>
  <c r="LK99" i="16"/>
  <c r="LH99" i="16"/>
  <c r="LG99" i="16"/>
  <c r="LF99" i="16"/>
  <c r="LE99" i="16"/>
  <c r="LD99" i="16"/>
  <c r="LC99" i="16"/>
  <c r="LB99" i="16"/>
  <c r="KY99" i="16"/>
  <c r="KX99" i="16"/>
  <c r="KW99" i="16"/>
  <c r="KV99" i="16"/>
  <c r="KU99" i="16"/>
  <c r="KT99" i="16"/>
  <c r="KS99" i="16"/>
  <c r="KP99" i="16"/>
  <c r="KO99" i="16"/>
  <c r="KN99" i="16"/>
  <c r="KM99" i="16"/>
  <c r="KL99" i="16"/>
  <c r="KK99" i="16"/>
  <c r="KJ99" i="16"/>
  <c r="KG99" i="16"/>
  <c r="KF99" i="16"/>
  <c r="KE99" i="16"/>
  <c r="KD99" i="16"/>
  <c r="KC99" i="16"/>
  <c r="KB99" i="16"/>
  <c r="KA99" i="16"/>
  <c r="JX99" i="16"/>
  <c r="JW99" i="16"/>
  <c r="JV99" i="16"/>
  <c r="JU99" i="16"/>
  <c r="JT99" i="16"/>
  <c r="JS99" i="16"/>
  <c r="JR99" i="16"/>
  <c r="JO99" i="16"/>
  <c r="JN99" i="16"/>
  <c r="JM99" i="16"/>
  <c r="JL99" i="16"/>
  <c r="JK99" i="16"/>
  <c r="JJ99" i="16"/>
  <c r="JI99" i="16"/>
  <c r="JF99" i="16"/>
  <c r="JE99" i="16"/>
  <c r="JD99" i="16"/>
  <c r="JC99" i="16"/>
  <c r="JB99" i="16"/>
  <c r="JA99" i="16"/>
  <c r="IZ99" i="16"/>
  <c r="IQ99" i="16"/>
  <c r="IP99" i="16"/>
  <c r="IO99" i="16"/>
  <c r="IN99" i="16"/>
  <c r="IM99" i="16"/>
  <c r="IL99" i="16"/>
  <c r="IK99" i="16"/>
  <c r="IJ99" i="16"/>
  <c r="II99" i="16"/>
  <c r="IF99" i="16"/>
  <c r="IE99" i="16"/>
  <c r="ID99" i="16"/>
  <c r="IC99" i="16"/>
  <c r="IB99" i="16"/>
  <c r="IA99" i="16"/>
  <c r="HX99" i="16"/>
  <c r="HW99" i="16"/>
  <c r="HV99" i="16"/>
  <c r="HU99" i="16"/>
  <c r="HT99" i="16"/>
  <c r="HS99" i="16"/>
  <c r="HP99" i="16"/>
  <c r="HO99" i="16"/>
  <c r="HN99" i="16"/>
  <c r="HM99" i="16"/>
  <c r="HL99" i="16"/>
  <c r="HK99" i="16"/>
  <c r="HH99" i="16"/>
  <c r="HG99" i="16"/>
  <c r="HF99" i="16"/>
  <c r="HE99" i="16"/>
  <c r="HD99" i="16"/>
  <c r="HC99" i="16"/>
  <c r="GZ99" i="16"/>
  <c r="GY99" i="16"/>
  <c r="GX99" i="16"/>
  <c r="GW99" i="16"/>
  <c r="GV99" i="16"/>
  <c r="GU99" i="16"/>
  <c r="GR99" i="16"/>
  <c r="GQ99" i="16"/>
  <c r="GP99" i="16"/>
  <c r="GO99" i="16"/>
  <c r="GN99" i="16"/>
  <c r="GM99" i="16"/>
  <c r="GJ99" i="16"/>
  <c r="GI99" i="16"/>
  <c r="GH99" i="16"/>
  <c r="GG99" i="16"/>
  <c r="GF99" i="16"/>
  <c r="GE99" i="16"/>
  <c r="GB99" i="16"/>
  <c r="GA99" i="16"/>
  <c r="FZ99" i="16"/>
  <c r="FY99" i="16"/>
  <c r="FX99" i="16"/>
  <c r="FW99" i="16"/>
  <c r="FT99" i="16"/>
  <c r="FS99" i="16"/>
  <c r="FR99" i="16"/>
  <c r="FQ99" i="16"/>
  <c r="FP99" i="16"/>
  <c r="FO99" i="16"/>
  <c r="FL99" i="16"/>
  <c r="FK99" i="16"/>
  <c r="FJ99" i="16"/>
  <c r="FI99" i="16"/>
  <c r="FH99" i="16"/>
  <c r="FG99" i="16"/>
  <c r="FD99" i="16"/>
  <c r="FC99" i="16"/>
  <c r="FB99" i="16"/>
  <c r="FA99" i="16"/>
  <c r="EZ99" i="16"/>
  <c r="EY99" i="16"/>
  <c r="EV99" i="16"/>
  <c r="EU99" i="16"/>
  <c r="ET99" i="16"/>
  <c r="ES99" i="16"/>
  <c r="ER99" i="16"/>
  <c r="EQ99" i="16"/>
  <c r="EN99" i="16"/>
  <c r="EM99" i="16"/>
  <c r="EL99" i="16"/>
  <c r="EK99" i="16"/>
  <c r="EJ99" i="16"/>
  <c r="EI99" i="16"/>
  <c r="EF99" i="16"/>
  <c r="EE99" i="16"/>
  <c r="ED99" i="16"/>
  <c r="EC99" i="16"/>
  <c r="EB99" i="16"/>
  <c r="EA99" i="16"/>
  <c r="DX99" i="16"/>
  <c r="DW99" i="16"/>
  <c r="DV99" i="16"/>
  <c r="DU99" i="16"/>
  <c r="DT99" i="16"/>
  <c r="DS99" i="16"/>
  <c r="DP99" i="16"/>
  <c r="DO99" i="16"/>
  <c r="DN99" i="16"/>
  <c r="DM99" i="16"/>
  <c r="DL99" i="16"/>
  <c r="DK99" i="16"/>
  <c r="DG99" i="16"/>
  <c r="DE99" i="16"/>
  <c r="DD99" i="16"/>
  <c r="DC99" i="16"/>
  <c r="DA99" i="16"/>
  <c r="CZ99" i="16"/>
  <c r="CY99" i="16"/>
  <c r="CX99" i="16"/>
  <c r="CU99" i="16"/>
  <c r="CT99" i="16"/>
  <c r="CS99" i="16"/>
  <c r="CR99" i="16"/>
  <c r="CO99" i="16"/>
  <c r="CN99" i="16"/>
  <c r="CM99" i="16"/>
  <c r="CL99" i="16"/>
  <c r="CI99" i="16"/>
  <c r="CH99" i="16"/>
  <c r="CG99" i="16"/>
  <c r="CF99" i="16"/>
  <c r="CC99" i="16"/>
  <c r="CB99" i="16"/>
  <c r="CA99" i="16"/>
  <c r="BZ99" i="16"/>
  <c r="BW99" i="16"/>
  <c r="BV99" i="16"/>
  <c r="BU99" i="16"/>
  <c r="BT99" i="16"/>
  <c r="BQ99" i="16"/>
  <c r="BP99" i="16"/>
  <c r="BO99" i="16"/>
  <c r="BN99" i="16"/>
  <c r="BK99" i="16"/>
  <c r="BJ99" i="16"/>
  <c r="BI99" i="16"/>
  <c r="BH99" i="16"/>
  <c r="BE99" i="16"/>
  <c r="BD99" i="16"/>
  <c r="BC99" i="16"/>
  <c r="BB99" i="16"/>
  <c r="AY99" i="16"/>
  <c r="AX99" i="16"/>
  <c r="AW99" i="16"/>
  <c r="AV99" i="16"/>
  <c r="AS99" i="16"/>
  <c r="AR99" i="16"/>
  <c r="AQ99" i="16"/>
  <c r="AP99" i="16"/>
  <c r="AM99" i="16"/>
  <c r="AL99" i="16"/>
  <c r="AK99" i="16"/>
  <c r="AJ99" i="16"/>
  <c r="AG99" i="16"/>
  <c r="AF99" i="16"/>
  <c r="AE99" i="16"/>
  <c r="AD99" i="16"/>
  <c r="AA99" i="16"/>
  <c r="Z99" i="16"/>
  <c r="Y99" i="16"/>
  <c r="X99" i="16"/>
  <c r="U99" i="16"/>
  <c r="T99" i="16"/>
  <c r="S99" i="16"/>
  <c r="R99" i="16"/>
  <c r="O99" i="16"/>
  <c r="N99" i="16"/>
  <c r="M99" i="16"/>
  <c r="L99" i="16"/>
  <c r="I99" i="16"/>
  <c r="H99" i="16"/>
  <c r="G99" i="16"/>
  <c r="F99" i="16"/>
  <c r="OW98" i="16"/>
  <c r="OV98" i="16"/>
  <c r="OU98" i="16"/>
  <c r="OT98" i="16"/>
  <c r="OS98" i="16"/>
  <c r="OR98" i="16"/>
  <c r="OQ98" i="16"/>
  <c r="OP98" i="16"/>
  <c r="OO98" i="16"/>
  <c r="ON98" i="16"/>
  <c r="OK98" i="16"/>
  <c r="OJ98" i="16"/>
  <c r="OI98" i="16"/>
  <c r="OH98" i="16"/>
  <c r="OG98" i="16"/>
  <c r="OF98" i="16"/>
  <c r="OE98" i="16"/>
  <c r="OB98" i="16"/>
  <c r="OA98" i="16"/>
  <c r="NZ98" i="16"/>
  <c r="NY98" i="16"/>
  <c r="NX98" i="16"/>
  <c r="NW98" i="16"/>
  <c r="NV98" i="16"/>
  <c r="NS98" i="16"/>
  <c r="NR98" i="16"/>
  <c r="NQ98" i="16"/>
  <c r="NP98" i="16"/>
  <c r="NO98" i="16"/>
  <c r="NN98" i="16"/>
  <c r="NM98" i="16"/>
  <c r="NJ98" i="16"/>
  <c r="NI98" i="16"/>
  <c r="NH98" i="16"/>
  <c r="NG98" i="16"/>
  <c r="NF98" i="16"/>
  <c r="NE98" i="16"/>
  <c r="ND98" i="16"/>
  <c r="NA98" i="16"/>
  <c r="MZ98" i="16"/>
  <c r="MY98" i="16"/>
  <c r="MX98" i="16"/>
  <c r="MW98" i="16"/>
  <c r="MV98" i="16"/>
  <c r="MU98" i="16"/>
  <c r="MR98" i="16"/>
  <c r="MQ98" i="16"/>
  <c r="MP98" i="16"/>
  <c r="MO98" i="16"/>
  <c r="MN98" i="16"/>
  <c r="MM98" i="16"/>
  <c r="ML98" i="16"/>
  <c r="MI98" i="16"/>
  <c r="MH98" i="16"/>
  <c r="MG98" i="16"/>
  <c r="MF98" i="16"/>
  <c r="ME98" i="16"/>
  <c r="MD98" i="16"/>
  <c r="MC98" i="16"/>
  <c r="LZ98" i="16"/>
  <c r="LY98" i="16"/>
  <c r="LX98" i="16"/>
  <c r="LW98" i="16"/>
  <c r="LV98" i="16"/>
  <c r="LU98" i="16"/>
  <c r="LT98" i="16"/>
  <c r="LQ98" i="16"/>
  <c r="LP98" i="16"/>
  <c r="LO98" i="16"/>
  <c r="LN98" i="16"/>
  <c r="LM98" i="16"/>
  <c r="LL98" i="16"/>
  <c r="LK98" i="16"/>
  <c r="LH98" i="16"/>
  <c r="LG98" i="16"/>
  <c r="LF98" i="16"/>
  <c r="LE98" i="16"/>
  <c r="LD98" i="16"/>
  <c r="LC98" i="16"/>
  <c r="LB98" i="16"/>
  <c r="KY98" i="16"/>
  <c r="KX98" i="16"/>
  <c r="KW98" i="16"/>
  <c r="KV98" i="16"/>
  <c r="KU98" i="16"/>
  <c r="KT98" i="16"/>
  <c r="KS98" i="16"/>
  <c r="KP98" i="16"/>
  <c r="KO98" i="16"/>
  <c r="KN98" i="16"/>
  <c r="KM98" i="16"/>
  <c r="KL98" i="16"/>
  <c r="KK98" i="16"/>
  <c r="KJ98" i="16"/>
  <c r="KG98" i="16"/>
  <c r="KF98" i="16"/>
  <c r="KE98" i="16"/>
  <c r="KD98" i="16"/>
  <c r="KC98" i="16"/>
  <c r="KB98" i="16"/>
  <c r="KA98" i="16"/>
  <c r="JX98" i="16"/>
  <c r="JW98" i="16"/>
  <c r="JV98" i="16"/>
  <c r="JU98" i="16"/>
  <c r="JT98" i="16"/>
  <c r="JS98" i="16"/>
  <c r="JR98" i="16"/>
  <c r="JO98" i="16"/>
  <c r="JN98" i="16"/>
  <c r="JM98" i="16"/>
  <c r="JL98" i="16"/>
  <c r="JK98" i="16"/>
  <c r="JJ98" i="16"/>
  <c r="JI98" i="16"/>
  <c r="JF98" i="16"/>
  <c r="JE98" i="16"/>
  <c r="JD98" i="16"/>
  <c r="JC98" i="16"/>
  <c r="JB98" i="16"/>
  <c r="JA98" i="16"/>
  <c r="IZ98" i="16"/>
  <c r="IQ98" i="16"/>
  <c r="IP98" i="16"/>
  <c r="IO98" i="16"/>
  <c r="IN98" i="16"/>
  <c r="IM98" i="16"/>
  <c r="IL98" i="16"/>
  <c r="IK98" i="16"/>
  <c r="IJ98" i="16"/>
  <c r="II98" i="16"/>
  <c r="IF98" i="16"/>
  <c r="IE98" i="16"/>
  <c r="ID98" i="16"/>
  <c r="IC98" i="16"/>
  <c r="IB98" i="16"/>
  <c r="IA98" i="16"/>
  <c r="HX98" i="16"/>
  <c r="HW98" i="16"/>
  <c r="HV98" i="16"/>
  <c r="HU98" i="16"/>
  <c r="HT98" i="16"/>
  <c r="HS98" i="16"/>
  <c r="HP98" i="16"/>
  <c r="HO98" i="16"/>
  <c r="HN98" i="16"/>
  <c r="HM98" i="16"/>
  <c r="HL98" i="16"/>
  <c r="HK98" i="16"/>
  <c r="HH98" i="16"/>
  <c r="HG98" i="16"/>
  <c r="HF98" i="16"/>
  <c r="HE98" i="16"/>
  <c r="HD98" i="16"/>
  <c r="HC98" i="16"/>
  <c r="GZ98" i="16"/>
  <c r="GY98" i="16"/>
  <c r="GX98" i="16"/>
  <c r="GW98" i="16"/>
  <c r="GV98" i="16"/>
  <c r="GU98" i="16"/>
  <c r="GR98" i="16"/>
  <c r="GQ98" i="16"/>
  <c r="GP98" i="16"/>
  <c r="GO98" i="16"/>
  <c r="GN98" i="16"/>
  <c r="GM98" i="16"/>
  <c r="GJ98" i="16"/>
  <c r="GI98" i="16"/>
  <c r="GH98" i="16"/>
  <c r="GG98" i="16"/>
  <c r="GF98" i="16"/>
  <c r="GE98" i="16"/>
  <c r="GB98" i="16"/>
  <c r="GA98" i="16"/>
  <c r="FZ98" i="16"/>
  <c r="FY98" i="16"/>
  <c r="FX98" i="16"/>
  <c r="FW98" i="16"/>
  <c r="FT98" i="16"/>
  <c r="FS98" i="16"/>
  <c r="FR98" i="16"/>
  <c r="FQ98" i="16"/>
  <c r="FP98" i="16"/>
  <c r="FO98" i="16"/>
  <c r="FL98" i="16"/>
  <c r="FK98" i="16"/>
  <c r="FJ98" i="16"/>
  <c r="FI98" i="16"/>
  <c r="FH98" i="16"/>
  <c r="FG98" i="16"/>
  <c r="FD98" i="16"/>
  <c r="FC98" i="16"/>
  <c r="FB98" i="16"/>
  <c r="FA98" i="16"/>
  <c r="EZ98" i="16"/>
  <c r="EY98" i="16"/>
  <c r="EV98" i="16"/>
  <c r="EU98" i="16"/>
  <c r="ET98" i="16"/>
  <c r="ES98" i="16"/>
  <c r="ER98" i="16"/>
  <c r="EQ98" i="16"/>
  <c r="EN98" i="16"/>
  <c r="EM98" i="16"/>
  <c r="EL98" i="16"/>
  <c r="EK98" i="16"/>
  <c r="EJ98" i="16"/>
  <c r="EI98" i="16"/>
  <c r="EF98" i="16"/>
  <c r="EE98" i="16"/>
  <c r="ED98" i="16"/>
  <c r="EC98" i="16"/>
  <c r="EB98" i="16"/>
  <c r="EA98" i="16"/>
  <c r="DX98" i="16"/>
  <c r="DW98" i="16"/>
  <c r="DV98" i="16"/>
  <c r="DU98" i="16"/>
  <c r="DT98" i="16"/>
  <c r="DS98" i="16"/>
  <c r="DP98" i="16"/>
  <c r="DO98" i="16"/>
  <c r="DN98" i="16"/>
  <c r="DM98" i="16"/>
  <c r="DL98" i="16"/>
  <c r="DK98" i="16"/>
  <c r="DG98" i="16"/>
  <c r="DE98" i="16"/>
  <c r="DD98" i="16"/>
  <c r="DC98" i="16"/>
  <c r="DA98" i="16"/>
  <c r="CZ98" i="16"/>
  <c r="CY98" i="16"/>
  <c r="CX98" i="16"/>
  <c r="CU98" i="16"/>
  <c r="CT98" i="16"/>
  <c r="CS98" i="16"/>
  <c r="CR98" i="16"/>
  <c r="CO98" i="16"/>
  <c r="CN98" i="16"/>
  <c r="CM98" i="16"/>
  <c r="CL98" i="16"/>
  <c r="CI98" i="16"/>
  <c r="CH98" i="16"/>
  <c r="CG98" i="16"/>
  <c r="CF98" i="16"/>
  <c r="CC98" i="16"/>
  <c r="CB98" i="16"/>
  <c r="CA98" i="16"/>
  <c r="BZ98" i="16"/>
  <c r="BW98" i="16"/>
  <c r="BV98" i="16"/>
  <c r="BU98" i="16"/>
  <c r="BT98" i="16"/>
  <c r="BQ98" i="16"/>
  <c r="BP98" i="16"/>
  <c r="BO98" i="16"/>
  <c r="BN98" i="16"/>
  <c r="BK98" i="16"/>
  <c r="BJ98" i="16"/>
  <c r="BI98" i="16"/>
  <c r="BH98" i="16"/>
  <c r="BE98" i="16"/>
  <c r="BD98" i="16"/>
  <c r="BC98" i="16"/>
  <c r="BB98" i="16"/>
  <c r="AY98" i="16"/>
  <c r="AX98" i="16"/>
  <c r="AW98" i="16"/>
  <c r="AV98" i="16"/>
  <c r="AS98" i="16"/>
  <c r="AR98" i="16"/>
  <c r="AQ98" i="16"/>
  <c r="AP98" i="16"/>
  <c r="AM98" i="16"/>
  <c r="AL98" i="16"/>
  <c r="AK98" i="16"/>
  <c r="AJ98" i="16"/>
  <c r="AG98" i="16"/>
  <c r="AF98" i="16"/>
  <c r="AE98" i="16"/>
  <c r="AD98" i="16"/>
  <c r="AA98" i="16"/>
  <c r="Z98" i="16"/>
  <c r="Y98" i="16"/>
  <c r="X98" i="16"/>
  <c r="U98" i="16"/>
  <c r="T98" i="16"/>
  <c r="S98" i="16"/>
  <c r="R98" i="16"/>
  <c r="O98" i="16"/>
  <c r="N98" i="16"/>
  <c r="M98" i="16"/>
  <c r="L98" i="16"/>
  <c r="I98" i="16"/>
  <c r="H98" i="16"/>
  <c r="G98" i="16"/>
  <c r="F98" i="16"/>
  <c r="OW97" i="16"/>
  <c r="OV97" i="16"/>
  <c r="OU97" i="16"/>
  <c r="OT97" i="16"/>
  <c r="OS97" i="16"/>
  <c r="OR97" i="16"/>
  <c r="OQ97" i="16"/>
  <c r="OP97" i="16"/>
  <c r="OO97" i="16"/>
  <c r="ON97" i="16"/>
  <c r="OK97" i="16"/>
  <c r="OJ97" i="16"/>
  <c r="OI97" i="16"/>
  <c r="OH97" i="16"/>
  <c r="OG97" i="16"/>
  <c r="OF97" i="16"/>
  <c r="OE97" i="16"/>
  <c r="OB97" i="16"/>
  <c r="OA97" i="16"/>
  <c r="NZ97" i="16"/>
  <c r="NY97" i="16"/>
  <c r="NX97" i="16"/>
  <c r="NW97" i="16"/>
  <c r="NV97" i="16"/>
  <c r="NS97" i="16"/>
  <c r="NR97" i="16"/>
  <c r="NQ97" i="16"/>
  <c r="NP97" i="16"/>
  <c r="NO97" i="16"/>
  <c r="NN97" i="16"/>
  <c r="NM97" i="16"/>
  <c r="NJ97" i="16"/>
  <c r="NI97" i="16"/>
  <c r="NH97" i="16"/>
  <c r="NG97" i="16"/>
  <c r="NF97" i="16"/>
  <c r="NE97" i="16"/>
  <c r="ND97" i="16"/>
  <c r="NA97" i="16"/>
  <c r="MZ97" i="16"/>
  <c r="MY97" i="16"/>
  <c r="MX97" i="16"/>
  <c r="MW97" i="16"/>
  <c r="MV97" i="16"/>
  <c r="MU97" i="16"/>
  <c r="MR97" i="16"/>
  <c r="MQ97" i="16"/>
  <c r="MP97" i="16"/>
  <c r="MO97" i="16"/>
  <c r="MN97" i="16"/>
  <c r="MM97" i="16"/>
  <c r="ML97" i="16"/>
  <c r="MI97" i="16"/>
  <c r="MH97" i="16"/>
  <c r="MG97" i="16"/>
  <c r="MF97" i="16"/>
  <c r="ME97" i="16"/>
  <c r="MD97" i="16"/>
  <c r="MC97" i="16"/>
  <c r="LZ97" i="16"/>
  <c r="LY97" i="16"/>
  <c r="LX97" i="16"/>
  <c r="LW97" i="16"/>
  <c r="LV97" i="16"/>
  <c r="LU97" i="16"/>
  <c r="LT97" i="16"/>
  <c r="LQ97" i="16"/>
  <c r="LP97" i="16"/>
  <c r="LO97" i="16"/>
  <c r="LN97" i="16"/>
  <c r="LM97" i="16"/>
  <c r="LL97" i="16"/>
  <c r="LK97" i="16"/>
  <c r="LH97" i="16"/>
  <c r="LG97" i="16"/>
  <c r="LF97" i="16"/>
  <c r="LE97" i="16"/>
  <c r="LD97" i="16"/>
  <c r="LC97" i="16"/>
  <c r="LB97" i="16"/>
  <c r="KY97" i="16"/>
  <c r="KX97" i="16"/>
  <c r="KW97" i="16"/>
  <c r="KV97" i="16"/>
  <c r="KU97" i="16"/>
  <c r="KT97" i="16"/>
  <c r="KS97" i="16"/>
  <c r="KP97" i="16"/>
  <c r="KO97" i="16"/>
  <c r="KN97" i="16"/>
  <c r="KM97" i="16"/>
  <c r="KL97" i="16"/>
  <c r="KK97" i="16"/>
  <c r="KJ97" i="16"/>
  <c r="KG97" i="16"/>
  <c r="KF97" i="16"/>
  <c r="KE97" i="16"/>
  <c r="KD97" i="16"/>
  <c r="KC97" i="16"/>
  <c r="KB97" i="16"/>
  <c r="KA97" i="16"/>
  <c r="JX97" i="16"/>
  <c r="JW97" i="16"/>
  <c r="JV97" i="16"/>
  <c r="JU97" i="16"/>
  <c r="JT97" i="16"/>
  <c r="JS97" i="16"/>
  <c r="JR97" i="16"/>
  <c r="JO97" i="16"/>
  <c r="JN97" i="16"/>
  <c r="JM97" i="16"/>
  <c r="JL97" i="16"/>
  <c r="JK97" i="16"/>
  <c r="JJ97" i="16"/>
  <c r="JI97" i="16"/>
  <c r="JF97" i="16"/>
  <c r="JE97" i="16"/>
  <c r="JD97" i="16"/>
  <c r="JC97" i="16"/>
  <c r="JB97" i="16"/>
  <c r="JA97" i="16"/>
  <c r="IZ97" i="16"/>
  <c r="IQ97" i="16"/>
  <c r="IP97" i="16"/>
  <c r="IO97" i="16"/>
  <c r="IN97" i="16"/>
  <c r="IM97" i="16"/>
  <c r="IL97" i="16"/>
  <c r="IK97" i="16"/>
  <c r="IJ97" i="16"/>
  <c r="II97" i="16"/>
  <c r="IF97" i="16"/>
  <c r="IE97" i="16"/>
  <c r="ID97" i="16"/>
  <c r="IC97" i="16"/>
  <c r="IB97" i="16"/>
  <c r="IA97" i="16"/>
  <c r="HX97" i="16"/>
  <c r="HW97" i="16"/>
  <c r="HV97" i="16"/>
  <c r="HU97" i="16"/>
  <c r="HT97" i="16"/>
  <c r="HS97" i="16"/>
  <c r="HP97" i="16"/>
  <c r="HO97" i="16"/>
  <c r="HN97" i="16"/>
  <c r="HM97" i="16"/>
  <c r="HL97" i="16"/>
  <c r="HK97" i="16"/>
  <c r="HH97" i="16"/>
  <c r="HG97" i="16"/>
  <c r="HF97" i="16"/>
  <c r="HE97" i="16"/>
  <c r="HD97" i="16"/>
  <c r="HC97" i="16"/>
  <c r="GZ97" i="16"/>
  <c r="GY97" i="16"/>
  <c r="GX97" i="16"/>
  <c r="GW97" i="16"/>
  <c r="GV97" i="16"/>
  <c r="GU97" i="16"/>
  <c r="GR97" i="16"/>
  <c r="GQ97" i="16"/>
  <c r="GP97" i="16"/>
  <c r="GO97" i="16"/>
  <c r="GN97" i="16"/>
  <c r="GM97" i="16"/>
  <c r="GJ97" i="16"/>
  <c r="GI97" i="16"/>
  <c r="GH97" i="16"/>
  <c r="GG97" i="16"/>
  <c r="GF97" i="16"/>
  <c r="GE97" i="16"/>
  <c r="GB97" i="16"/>
  <c r="GA97" i="16"/>
  <c r="FZ97" i="16"/>
  <c r="FY97" i="16"/>
  <c r="FX97" i="16"/>
  <c r="FW97" i="16"/>
  <c r="FT97" i="16"/>
  <c r="FS97" i="16"/>
  <c r="FR97" i="16"/>
  <c r="FQ97" i="16"/>
  <c r="FP97" i="16"/>
  <c r="FO97" i="16"/>
  <c r="FL97" i="16"/>
  <c r="FK97" i="16"/>
  <c r="FJ97" i="16"/>
  <c r="FI97" i="16"/>
  <c r="FH97" i="16"/>
  <c r="FG97" i="16"/>
  <c r="FD97" i="16"/>
  <c r="FC97" i="16"/>
  <c r="FB97" i="16"/>
  <c r="FA97" i="16"/>
  <c r="EZ97" i="16"/>
  <c r="EY97" i="16"/>
  <c r="EV97" i="16"/>
  <c r="EU97" i="16"/>
  <c r="ET97" i="16"/>
  <c r="ES97" i="16"/>
  <c r="ER97" i="16"/>
  <c r="EQ97" i="16"/>
  <c r="EN97" i="16"/>
  <c r="EM97" i="16"/>
  <c r="EL97" i="16"/>
  <c r="EK97" i="16"/>
  <c r="EJ97" i="16"/>
  <c r="EI97" i="16"/>
  <c r="EF97" i="16"/>
  <c r="EE97" i="16"/>
  <c r="ED97" i="16"/>
  <c r="EC97" i="16"/>
  <c r="EB97" i="16"/>
  <c r="EA97" i="16"/>
  <c r="DX97" i="16"/>
  <c r="DW97" i="16"/>
  <c r="DV97" i="16"/>
  <c r="DU97" i="16"/>
  <c r="DT97" i="16"/>
  <c r="DS97" i="16"/>
  <c r="DP97" i="16"/>
  <c r="DO97" i="16"/>
  <c r="DN97" i="16"/>
  <c r="DM97" i="16"/>
  <c r="DL97" i="16"/>
  <c r="DK97" i="16"/>
  <c r="DG97" i="16"/>
  <c r="DE97" i="16"/>
  <c r="DD97" i="16"/>
  <c r="DC97" i="16"/>
  <c r="DA97" i="16"/>
  <c r="CZ97" i="16"/>
  <c r="CY97" i="16"/>
  <c r="CX97" i="16"/>
  <c r="CU97" i="16"/>
  <c r="CT97" i="16"/>
  <c r="CS97" i="16"/>
  <c r="CR97" i="16"/>
  <c r="CO97" i="16"/>
  <c r="CN97" i="16"/>
  <c r="CM97" i="16"/>
  <c r="CL97" i="16"/>
  <c r="CI97" i="16"/>
  <c r="CH97" i="16"/>
  <c r="CG97" i="16"/>
  <c r="CF97" i="16"/>
  <c r="CC97" i="16"/>
  <c r="CB97" i="16"/>
  <c r="CA97" i="16"/>
  <c r="BZ97" i="16"/>
  <c r="BW97" i="16"/>
  <c r="BV97" i="16"/>
  <c r="BU97" i="16"/>
  <c r="BT97" i="16"/>
  <c r="BQ97" i="16"/>
  <c r="BP97" i="16"/>
  <c r="BO97" i="16"/>
  <c r="BN97" i="16"/>
  <c r="BK97" i="16"/>
  <c r="BJ97" i="16"/>
  <c r="BI97" i="16"/>
  <c r="BH97" i="16"/>
  <c r="BE97" i="16"/>
  <c r="BD97" i="16"/>
  <c r="BC97" i="16"/>
  <c r="BB97" i="16"/>
  <c r="AY97" i="16"/>
  <c r="AX97" i="16"/>
  <c r="AW97" i="16"/>
  <c r="AV97" i="16"/>
  <c r="AS97" i="16"/>
  <c r="AR97" i="16"/>
  <c r="AQ97" i="16"/>
  <c r="AP97" i="16"/>
  <c r="AM97" i="16"/>
  <c r="AL97" i="16"/>
  <c r="AK97" i="16"/>
  <c r="AJ97" i="16"/>
  <c r="AG97" i="16"/>
  <c r="AF97" i="16"/>
  <c r="AE97" i="16"/>
  <c r="AD97" i="16"/>
  <c r="AA97" i="16"/>
  <c r="Z97" i="16"/>
  <c r="Y97" i="16"/>
  <c r="X97" i="16"/>
  <c r="U97" i="16"/>
  <c r="T97" i="16"/>
  <c r="S97" i="16"/>
  <c r="R97" i="16"/>
  <c r="O97" i="16"/>
  <c r="N97" i="16"/>
  <c r="M97" i="16"/>
  <c r="L97" i="16"/>
  <c r="I97" i="16"/>
  <c r="H97" i="16"/>
  <c r="G97" i="16"/>
  <c r="F97" i="16"/>
  <c r="OW96" i="16"/>
  <c r="OV96" i="16"/>
  <c r="OU96" i="16"/>
  <c r="OT96" i="16"/>
  <c r="OS96" i="16"/>
  <c r="OR96" i="16"/>
  <c r="OQ96" i="16"/>
  <c r="OP96" i="16"/>
  <c r="OO96" i="16"/>
  <c r="ON96" i="16"/>
  <c r="OK96" i="16"/>
  <c r="OJ96" i="16"/>
  <c r="OI96" i="16"/>
  <c r="OH96" i="16"/>
  <c r="OG96" i="16"/>
  <c r="OF96" i="16"/>
  <c r="OE96" i="16"/>
  <c r="OB96" i="16"/>
  <c r="OA96" i="16"/>
  <c r="NZ96" i="16"/>
  <c r="NY96" i="16"/>
  <c r="NX96" i="16"/>
  <c r="NW96" i="16"/>
  <c r="NV96" i="16"/>
  <c r="NS96" i="16"/>
  <c r="NR96" i="16"/>
  <c r="NQ96" i="16"/>
  <c r="NP96" i="16"/>
  <c r="NO96" i="16"/>
  <c r="NN96" i="16"/>
  <c r="NM96" i="16"/>
  <c r="NJ96" i="16"/>
  <c r="NI96" i="16"/>
  <c r="NH96" i="16"/>
  <c r="NG96" i="16"/>
  <c r="NF96" i="16"/>
  <c r="NE96" i="16"/>
  <c r="ND96" i="16"/>
  <c r="NA96" i="16"/>
  <c r="MZ96" i="16"/>
  <c r="MY96" i="16"/>
  <c r="MX96" i="16"/>
  <c r="MW96" i="16"/>
  <c r="MV96" i="16"/>
  <c r="MU96" i="16"/>
  <c r="MR96" i="16"/>
  <c r="MQ96" i="16"/>
  <c r="MP96" i="16"/>
  <c r="MO96" i="16"/>
  <c r="MN96" i="16"/>
  <c r="MM96" i="16"/>
  <c r="ML96" i="16"/>
  <c r="MI96" i="16"/>
  <c r="MH96" i="16"/>
  <c r="MG96" i="16"/>
  <c r="MF96" i="16"/>
  <c r="ME96" i="16"/>
  <c r="MD96" i="16"/>
  <c r="MC96" i="16"/>
  <c r="LZ96" i="16"/>
  <c r="LY96" i="16"/>
  <c r="LX96" i="16"/>
  <c r="LW96" i="16"/>
  <c r="LV96" i="16"/>
  <c r="LU96" i="16"/>
  <c r="LT96" i="16"/>
  <c r="LQ96" i="16"/>
  <c r="LP96" i="16"/>
  <c r="LO96" i="16"/>
  <c r="LN96" i="16"/>
  <c r="LM96" i="16"/>
  <c r="LL96" i="16"/>
  <c r="LK96" i="16"/>
  <c r="LH96" i="16"/>
  <c r="LG96" i="16"/>
  <c r="LF96" i="16"/>
  <c r="LE96" i="16"/>
  <c r="LD96" i="16"/>
  <c r="LC96" i="16"/>
  <c r="LB96" i="16"/>
  <c r="KY96" i="16"/>
  <c r="KX96" i="16"/>
  <c r="KW96" i="16"/>
  <c r="KV96" i="16"/>
  <c r="KU96" i="16"/>
  <c r="KT96" i="16"/>
  <c r="KS96" i="16"/>
  <c r="KP96" i="16"/>
  <c r="KO96" i="16"/>
  <c r="KN96" i="16"/>
  <c r="KM96" i="16"/>
  <c r="KL96" i="16"/>
  <c r="KK96" i="16"/>
  <c r="KJ96" i="16"/>
  <c r="KG96" i="16"/>
  <c r="KF96" i="16"/>
  <c r="KE96" i="16"/>
  <c r="KD96" i="16"/>
  <c r="KC96" i="16"/>
  <c r="KB96" i="16"/>
  <c r="KA96" i="16"/>
  <c r="JX96" i="16"/>
  <c r="JW96" i="16"/>
  <c r="JV96" i="16"/>
  <c r="JU96" i="16"/>
  <c r="JT96" i="16"/>
  <c r="JS96" i="16"/>
  <c r="JR96" i="16"/>
  <c r="JO96" i="16"/>
  <c r="JN96" i="16"/>
  <c r="JM96" i="16"/>
  <c r="JL96" i="16"/>
  <c r="JK96" i="16"/>
  <c r="JJ96" i="16"/>
  <c r="JI96" i="16"/>
  <c r="JF96" i="16"/>
  <c r="JE96" i="16"/>
  <c r="JD96" i="16"/>
  <c r="JC96" i="16"/>
  <c r="JB96" i="16"/>
  <c r="JA96" i="16"/>
  <c r="IZ96" i="16"/>
  <c r="IQ96" i="16"/>
  <c r="IP96" i="16"/>
  <c r="IO96" i="16"/>
  <c r="IN96" i="16"/>
  <c r="IM96" i="16"/>
  <c r="IL96" i="16"/>
  <c r="IK96" i="16"/>
  <c r="IJ96" i="16"/>
  <c r="II96" i="16"/>
  <c r="IF96" i="16"/>
  <c r="IE96" i="16"/>
  <c r="ID96" i="16"/>
  <c r="IC96" i="16"/>
  <c r="IB96" i="16"/>
  <c r="IA96" i="16"/>
  <c r="HX96" i="16"/>
  <c r="HW96" i="16"/>
  <c r="HV96" i="16"/>
  <c r="HU96" i="16"/>
  <c r="HT96" i="16"/>
  <c r="HS96" i="16"/>
  <c r="HP96" i="16"/>
  <c r="HO96" i="16"/>
  <c r="HN96" i="16"/>
  <c r="HM96" i="16"/>
  <c r="HL96" i="16"/>
  <c r="HK96" i="16"/>
  <c r="HH96" i="16"/>
  <c r="HG96" i="16"/>
  <c r="HF96" i="16"/>
  <c r="HE96" i="16"/>
  <c r="HD96" i="16"/>
  <c r="HC96" i="16"/>
  <c r="GZ96" i="16"/>
  <c r="GY96" i="16"/>
  <c r="GX96" i="16"/>
  <c r="GW96" i="16"/>
  <c r="GV96" i="16"/>
  <c r="GU96" i="16"/>
  <c r="GR96" i="16"/>
  <c r="GQ96" i="16"/>
  <c r="GP96" i="16"/>
  <c r="GO96" i="16"/>
  <c r="GN96" i="16"/>
  <c r="GM96" i="16"/>
  <c r="GJ96" i="16"/>
  <c r="GI96" i="16"/>
  <c r="GH96" i="16"/>
  <c r="GG96" i="16"/>
  <c r="GF96" i="16"/>
  <c r="GE96" i="16"/>
  <c r="GB96" i="16"/>
  <c r="GA96" i="16"/>
  <c r="FZ96" i="16"/>
  <c r="FY96" i="16"/>
  <c r="FX96" i="16"/>
  <c r="FW96" i="16"/>
  <c r="FT96" i="16"/>
  <c r="FS96" i="16"/>
  <c r="FR96" i="16"/>
  <c r="FQ96" i="16"/>
  <c r="FP96" i="16"/>
  <c r="FO96" i="16"/>
  <c r="FL96" i="16"/>
  <c r="FK96" i="16"/>
  <c r="FJ96" i="16"/>
  <c r="FI96" i="16"/>
  <c r="FH96" i="16"/>
  <c r="FG96" i="16"/>
  <c r="FD96" i="16"/>
  <c r="FC96" i="16"/>
  <c r="FB96" i="16"/>
  <c r="FA96" i="16"/>
  <c r="EZ96" i="16"/>
  <c r="EY96" i="16"/>
  <c r="EV96" i="16"/>
  <c r="EU96" i="16"/>
  <c r="ET96" i="16"/>
  <c r="ES96" i="16"/>
  <c r="ER96" i="16"/>
  <c r="EQ96" i="16"/>
  <c r="EN96" i="16"/>
  <c r="EM96" i="16"/>
  <c r="EL96" i="16"/>
  <c r="EK96" i="16"/>
  <c r="EJ96" i="16"/>
  <c r="EI96" i="16"/>
  <c r="EF96" i="16"/>
  <c r="EE96" i="16"/>
  <c r="ED96" i="16"/>
  <c r="EC96" i="16"/>
  <c r="EB96" i="16"/>
  <c r="EA96" i="16"/>
  <c r="DX96" i="16"/>
  <c r="DW96" i="16"/>
  <c r="DV96" i="16"/>
  <c r="DU96" i="16"/>
  <c r="DT96" i="16"/>
  <c r="DS96" i="16"/>
  <c r="DP96" i="16"/>
  <c r="DO96" i="16"/>
  <c r="DN96" i="16"/>
  <c r="DM96" i="16"/>
  <c r="DL96" i="16"/>
  <c r="DK96" i="16"/>
  <c r="DG96" i="16"/>
  <c r="DE96" i="16"/>
  <c r="DD96" i="16"/>
  <c r="DC96" i="16"/>
  <c r="DA96" i="16"/>
  <c r="CZ96" i="16"/>
  <c r="CY96" i="16"/>
  <c r="CX96" i="16"/>
  <c r="CU96" i="16"/>
  <c r="CT96" i="16"/>
  <c r="CS96" i="16"/>
  <c r="CR96" i="16"/>
  <c r="CO96" i="16"/>
  <c r="CN96" i="16"/>
  <c r="CM96" i="16"/>
  <c r="CL96" i="16"/>
  <c r="CI96" i="16"/>
  <c r="CH96" i="16"/>
  <c r="CG96" i="16"/>
  <c r="CF96" i="16"/>
  <c r="CC96" i="16"/>
  <c r="CB96" i="16"/>
  <c r="CA96" i="16"/>
  <c r="BZ96" i="16"/>
  <c r="BW96" i="16"/>
  <c r="BV96" i="16"/>
  <c r="BU96" i="16"/>
  <c r="BT96" i="16"/>
  <c r="BQ96" i="16"/>
  <c r="BP96" i="16"/>
  <c r="BO96" i="16"/>
  <c r="BN96" i="16"/>
  <c r="BK96" i="16"/>
  <c r="BJ96" i="16"/>
  <c r="BI96" i="16"/>
  <c r="BH96" i="16"/>
  <c r="BE96" i="16"/>
  <c r="BD96" i="16"/>
  <c r="BC96" i="16"/>
  <c r="BB96" i="16"/>
  <c r="AY96" i="16"/>
  <c r="AX96" i="16"/>
  <c r="AW96" i="16"/>
  <c r="AV96" i="16"/>
  <c r="AS96" i="16"/>
  <c r="AR96" i="16"/>
  <c r="AQ96" i="16"/>
  <c r="AP96" i="16"/>
  <c r="AM96" i="16"/>
  <c r="AL96" i="16"/>
  <c r="AK96" i="16"/>
  <c r="AJ96" i="16"/>
  <c r="AG96" i="16"/>
  <c r="AF96" i="16"/>
  <c r="AE96" i="16"/>
  <c r="AD96" i="16"/>
  <c r="AA96" i="16"/>
  <c r="Z96" i="16"/>
  <c r="Y96" i="16"/>
  <c r="X96" i="16"/>
  <c r="U96" i="16"/>
  <c r="T96" i="16"/>
  <c r="S96" i="16"/>
  <c r="R96" i="16"/>
  <c r="O96" i="16"/>
  <c r="N96" i="16"/>
  <c r="M96" i="16"/>
  <c r="L96" i="16"/>
  <c r="I96" i="16"/>
  <c r="H96" i="16"/>
  <c r="G96" i="16"/>
  <c r="F96" i="16"/>
  <c r="OW95" i="16"/>
  <c r="OV95" i="16"/>
  <c r="OU95" i="16"/>
  <c r="OT95" i="16"/>
  <c r="OS95" i="16"/>
  <c r="OR95" i="16"/>
  <c r="OQ95" i="16"/>
  <c r="OP95" i="16"/>
  <c r="OO95" i="16"/>
  <c r="ON95" i="16"/>
  <c r="OK95" i="16"/>
  <c r="OJ95" i="16"/>
  <c r="OI95" i="16"/>
  <c r="OH95" i="16"/>
  <c r="OG95" i="16"/>
  <c r="OF95" i="16"/>
  <c r="OE95" i="16"/>
  <c r="OB95" i="16"/>
  <c r="OA95" i="16"/>
  <c r="NZ95" i="16"/>
  <c r="NY95" i="16"/>
  <c r="NX95" i="16"/>
  <c r="NW95" i="16"/>
  <c r="NV95" i="16"/>
  <c r="NS95" i="16"/>
  <c r="NR95" i="16"/>
  <c r="NQ95" i="16"/>
  <c r="NP95" i="16"/>
  <c r="NO95" i="16"/>
  <c r="NN95" i="16"/>
  <c r="NM95" i="16"/>
  <c r="NJ95" i="16"/>
  <c r="NI95" i="16"/>
  <c r="NH95" i="16"/>
  <c r="NG95" i="16"/>
  <c r="NF95" i="16"/>
  <c r="NE95" i="16"/>
  <c r="ND95" i="16"/>
  <c r="NA95" i="16"/>
  <c r="MZ95" i="16"/>
  <c r="MY95" i="16"/>
  <c r="MX95" i="16"/>
  <c r="MW95" i="16"/>
  <c r="MV95" i="16"/>
  <c r="MU95" i="16"/>
  <c r="MR95" i="16"/>
  <c r="MQ95" i="16"/>
  <c r="MP95" i="16"/>
  <c r="MO95" i="16"/>
  <c r="MN95" i="16"/>
  <c r="MM95" i="16"/>
  <c r="ML95" i="16"/>
  <c r="MI95" i="16"/>
  <c r="MH95" i="16"/>
  <c r="MG95" i="16"/>
  <c r="MF95" i="16"/>
  <c r="ME95" i="16"/>
  <c r="MD95" i="16"/>
  <c r="MC95" i="16"/>
  <c r="LZ95" i="16"/>
  <c r="LY95" i="16"/>
  <c r="LX95" i="16"/>
  <c r="LW95" i="16"/>
  <c r="LV95" i="16"/>
  <c r="LU95" i="16"/>
  <c r="LT95" i="16"/>
  <c r="LQ95" i="16"/>
  <c r="LP95" i="16"/>
  <c r="LO95" i="16"/>
  <c r="LN95" i="16"/>
  <c r="LM95" i="16"/>
  <c r="LL95" i="16"/>
  <c r="LK95" i="16"/>
  <c r="LH95" i="16"/>
  <c r="LG95" i="16"/>
  <c r="LF95" i="16"/>
  <c r="LE95" i="16"/>
  <c r="LD95" i="16"/>
  <c r="LC95" i="16"/>
  <c r="LB95" i="16"/>
  <c r="KY95" i="16"/>
  <c r="KX95" i="16"/>
  <c r="KW95" i="16"/>
  <c r="KV95" i="16"/>
  <c r="KU95" i="16"/>
  <c r="KT95" i="16"/>
  <c r="KS95" i="16"/>
  <c r="KP95" i="16"/>
  <c r="KO95" i="16"/>
  <c r="KN95" i="16"/>
  <c r="KM95" i="16"/>
  <c r="KL95" i="16"/>
  <c r="KK95" i="16"/>
  <c r="KJ95" i="16"/>
  <c r="KG95" i="16"/>
  <c r="KF95" i="16"/>
  <c r="KE95" i="16"/>
  <c r="KD95" i="16"/>
  <c r="KC95" i="16"/>
  <c r="KB95" i="16"/>
  <c r="KA95" i="16"/>
  <c r="JX95" i="16"/>
  <c r="JW95" i="16"/>
  <c r="JV95" i="16"/>
  <c r="JU95" i="16"/>
  <c r="JT95" i="16"/>
  <c r="JS95" i="16"/>
  <c r="JR95" i="16"/>
  <c r="JO95" i="16"/>
  <c r="JN95" i="16"/>
  <c r="JM95" i="16"/>
  <c r="JL95" i="16"/>
  <c r="JK95" i="16"/>
  <c r="JJ95" i="16"/>
  <c r="JI95" i="16"/>
  <c r="JF95" i="16"/>
  <c r="JE95" i="16"/>
  <c r="JD95" i="16"/>
  <c r="JC95" i="16"/>
  <c r="JB95" i="16"/>
  <c r="JA95" i="16"/>
  <c r="IZ95" i="16"/>
  <c r="IQ95" i="16"/>
  <c r="IP95" i="16"/>
  <c r="IO95" i="16"/>
  <c r="IN95" i="16"/>
  <c r="IM95" i="16"/>
  <c r="IL95" i="16"/>
  <c r="IK95" i="16"/>
  <c r="IJ95" i="16"/>
  <c r="II95" i="16"/>
  <c r="IF95" i="16"/>
  <c r="IE95" i="16"/>
  <c r="ID95" i="16"/>
  <c r="IC95" i="16"/>
  <c r="IB95" i="16"/>
  <c r="IA95" i="16"/>
  <c r="HX95" i="16"/>
  <c r="HW95" i="16"/>
  <c r="HV95" i="16"/>
  <c r="HU95" i="16"/>
  <c r="HT95" i="16"/>
  <c r="HS95" i="16"/>
  <c r="HP95" i="16"/>
  <c r="HO95" i="16"/>
  <c r="HN95" i="16"/>
  <c r="HM95" i="16"/>
  <c r="HL95" i="16"/>
  <c r="HK95" i="16"/>
  <c r="HH95" i="16"/>
  <c r="HG95" i="16"/>
  <c r="HF95" i="16"/>
  <c r="HE95" i="16"/>
  <c r="HD95" i="16"/>
  <c r="HC95" i="16"/>
  <c r="GZ95" i="16"/>
  <c r="GY95" i="16"/>
  <c r="GX95" i="16"/>
  <c r="GW95" i="16"/>
  <c r="GV95" i="16"/>
  <c r="GU95" i="16"/>
  <c r="GR95" i="16"/>
  <c r="GQ95" i="16"/>
  <c r="GP95" i="16"/>
  <c r="GO95" i="16"/>
  <c r="GN95" i="16"/>
  <c r="GM95" i="16"/>
  <c r="GJ95" i="16"/>
  <c r="GI95" i="16"/>
  <c r="GH95" i="16"/>
  <c r="GG95" i="16"/>
  <c r="GF95" i="16"/>
  <c r="GE95" i="16"/>
  <c r="GB95" i="16"/>
  <c r="GA95" i="16"/>
  <c r="FZ95" i="16"/>
  <c r="FY95" i="16"/>
  <c r="FX95" i="16"/>
  <c r="FW95" i="16"/>
  <c r="FT95" i="16"/>
  <c r="FS95" i="16"/>
  <c r="FR95" i="16"/>
  <c r="FQ95" i="16"/>
  <c r="FP95" i="16"/>
  <c r="FO95" i="16"/>
  <c r="FL95" i="16"/>
  <c r="FK95" i="16"/>
  <c r="FJ95" i="16"/>
  <c r="FI95" i="16"/>
  <c r="FH95" i="16"/>
  <c r="FG95" i="16"/>
  <c r="FD95" i="16"/>
  <c r="FC95" i="16"/>
  <c r="FB95" i="16"/>
  <c r="FA95" i="16"/>
  <c r="EZ95" i="16"/>
  <c r="EY95" i="16"/>
  <c r="EV95" i="16"/>
  <c r="EU95" i="16"/>
  <c r="ET95" i="16"/>
  <c r="ES95" i="16"/>
  <c r="ER95" i="16"/>
  <c r="EQ95" i="16"/>
  <c r="EN95" i="16"/>
  <c r="EM95" i="16"/>
  <c r="EL95" i="16"/>
  <c r="EK95" i="16"/>
  <c r="EJ95" i="16"/>
  <c r="EI95" i="16"/>
  <c r="EF95" i="16"/>
  <c r="EE95" i="16"/>
  <c r="ED95" i="16"/>
  <c r="EC95" i="16"/>
  <c r="EB95" i="16"/>
  <c r="EA95" i="16"/>
  <c r="DX95" i="16"/>
  <c r="DW95" i="16"/>
  <c r="DV95" i="16"/>
  <c r="DU95" i="16"/>
  <c r="DT95" i="16"/>
  <c r="DS95" i="16"/>
  <c r="DP95" i="16"/>
  <c r="DO95" i="16"/>
  <c r="DN95" i="16"/>
  <c r="DM95" i="16"/>
  <c r="DL95" i="16"/>
  <c r="DK95" i="16"/>
  <c r="DG95" i="16"/>
  <c r="DE95" i="16"/>
  <c r="DD95" i="16"/>
  <c r="DC95" i="16"/>
  <c r="DA95" i="16"/>
  <c r="CZ95" i="16"/>
  <c r="CY95" i="16"/>
  <c r="CX95" i="16"/>
  <c r="CU95" i="16"/>
  <c r="CT95" i="16"/>
  <c r="CS95" i="16"/>
  <c r="CR95" i="16"/>
  <c r="CO95" i="16"/>
  <c r="CN95" i="16"/>
  <c r="CM95" i="16"/>
  <c r="CL95" i="16"/>
  <c r="CI95" i="16"/>
  <c r="CH95" i="16"/>
  <c r="CG95" i="16"/>
  <c r="CF95" i="16"/>
  <c r="CC95" i="16"/>
  <c r="CB95" i="16"/>
  <c r="CA95" i="16"/>
  <c r="BZ95" i="16"/>
  <c r="BW95" i="16"/>
  <c r="BV95" i="16"/>
  <c r="BU95" i="16"/>
  <c r="BT95" i="16"/>
  <c r="BQ95" i="16"/>
  <c r="BP95" i="16"/>
  <c r="BO95" i="16"/>
  <c r="BN95" i="16"/>
  <c r="BK95" i="16"/>
  <c r="BJ95" i="16"/>
  <c r="BI95" i="16"/>
  <c r="BH95" i="16"/>
  <c r="BE95" i="16"/>
  <c r="BD95" i="16"/>
  <c r="BC95" i="16"/>
  <c r="BB95" i="16"/>
  <c r="AY95" i="16"/>
  <c r="AX95" i="16"/>
  <c r="AW95" i="16"/>
  <c r="AV95" i="16"/>
  <c r="AS95" i="16"/>
  <c r="AR95" i="16"/>
  <c r="AQ95" i="16"/>
  <c r="AP95" i="16"/>
  <c r="AM95" i="16"/>
  <c r="AL95" i="16"/>
  <c r="AK95" i="16"/>
  <c r="AJ95" i="16"/>
  <c r="AG95" i="16"/>
  <c r="AF95" i="16"/>
  <c r="AE95" i="16"/>
  <c r="AD95" i="16"/>
  <c r="AA95" i="16"/>
  <c r="Z95" i="16"/>
  <c r="Y95" i="16"/>
  <c r="X95" i="16"/>
  <c r="U95" i="16"/>
  <c r="T95" i="16"/>
  <c r="S95" i="16"/>
  <c r="R95" i="16"/>
  <c r="O95" i="16"/>
  <c r="N95" i="16"/>
  <c r="M95" i="16"/>
  <c r="L95" i="16"/>
  <c r="I95" i="16"/>
  <c r="H95" i="16"/>
  <c r="G95" i="16"/>
  <c r="F95" i="16"/>
  <c r="OW94" i="16"/>
  <c r="OV94" i="16"/>
  <c r="OU94" i="16"/>
  <c r="OT94" i="16"/>
  <c r="OS94" i="16"/>
  <c r="OR94" i="16"/>
  <c r="OQ94" i="16"/>
  <c r="OP94" i="16"/>
  <c r="OO94" i="16"/>
  <c r="ON94" i="16"/>
  <c r="OK94" i="16"/>
  <c r="OJ94" i="16"/>
  <c r="OI94" i="16"/>
  <c r="OH94" i="16"/>
  <c r="OG94" i="16"/>
  <c r="OF94" i="16"/>
  <c r="OE94" i="16"/>
  <c r="OB94" i="16"/>
  <c r="OA94" i="16"/>
  <c r="NZ94" i="16"/>
  <c r="NY94" i="16"/>
  <c r="NX94" i="16"/>
  <c r="NW94" i="16"/>
  <c r="NV94" i="16"/>
  <c r="NS94" i="16"/>
  <c r="NR94" i="16"/>
  <c r="NQ94" i="16"/>
  <c r="NP94" i="16"/>
  <c r="NO94" i="16"/>
  <c r="NN94" i="16"/>
  <c r="NM94" i="16"/>
  <c r="NJ94" i="16"/>
  <c r="NI94" i="16"/>
  <c r="NH94" i="16"/>
  <c r="NG94" i="16"/>
  <c r="NF94" i="16"/>
  <c r="NE94" i="16"/>
  <c r="ND94" i="16"/>
  <c r="NA94" i="16"/>
  <c r="MZ94" i="16"/>
  <c r="MY94" i="16"/>
  <c r="MX94" i="16"/>
  <c r="MW94" i="16"/>
  <c r="MV94" i="16"/>
  <c r="MU94" i="16"/>
  <c r="MR94" i="16"/>
  <c r="MQ94" i="16"/>
  <c r="MP94" i="16"/>
  <c r="MO94" i="16"/>
  <c r="MN94" i="16"/>
  <c r="MM94" i="16"/>
  <c r="ML94" i="16"/>
  <c r="MI94" i="16"/>
  <c r="MH94" i="16"/>
  <c r="MG94" i="16"/>
  <c r="MF94" i="16"/>
  <c r="ME94" i="16"/>
  <c r="MD94" i="16"/>
  <c r="MC94" i="16"/>
  <c r="LZ94" i="16"/>
  <c r="LY94" i="16"/>
  <c r="LX94" i="16"/>
  <c r="LW94" i="16"/>
  <c r="LV94" i="16"/>
  <c r="LU94" i="16"/>
  <c r="LT94" i="16"/>
  <c r="LQ94" i="16"/>
  <c r="LP94" i="16"/>
  <c r="LO94" i="16"/>
  <c r="LN94" i="16"/>
  <c r="LM94" i="16"/>
  <c r="LL94" i="16"/>
  <c r="LK94" i="16"/>
  <c r="LH94" i="16"/>
  <c r="LG94" i="16"/>
  <c r="LF94" i="16"/>
  <c r="LE94" i="16"/>
  <c r="LD94" i="16"/>
  <c r="LC94" i="16"/>
  <c r="LB94" i="16"/>
  <c r="KY94" i="16"/>
  <c r="KX94" i="16"/>
  <c r="KW94" i="16"/>
  <c r="KV94" i="16"/>
  <c r="KU94" i="16"/>
  <c r="KT94" i="16"/>
  <c r="KS94" i="16"/>
  <c r="KP94" i="16"/>
  <c r="KO94" i="16"/>
  <c r="KN94" i="16"/>
  <c r="KM94" i="16"/>
  <c r="KL94" i="16"/>
  <c r="KK94" i="16"/>
  <c r="KJ94" i="16"/>
  <c r="KG94" i="16"/>
  <c r="KF94" i="16"/>
  <c r="KE94" i="16"/>
  <c r="KD94" i="16"/>
  <c r="KC94" i="16"/>
  <c r="KB94" i="16"/>
  <c r="KA94" i="16"/>
  <c r="JX94" i="16"/>
  <c r="JW94" i="16"/>
  <c r="JV94" i="16"/>
  <c r="JU94" i="16"/>
  <c r="JT94" i="16"/>
  <c r="JS94" i="16"/>
  <c r="JR94" i="16"/>
  <c r="JO94" i="16"/>
  <c r="JN94" i="16"/>
  <c r="JM94" i="16"/>
  <c r="JL94" i="16"/>
  <c r="JK94" i="16"/>
  <c r="JJ94" i="16"/>
  <c r="JI94" i="16"/>
  <c r="JF94" i="16"/>
  <c r="JE94" i="16"/>
  <c r="JD94" i="16"/>
  <c r="JC94" i="16"/>
  <c r="JB94" i="16"/>
  <c r="JA94" i="16"/>
  <c r="IZ94" i="16"/>
  <c r="IQ94" i="16"/>
  <c r="IP94" i="16"/>
  <c r="IO94" i="16"/>
  <c r="IN94" i="16"/>
  <c r="IM94" i="16"/>
  <c r="IL94" i="16"/>
  <c r="IK94" i="16"/>
  <c r="IJ94" i="16"/>
  <c r="II94" i="16"/>
  <c r="IF94" i="16"/>
  <c r="IE94" i="16"/>
  <c r="ID94" i="16"/>
  <c r="IC94" i="16"/>
  <c r="IB94" i="16"/>
  <c r="IA94" i="16"/>
  <c r="HX94" i="16"/>
  <c r="HW94" i="16"/>
  <c r="HV94" i="16"/>
  <c r="HU94" i="16"/>
  <c r="HT94" i="16"/>
  <c r="HS94" i="16"/>
  <c r="HP94" i="16"/>
  <c r="HO94" i="16"/>
  <c r="HN94" i="16"/>
  <c r="HM94" i="16"/>
  <c r="HL94" i="16"/>
  <c r="HK94" i="16"/>
  <c r="HH94" i="16"/>
  <c r="HG94" i="16"/>
  <c r="HF94" i="16"/>
  <c r="HE94" i="16"/>
  <c r="HD94" i="16"/>
  <c r="HC94" i="16"/>
  <c r="GZ94" i="16"/>
  <c r="GY94" i="16"/>
  <c r="GX94" i="16"/>
  <c r="GW94" i="16"/>
  <c r="GV94" i="16"/>
  <c r="GU94" i="16"/>
  <c r="GR94" i="16"/>
  <c r="GQ94" i="16"/>
  <c r="GP94" i="16"/>
  <c r="GO94" i="16"/>
  <c r="GN94" i="16"/>
  <c r="GM94" i="16"/>
  <c r="GJ94" i="16"/>
  <c r="GI94" i="16"/>
  <c r="GH94" i="16"/>
  <c r="GG94" i="16"/>
  <c r="GF94" i="16"/>
  <c r="GE94" i="16"/>
  <c r="GB94" i="16"/>
  <c r="GA94" i="16"/>
  <c r="FZ94" i="16"/>
  <c r="FY94" i="16"/>
  <c r="FX94" i="16"/>
  <c r="FW94" i="16"/>
  <c r="FT94" i="16"/>
  <c r="FS94" i="16"/>
  <c r="FR94" i="16"/>
  <c r="FQ94" i="16"/>
  <c r="FP94" i="16"/>
  <c r="FO94" i="16"/>
  <c r="FL94" i="16"/>
  <c r="FK94" i="16"/>
  <c r="FJ94" i="16"/>
  <c r="FI94" i="16"/>
  <c r="FH94" i="16"/>
  <c r="FG94" i="16"/>
  <c r="FD94" i="16"/>
  <c r="FC94" i="16"/>
  <c r="FB94" i="16"/>
  <c r="FA94" i="16"/>
  <c r="EZ94" i="16"/>
  <c r="EY94" i="16"/>
  <c r="EV94" i="16"/>
  <c r="EU94" i="16"/>
  <c r="ET94" i="16"/>
  <c r="ES94" i="16"/>
  <c r="ER94" i="16"/>
  <c r="EQ94" i="16"/>
  <c r="EN94" i="16"/>
  <c r="EM94" i="16"/>
  <c r="EL94" i="16"/>
  <c r="EK94" i="16"/>
  <c r="EJ94" i="16"/>
  <c r="EI94" i="16"/>
  <c r="EF94" i="16"/>
  <c r="EE94" i="16"/>
  <c r="ED94" i="16"/>
  <c r="EC94" i="16"/>
  <c r="EB94" i="16"/>
  <c r="EA94" i="16"/>
  <c r="DX94" i="16"/>
  <c r="DW94" i="16"/>
  <c r="DV94" i="16"/>
  <c r="DU94" i="16"/>
  <c r="DT94" i="16"/>
  <c r="DS94" i="16"/>
  <c r="DP94" i="16"/>
  <c r="DO94" i="16"/>
  <c r="DN94" i="16"/>
  <c r="DM94" i="16"/>
  <c r="DL94" i="16"/>
  <c r="DK94" i="16"/>
  <c r="DG94" i="16"/>
  <c r="DE94" i="16"/>
  <c r="DD94" i="16"/>
  <c r="DC94" i="16"/>
  <c r="DA94" i="16"/>
  <c r="CZ94" i="16"/>
  <c r="CY94" i="16"/>
  <c r="CX94" i="16"/>
  <c r="CU94" i="16"/>
  <c r="CT94" i="16"/>
  <c r="CS94" i="16"/>
  <c r="CR94" i="16"/>
  <c r="CO94" i="16"/>
  <c r="CN94" i="16"/>
  <c r="CM94" i="16"/>
  <c r="CL94" i="16"/>
  <c r="CI94" i="16"/>
  <c r="CH94" i="16"/>
  <c r="CG94" i="16"/>
  <c r="CF94" i="16"/>
  <c r="CC94" i="16"/>
  <c r="CB94" i="16"/>
  <c r="CA94" i="16"/>
  <c r="BZ94" i="16"/>
  <c r="BW94" i="16"/>
  <c r="BV94" i="16"/>
  <c r="BU94" i="16"/>
  <c r="BT94" i="16"/>
  <c r="BQ94" i="16"/>
  <c r="BP94" i="16"/>
  <c r="BO94" i="16"/>
  <c r="BN94" i="16"/>
  <c r="BK94" i="16"/>
  <c r="BJ94" i="16"/>
  <c r="BI94" i="16"/>
  <c r="BH94" i="16"/>
  <c r="BE94" i="16"/>
  <c r="BD94" i="16"/>
  <c r="BC94" i="16"/>
  <c r="BB94" i="16"/>
  <c r="AY94" i="16"/>
  <c r="AX94" i="16"/>
  <c r="AW94" i="16"/>
  <c r="AV94" i="16"/>
  <c r="AS94" i="16"/>
  <c r="AR94" i="16"/>
  <c r="AQ94" i="16"/>
  <c r="AP94" i="16"/>
  <c r="AM94" i="16"/>
  <c r="AL94" i="16"/>
  <c r="AK94" i="16"/>
  <c r="AJ94" i="16"/>
  <c r="AG94" i="16"/>
  <c r="AF94" i="16"/>
  <c r="AE94" i="16"/>
  <c r="AD94" i="16"/>
  <c r="AA94" i="16"/>
  <c r="Z94" i="16"/>
  <c r="Y94" i="16"/>
  <c r="X94" i="16"/>
  <c r="U94" i="16"/>
  <c r="T94" i="16"/>
  <c r="S94" i="16"/>
  <c r="R94" i="16"/>
  <c r="O94" i="16"/>
  <c r="N94" i="16"/>
  <c r="M94" i="16"/>
  <c r="L94" i="16"/>
  <c r="I94" i="16"/>
  <c r="H94" i="16"/>
  <c r="G94" i="16"/>
  <c r="F94" i="16"/>
  <c r="OW93" i="16"/>
  <c r="OV93" i="16"/>
  <c r="OU93" i="16"/>
  <c r="OT93" i="16"/>
  <c r="OS93" i="16"/>
  <c r="OR93" i="16"/>
  <c r="OQ93" i="16"/>
  <c r="OP93" i="16"/>
  <c r="OO93" i="16"/>
  <c r="ON93" i="16"/>
  <c r="OK93" i="16"/>
  <c r="OJ93" i="16"/>
  <c r="OI93" i="16"/>
  <c r="OH93" i="16"/>
  <c r="OG93" i="16"/>
  <c r="OF93" i="16"/>
  <c r="OE93" i="16"/>
  <c r="OB93" i="16"/>
  <c r="OA93" i="16"/>
  <c r="NZ93" i="16"/>
  <c r="NY93" i="16"/>
  <c r="NX93" i="16"/>
  <c r="NW93" i="16"/>
  <c r="NV93" i="16"/>
  <c r="NS93" i="16"/>
  <c r="NR93" i="16"/>
  <c r="NQ93" i="16"/>
  <c r="NP93" i="16"/>
  <c r="NO93" i="16"/>
  <c r="NN93" i="16"/>
  <c r="NM93" i="16"/>
  <c r="NJ93" i="16"/>
  <c r="NI93" i="16"/>
  <c r="NH93" i="16"/>
  <c r="NG93" i="16"/>
  <c r="NF93" i="16"/>
  <c r="NE93" i="16"/>
  <c r="ND93" i="16"/>
  <c r="NA93" i="16"/>
  <c r="MZ93" i="16"/>
  <c r="MY93" i="16"/>
  <c r="MX93" i="16"/>
  <c r="MW93" i="16"/>
  <c r="MV93" i="16"/>
  <c r="MU93" i="16"/>
  <c r="MR93" i="16"/>
  <c r="MQ93" i="16"/>
  <c r="MP93" i="16"/>
  <c r="MO93" i="16"/>
  <c r="MN93" i="16"/>
  <c r="MM93" i="16"/>
  <c r="ML93" i="16"/>
  <c r="MI93" i="16"/>
  <c r="MH93" i="16"/>
  <c r="MG93" i="16"/>
  <c r="MF93" i="16"/>
  <c r="ME93" i="16"/>
  <c r="MD93" i="16"/>
  <c r="MC93" i="16"/>
  <c r="LZ93" i="16"/>
  <c r="LY93" i="16"/>
  <c r="LX93" i="16"/>
  <c r="LW93" i="16"/>
  <c r="LV93" i="16"/>
  <c r="LU93" i="16"/>
  <c r="LT93" i="16"/>
  <c r="LQ93" i="16"/>
  <c r="LP93" i="16"/>
  <c r="LO93" i="16"/>
  <c r="LN93" i="16"/>
  <c r="LM93" i="16"/>
  <c r="LL93" i="16"/>
  <c r="LK93" i="16"/>
  <c r="LH93" i="16"/>
  <c r="LG93" i="16"/>
  <c r="LF93" i="16"/>
  <c r="LE93" i="16"/>
  <c r="LD93" i="16"/>
  <c r="LC93" i="16"/>
  <c r="LB93" i="16"/>
  <c r="KY93" i="16"/>
  <c r="KX93" i="16"/>
  <c r="KW93" i="16"/>
  <c r="KV93" i="16"/>
  <c r="KU93" i="16"/>
  <c r="KT93" i="16"/>
  <c r="KS93" i="16"/>
  <c r="KP93" i="16"/>
  <c r="KO93" i="16"/>
  <c r="KN93" i="16"/>
  <c r="KM93" i="16"/>
  <c r="KL93" i="16"/>
  <c r="KK93" i="16"/>
  <c r="KJ93" i="16"/>
  <c r="KG93" i="16"/>
  <c r="KF93" i="16"/>
  <c r="KE93" i="16"/>
  <c r="KD93" i="16"/>
  <c r="KC93" i="16"/>
  <c r="KB93" i="16"/>
  <c r="KA93" i="16"/>
  <c r="JX93" i="16"/>
  <c r="JW93" i="16"/>
  <c r="JV93" i="16"/>
  <c r="JU93" i="16"/>
  <c r="JT93" i="16"/>
  <c r="JS93" i="16"/>
  <c r="JR93" i="16"/>
  <c r="JO93" i="16"/>
  <c r="JN93" i="16"/>
  <c r="JM93" i="16"/>
  <c r="JL93" i="16"/>
  <c r="JK93" i="16"/>
  <c r="JJ93" i="16"/>
  <c r="JI93" i="16"/>
  <c r="JF93" i="16"/>
  <c r="JE93" i="16"/>
  <c r="JD93" i="16"/>
  <c r="JC93" i="16"/>
  <c r="JB93" i="16"/>
  <c r="JA93" i="16"/>
  <c r="IZ93" i="16"/>
  <c r="IQ93" i="16"/>
  <c r="IP93" i="16"/>
  <c r="IO93" i="16"/>
  <c r="IN93" i="16"/>
  <c r="IM93" i="16"/>
  <c r="IL93" i="16"/>
  <c r="IK93" i="16"/>
  <c r="IJ93" i="16"/>
  <c r="II93" i="16"/>
  <c r="IF93" i="16"/>
  <c r="IE93" i="16"/>
  <c r="ID93" i="16"/>
  <c r="IC93" i="16"/>
  <c r="IB93" i="16"/>
  <c r="IA93" i="16"/>
  <c r="HX93" i="16"/>
  <c r="HW93" i="16"/>
  <c r="HV93" i="16"/>
  <c r="HU93" i="16"/>
  <c r="HT93" i="16"/>
  <c r="HS93" i="16"/>
  <c r="HP93" i="16"/>
  <c r="HO93" i="16"/>
  <c r="HN93" i="16"/>
  <c r="HM93" i="16"/>
  <c r="HL93" i="16"/>
  <c r="HK93" i="16"/>
  <c r="HH93" i="16"/>
  <c r="HG93" i="16"/>
  <c r="HF93" i="16"/>
  <c r="HE93" i="16"/>
  <c r="HD93" i="16"/>
  <c r="HC93" i="16"/>
  <c r="GZ93" i="16"/>
  <c r="GY93" i="16"/>
  <c r="GX93" i="16"/>
  <c r="GW93" i="16"/>
  <c r="GV93" i="16"/>
  <c r="GU93" i="16"/>
  <c r="GR93" i="16"/>
  <c r="GQ93" i="16"/>
  <c r="GP93" i="16"/>
  <c r="GO93" i="16"/>
  <c r="GN93" i="16"/>
  <c r="GM93" i="16"/>
  <c r="GJ93" i="16"/>
  <c r="GI93" i="16"/>
  <c r="GH93" i="16"/>
  <c r="GG93" i="16"/>
  <c r="GF93" i="16"/>
  <c r="GE93" i="16"/>
  <c r="GB93" i="16"/>
  <c r="GA93" i="16"/>
  <c r="FZ93" i="16"/>
  <c r="FY93" i="16"/>
  <c r="FX93" i="16"/>
  <c r="FW93" i="16"/>
  <c r="FT93" i="16"/>
  <c r="FS93" i="16"/>
  <c r="FR93" i="16"/>
  <c r="FQ93" i="16"/>
  <c r="FP93" i="16"/>
  <c r="FO93" i="16"/>
  <c r="FL93" i="16"/>
  <c r="FK93" i="16"/>
  <c r="FJ93" i="16"/>
  <c r="FI93" i="16"/>
  <c r="FH93" i="16"/>
  <c r="FG93" i="16"/>
  <c r="FD93" i="16"/>
  <c r="FC93" i="16"/>
  <c r="FB93" i="16"/>
  <c r="FA93" i="16"/>
  <c r="EZ93" i="16"/>
  <c r="EY93" i="16"/>
  <c r="EV93" i="16"/>
  <c r="EU93" i="16"/>
  <c r="ET93" i="16"/>
  <c r="ES93" i="16"/>
  <c r="ER93" i="16"/>
  <c r="EQ93" i="16"/>
  <c r="EN93" i="16"/>
  <c r="EM93" i="16"/>
  <c r="EL93" i="16"/>
  <c r="EK93" i="16"/>
  <c r="EJ93" i="16"/>
  <c r="EI93" i="16"/>
  <c r="EF93" i="16"/>
  <c r="EE93" i="16"/>
  <c r="ED93" i="16"/>
  <c r="EC93" i="16"/>
  <c r="EB93" i="16"/>
  <c r="EA93" i="16"/>
  <c r="DX93" i="16"/>
  <c r="DW93" i="16"/>
  <c r="DV93" i="16"/>
  <c r="DU93" i="16"/>
  <c r="DT93" i="16"/>
  <c r="DS93" i="16"/>
  <c r="DP93" i="16"/>
  <c r="DO93" i="16"/>
  <c r="DN93" i="16"/>
  <c r="DM93" i="16"/>
  <c r="DL93" i="16"/>
  <c r="DK93" i="16"/>
  <c r="DG93" i="16"/>
  <c r="DE93" i="16"/>
  <c r="DD93" i="16"/>
  <c r="DC93" i="16"/>
  <c r="DA93" i="16"/>
  <c r="CZ93" i="16"/>
  <c r="CY93" i="16"/>
  <c r="CX93" i="16"/>
  <c r="CU93" i="16"/>
  <c r="CT93" i="16"/>
  <c r="CS93" i="16"/>
  <c r="CR93" i="16"/>
  <c r="CO93" i="16"/>
  <c r="CN93" i="16"/>
  <c r="CM93" i="16"/>
  <c r="CL93" i="16"/>
  <c r="CI93" i="16"/>
  <c r="CH93" i="16"/>
  <c r="CG93" i="16"/>
  <c r="CF93" i="16"/>
  <c r="CC93" i="16"/>
  <c r="CB93" i="16"/>
  <c r="CA93" i="16"/>
  <c r="BZ93" i="16"/>
  <c r="BW93" i="16"/>
  <c r="BV93" i="16"/>
  <c r="BU93" i="16"/>
  <c r="BT93" i="16"/>
  <c r="BQ93" i="16"/>
  <c r="BP93" i="16"/>
  <c r="BO93" i="16"/>
  <c r="BN93" i="16"/>
  <c r="BK93" i="16"/>
  <c r="BJ93" i="16"/>
  <c r="BI93" i="16"/>
  <c r="BH93" i="16"/>
  <c r="BE93" i="16"/>
  <c r="BD93" i="16"/>
  <c r="BC93" i="16"/>
  <c r="BB93" i="16"/>
  <c r="AY93" i="16"/>
  <c r="AX93" i="16"/>
  <c r="AW93" i="16"/>
  <c r="AV93" i="16"/>
  <c r="AS93" i="16"/>
  <c r="AR93" i="16"/>
  <c r="AQ93" i="16"/>
  <c r="AP93" i="16"/>
  <c r="AM93" i="16"/>
  <c r="AL93" i="16"/>
  <c r="AK93" i="16"/>
  <c r="AJ93" i="16"/>
  <c r="AG93" i="16"/>
  <c r="AF93" i="16"/>
  <c r="AE93" i="16"/>
  <c r="AD93" i="16"/>
  <c r="AA93" i="16"/>
  <c r="Z93" i="16"/>
  <c r="Y93" i="16"/>
  <c r="X93" i="16"/>
  <c r="U93" i="16"/>
  <c r="T93" i="16"/>
  <c r="S93" i="16"/>
  <c r="R93" i="16"/>
  <c r="O93" i="16"/>
  <c r="N93" i="16"/>
  <c r="M93" i="16"/>
  <c r="L93" i="16"/>
  <c r="I93" i="16"/>
  <c r="H93" i="16"/>
  <c r="G93" i="16"/>
  <c r="F93" i="16"/>
  <c r="OW92" i="16"/>
  <c r="OV92" i="16"/>
  <c r="OU92" i="16"/>
  <c r="OT92" i="16"/>
  <c r="OS92" i="16"/>
  <c r="OR92" i="16"/>
  <c r="OQ92" i="16"/>
  <c r="OP92" i="16"/>
  <c r="OO92" i="16"/>
  <c r="ON92" i="16"/>
  <c r="OK92" i="16"/>
  <c r="OJ92" i="16"/>
  <c r="OI92" i="16"/>
  <c r="OH92" i="16"/>
  <c r="OG92" i="16"/>
  <c r="OF92" i="16"/>
  <c r="OE92" i="16"/>
  <c r="OB92" i="16"/>
  <c r="OA92" i="16"/>
  <c r="NZ92" i="16"/>
  <c r="NY92" i="16"/>
  <c r="NX92" i="16"/>
  <c r="NW92" i="16"/>
  <c r="NV92" i="16"/>
  <c r="NS92" i="16"/>
  <c r="NR92" i="16"/>
  <c r="NQ92" i="16"/>
  <c r="NP92" i="16"/>
  <c r="NO92" i="16"/>
  <c r="NN92" i="16"/>
  <c r="NM92" i="16"/>
  <c r="NJ92" i="16"/>
  <c r="NI92" i="16"/>
  <c r="NH92" i="16"/>
  <c r="NG92" i="16"/>
  <c r="NF92" i="16"/>
  <c r="NE92" i="16"/>
  <c r="ND92" i="16"/>
  <c r="NA92" i="16"/>
  <c r="MZ92" i="16"/>
  <c r="MY92" i="16"/>
  <c r="MX92" i="16"/>
  <c r="MW92" i="16"/>
  <c r="MV92" i="16"/>
  <c r="MU92" i="16"/>
  <c r="MR92" i="16"/>
  <c r="MQ92" i="16"/>
  <c r="MP92" i="16"/>
  <c r="MO92" i="16"/>
  <c r="MN92" i="16"/>
  <c r="MM92" i="16"/>
  <c r="ML92" i="16"/>
  <c r="MI92" i="16"/>
  <c r="MH92" i="16"/>
  <c r="MG92" i="16"/>
  <c r="MF92" i="16"/>
  <c r="ME92" i="16"/>
  <c r="MD92" i="16"/>
  <c r="MC92" i="16"/>
  <c r="LZ92" i="16"/>
  <c r="LY92" i="16"/>
  <c r="LX92" i="16"/>
  <c r="LW92" i="16"/>
  <c r="LV92" i="16"/>
  <c r="LU92" i="16"/>
  <c r="LT92" i="16"/>
  <c r="LQ92" i="16"/>
  <c r="LP92" i="16"/>
  <c r="LO92" i="16"/>
  <c r="LN92" i="16"/>
  <c r="LM92" i="16"/>
  <c r="LL92" i="16"/>
  <c r="LK92" i="16"/>
  <c r="LH92" i="16"/>
  <c r="LG92" i="16"/>
  <c r="LF92" i="16"/>
  <c r="LE92" i="16"/>
  <c r="LD92" i="16"/>
  <c r="LC92" i="16"/>
  <c r="LB92" i="16"/>
  <c r="KY92" i="16"/>
  <c r="KX92" i="16"/>
  <c r="KW92" i="16"/>
  <c r="KV92" i="16"/>
  <c r="KU92" i="16"/>
  <c r="KT92" i="16"/>
  <c r="KS92" i="16"/>
  <c r="KP92" i="16"/>
  <c r="KO92" i="16"/>
  <c r="KN92" i="16"/>
  <c r="KM92" i="16"/>
  <c r="KL92" i="16"/>
  <c r="KK92" i="16"/>
  <c r="KJ92" i="16"/>
  <c r="KG92" i="16"/>
  <c r="KF92" i="16"/>
  <c r="KE92" i="16"/>
  <c r="KD92" i="16"/>
  <c r="KC92" i="16"/>
  <c r="KB92" i="16"/>
  <c r="KA92" i="16"/>
  <c r="JX92" i="16"/>
  <c r="JW92" i="16"/>
  <c r="JV92" i="16"/>
  <c r="JU92" i="16"/>
  <c r="JT92" i="16"/>
  <c r="JS92" i="16"/>
  <c r="JR92" i="16"/>
  <c r="JO92" i="16"/>
  <c r="JN92" i="16"/>
  <c r="JM92" i="16"/>
  <c r="JL92" i="16"/>
  <c r="JK92" i="16"/>
  <c r="JJ92" i="16"/>
  <c r="JI92" i="16"/>
  <c r="JF92" i="16"/>
  <c r="JE92" i="16"/>
  <c r="JD92" i="16"/>
  <c r="JC92" i="16"/>
  <c r="JB92" i="16"/>
  <c r="JA92" i="16"/>
  <c r="IZ92" i="16"/>
  <c r="IQ92" i="16"/>
  <c r="IP92" i="16"/>
  <c r="IO92" i="16"/>
  <c r="IN92" i="16"/>
  <c r="IM92" i="16"/>
  <c r="IL92" i="16"/>
  <c r="IK92" i="16"/>
  <c r="IJ92" i="16"/>
  <c r="II92" i="16"/>
  <c r="IF92" i="16"/>
  <c r="IE92" i="16"/>
  <c r="ID92" i="16"/>
  <c r="IC92" i="16"/>
  <c r="IB92" i="16"/>
  <c r="IA92" i="16"/>
  <c r="HX92" i="16"/>
  <c r="HW92" i="16"/>
  <c r="HV92" i="16"/>
  <c r="HU92" i="16"/>
  <c r="HT92" i="16"/>
  <c r="HS92" i="16"/>
  <c r="HP92" i="16"/>
  <c r="HO92" i="16"/>
  <c r="HN92" i="16"/>
  <c r="HM92" i="16"/>
  <c r="HL92" i="16"/>
  <c r="HK92" i="16"/>
  <c r="HH92" i="16"/>
  <c r="HG92" i="16"/>
  <c r="HF92" i="16"/>
  <c r="HE92" i="16"/>
  <c r="HD92" i="16"/>
  <c r="HC92" i="16"/>
  <c r="GZ92" i="16"/>
  <c r="GY92" i="16"/>
  <c r="GX92" i="16"/>
  <c r="GW92" i="16"/>
  <c r="GV92" i="16"/>
  <c r="GU92" i="16"/>
  <c r="GR92" i="16"/>
  <c r="GQ92" i="16"/>
  <c r="GP92" i="16"/>
  <c r="GO92" i="16"/>
  <c r="GN92" i="16"/>
  <c r="GM92" i="16"/>
  <c r="GJ92" i="16"/>
  <c r="GI92" i="16"/>
  <c r="GH92" i="16"/>
  <c r="GG92" i="16"/>
  <c r="GF92" i="16"/>
  <c r="GE92" i="16"/>
  <c r="GB92" i="16"/>
  <c r="GA92" i="16"/>
  <c r="FZ92" i="16"/>
  <c r="FY92" i="16"/>
  <c r="FX92" i="16"/>
  <c r="FW92" i="16"/>
  <c r="FT92" i="16"/>
  <c r="FS92" i="16"/>
  <c r="FR92" i="16"/>
  <c r="FQ92" i="16"/>
  <c r="FP92" i="16"/>
  <c r="FO92" i="16"/>
  <c r="FL92" i="16"/>
  <c r="FK92" i="16"/>
  <c r="FJ92" i="16"/>
  <c r="FI92" i="16"/>
  <c r="FH92" i="16"/>
  <c r="FG92" i="16"/>
  <c r="FD92" i="16"/>
  <c r="FC92" i="16"/>
  <c r="FB92" i="16"/>
  <c r="FA92" i="16"/>
  <c r="EZ92" i="16"/>
  <c r="EY92" i="16"/>
  <c r="EV92" i="16"/>
  <c r="EU92" i="16"/>
  <c r="ET92" i="16"/>
  <c r="ES92" i="16"/>
  <c r="ER92" i="16"/>
  <c r="EQ92" i="16"/>
  <c r="EN92" i="16"/>
  <c r="EM92" i="16"/>
  <c r="EL92" i="16"/>
  <c r="EK92" i="16"/>
  <c r="EJ92" i="16"/>
  <c r="EI92" i="16"/>
  <c r="EF92" i="16"/>
  <c r="EE92" i="16"/>
  <c r="ED92" i="16"/>
  <c r="EC92" i="16"/>
  <c r="EB92" i="16"/>
  <c r="EA92" i="16"/>
  <c r="DX92" i="16"/>
  <c r="DW92" i="16"/>
  <c r="DV92" i="16"/>
  <c r="DU92" i="16"/>
  <c r="DT92" i="16"/>
  <c r="DS92" i="16"/>
  <c r="DP92" i="16"/>
  <c r="DO92" i="16"/>
  <c r="DN92" i="16"/>
  <c r="DM92" i="16"/>
  <c r="DL92" i="16"/>
  <c r="DK92" i="16"/>
  <c r="DG92" i="16"/>
  <c r="DE92" i="16"/>
  <c r="DD92" i="16"/>
  <c r="DC92" i="16"/>
  <c r="DA92" i="16"/>
  <c r="CZ92" i="16"/>
  <c r="CY92" i="16"/>
  <c r="CX92" i="16"/>
  <c r="CU92" i="16"/>
  <c r="CT92" i="16"/>
  <c r="CS92" i="16"/>
  <c r="CR92" i="16"/>
  <c r="CO92" i="16"/>
  <c r="CN92" i="16"/>
  <c r="CM92" i="16"/>
  <c r="CL92" i="16"/>
  <c r="CI92" i="16"/>
  <c r="CH92" i="16"/>
  <c r="CG92" i="16"/>
  <c r="CF92" i="16"/>
  <c r="CC92" i="16"/>
  <c r="CB92" i="16"/>
  <c r="CA92" i="16"/>
  <c r="BZ92" i="16"/>
  <c r="BW92" i="16"/>
  <c r="BV92" i="16"/>
  <c r="BU92" i="16"/>
  <c r="BT92" i="16"/>
  <c r="BQ92" i="16"/>
  <c r="BP92" i="16"/>
  <c r="BO92" i="16"/>
  <c r="BN92" i="16"/>
  <c r="BK92" i="16"/>
  <c r="BJ92" i="16"/>
  <c r="BI92" i="16"/>
  <c r="BH92" i="16"/>
  <c r="BE92" i="16"/>
  <c r="BD92" i="16"/>
  <c r="BC92" i="16"/>
  <c r="BB92" i="16"/>
  <c r="AY92" i="16"/>
  <c r="AX92" i="16"/>
  <c r="AW92" i="16"/>
  <c r="AV92" i="16"/>
  <c r="AS92" i="16"/>
  <c r="AR92" i="16"/>
  <c r="AQ92" i="16"/>
  <c r="AP92" i="16"/>
  <c r="AM92" i="16"/>
  <c r="AL92" i="16"/>
  <c r="AK92" i="16"/>
  <c r="AJ92" i="16"/>
  <c r="AG92" i="16"/>
  <c r="AF92" i="16"/>
  <c r="AE92" i="16"/>
  <c r="AD92" i="16"/>
  <c r="AA92" i="16"/>
  <c r="Z92" i="16"/>
  <c r="Y92" i="16"/>
  <c r="X92" i="16"/>
  <c r="U92" i="16"/>
  <c r="T92" i="16"/>
  <c r="S92" i="16"/>
  <c r="R92" i="16"/>
  <c r="O92" i="16"/>
  <c r="N92" i="16"/>
  <c r="M92" i="16"/>
  <c r="L92" i="16"/>
  <c r="I92" i="16"/>
  <c r="H92" i="16"/>
  <c r="G92" i="16"/>
  <c r="F92" i="16"/>
  <c r="OW91" i="16"/>
  <c r="OV91" i="16"/>
  <c r="OU91" i="16"/>
  <c r="OT91" i="16"/>
  <c r="OS91" i="16"/>
  <c r="OR91" i="16"/>
  <c r="OQ91" i="16"/>
  <c r="OP91" i="16"/>
  <c r="OO91" i="16"/>
  <c r="ON91" i="16"/>
  <c r="OK91" i="16"/>
  <c r="OJ91" i="16"/>
  <c r="OI91" i="16"/>
  <c r="OH91" i="16"/>
  <c r="OG91" i="16"/>
  <c r="OF91" i="16"/>
  <c r="OE91" i="16"/>
  <c r="OB91" i="16"/>
  <c r="OA91" i="16"/>
  <c r="NZ91" i="16"/>
  <c r="NY91" i="16"/>
  <c r="NX91" i="16"/>
  <c r="NW91" i="16"/>
  <c r="NV91" i="16"/>
  <c r="NS91" i="16"/>
  <c r="NR91" i="16"/>
  <c r="NQ91" i="16"/>
  <c r="NP91" i="16"/>
  <c r="NO91" i="16"/>
  <c r="NN91" i="16"/>
  <c r="NM91" i="16"/>
  <c r="NJ91" i="16"/>
  <c r="NI91" i="16"/>
  <c r="NH91" i="16"/>
  <c r="NG91" i="16"/>
  <c r="NF91" i="16"/>
  <c r="NE91" i="16"/>
  <c r="ND91" i="16"/>
  <c r="NA91" i="16"/>
  <c r="MZ91" i="16"/>
  <c r="MY91" i="16"/>
  <c r="MX91" i="16"/>
  <c r="MW91" i="16"/>
  <c r="MV91" i="16"/>
  <c r="MU91" i="16"/>
  <c r="MR91" i="16"/>
  <c r="MQ91" i="16"/>
  <c r="MP91" i="16"/>
  <c r="MO91" i="16"/>
  <c r="MN91" i="16"/>
  <c r="MM91" i="16"/>
  <c r="ML91" i="16"/>
  <c r="MI91" i="16"/>
  <c r="MH91" i="16"/>
  <c r="MG91" i="16"/>
  <c r="MF91" i="16"/>
  <c r="ME91" i="16"/>
  <c r="MD91" i="16"/>
  <c r="MC91" i="16"/>
  <c r="LZ91" i="16"/>
  <c r="LY91" i="16"/>
  <c r="LX91" i="16"/>
  <c r="LW91" i="16"/>
  <c r="LV91" i="16"/>
  <c r="LU91" i="16"/>
  <c r="LT91" i="16"/>
  <c r="LQ91" i="16"/>
  <c r="LP91" i="16"/>
  <c r="LO91" i="16"/>
  <c r="LN91" i="16"/>
  <c r="LM91" i="16"/>
  <c r="LL91" i="16"/>
  <c r="LK91" i="16"/>
  <c r="LH91" i="16"/>
  <c r="LG91" i="16"/>
  <c r="LF91" i="16"/>
  <c r="LE91" i="16"/>
  <c r="LD91" i="16"/>
  <c r="LC91" i="16"/>
  <c r="LB91" i="16"/>
  <c r="KY91" i="16"/>
  <c r="KX91" i="16"/>
  <c r="KW91" i="16"/>
  <c r="KV91" i="16"/>
  <c r="KU91" i="16"/>
  <c r="KT91" i="16"/>
  <c r="KS91" i="16"/>
  <c r="KP91" i="16"/>
  <c r="KO91" i="16"/>
  <c r="KN91" i="16"/>
  <c r="KM91" i="16"/>
  <c r="KL91" i="16"/>
  <c r="KK91" i="16"/>
  <c r="KJ91" i="16"/>
  <c r="KG91" i="16"/>
  <c r="KF91" i="16"/>
  <c r="KE91" i="16"/>
  <c r="KD91" i="16"/>
  <c r="KC91" i="16"/>
  <c r="KB91" i="16"/>
  <c r="KA91" i="16"/>
  <c r="JX91" i="16"/>
  <c r="JW91" i="16"/>
  <c r="JV91" i="16"/>
  <c r="JU91" i="16"/>
  <c r="JT91" i="16"/>
  <c r="JS91" i="16"/>
  <c r="JR91" i="16"/>
  <c r="JO91" i="16"/>
  <c r="JN91" i="16"/>
  <c r="JM91" i="16"/>
  <c r="JL91" i="16"/>
  <c r="JK91" i="16"/>
  <c r="JJ91" i="16"/>
  <c r="JI91" i="16"/>
  <c r="JF91" i="16"/>
  <c r="JE91" i="16"/>
  <c r="JD91" i="16"/>
  <c r="JC91" i="16"/>
  <c r="JB91" i="16"/>
  <c r="JA91" i="16"/>
  <c r="IZ91" i="16"/>
  <c r="IQ91" i="16"/>
  <c r="IP91" i="16"/>
  <c r="IO91" i="16"/>
  <c r="IN91" i="16"/>
  <c r="IM91" i="16"/>
  <c r="IL91" i="16"/>
  <c r="IK91" i="16"/>
  <c r="IJ91" i="16"/>
  <c r="II91" i="16"/>
  <c r="IF91" i="16"/>
  <c r="IE91" i="16"/>
  <c r="ID91" i="16"/>
  <c r="IC91" i="16"/>
  <c r="IB91" i="16"/>
  <c r="IA91" i="16"/>
  <c r="HX91" i="16"/>
  <c r="HW91" i="16"/>
  <c r="HV91" i="16"/>
  <c r="HU91" i="16"/>
  <c r="HT91" i="16"/>
  <c r="HS91" i="16"/>
  <c r="HP91" i="16"/>
  <c r="HO91" i="16"/>
  <c r="HN91" i="16"/>
  <c r="HM91" i="16"/>
  <c r="HL91" i="16"/>
  <c r="HK91" i="16"/>
  <c r="HH91" i="16"/>
  <c r="HG91" i="16"/>
  <c r="HF91" i="16"/>
  <c r="HE91" i="16"/>
  <c r="HD91" i="16"/>
  <c r="HC91" i="16"/>
  <c r="GZ91" i="16"/>
  <c r="GY91" i="16"/>
  <c r="GX91" i="16"/>
  <c r="GW91" i="16"/>
  <c r="GV91" i="16"/>
  <c r="GU91" i="16"/>
  <c r="GR91" i="16"/>
  <c r="GQ91" i="16"/>
  <c r="GP91" i="16"/>
  <c r="GO91" i="16"/>
  <c r="GN91" i="16"/>
  <c r="GM91" i="16"/>
  <c r="GJ91" i="16"/>
  <c r="GI91" i="16"/>
  <c r="GH91" i="16"/>
  <c r="GG91" i="16"/>
  <c r="GF91" i="16"/>
  <c r="GE91" i="16"/>
  <c r="GB91" i="16"/>
  <c r="GA91" i="16"/>
  <c r="FZ91" i="16"/>
  <c r="FY91" i="16"/>
  <c r="FX91" i="16"/>
  <c r="FW91" i="16"/>
  <c r="FT91" i="16"/>
  <c r="FS91" i="16"/>
  <c r="FR91" i="16"/>
  <c r="FQ91" i="16"/>
  <c r="FP91" i="16"/>
  <c r="FO91" i="16"/>
  <c r="FL91" i="16"/>
  <c r="FK91" i="16"/>
  <c r="FJ91" i="16"/>
  <c r="FI91" i="16"/>
  <c r="FH91" i="16"/>
  <c r="FG91" i="16"/>
  <c r="FD91" i="16"/>
  <c r="FC91" i="16"/>
  <c r="FB91" i="16"/>
  <c r="FA91" i="16"/>
  <c r="EZ91" i="16"/>
  <c r="EY91" i="16"/>
  <c r="EV91" i="16"/>
  <c r="EU91" i="16"/>
  <c r="ET91" i="16"/>
  <c r="ES91" i="16"/>
  <c r="ER91" i="16"/>
  <c r="EQ91" i="16"/>
  <c r="EN91" i="16"/>
  <c r="EM91" i="16"/>
  <c r="EL91" i="16"/>
  <c r="EK91" i="16"/>
  <c r="EJ91" i="16"/>
  <c r="EI91" i="16"/>
  <c r="EF91" i="16"/>
  <c r="EE91" i="16"/>
  <c r="ED91" i="16"/>
  <c r="EC91" i="16"/>
  <c r="EB91" i="16"/>
  <c r="EA91" i="16"/>
  <c r="DX91" i="16"/>
  <c r="DW91" i="16"/>
  <c r="DV91" i="16"/>
  <c r="DU91" i="16"/>
  <c r="DT91" i="16"/>
  <c r="DS91" i="16"/>
  <c r="DP91" i="16"/>
  <c r="DO91" i="16"/>
  <c r="DN91" i="16"/>
  <c r="DM91" i="16"/>
  <c r="DL91" i="16"/>
  <c r="DK91" i="16"/>
  <c r="DG91" i="16"/>
  <c r="DE91" i="16"/>
  <c r="DD91" i="16"/>
  <c r="DC91" i="16"/>
  <c r="DA91" i="16"/>
  <c r="CZ91" i="16"/>
  <c r="CY91" i="16"/>
  <c r="CX91" i="16"/>
  <c r="CU91" i="16"/>
  <c r="CT91" i="16"/>
  <c r="CS91" i="16"/>
  <c r="CR91" i="16"/>
  <c r="CO91" i="16"/>
  <c r="CN91" i="16"/>
  <c r="CM91" i="16"/>
  <c r="CL91" i="16"/>
  <c r="CI91" i="16"/>
  <c r="CH91" i="16"/>
  <c r="CG91" i="16"/>
  <c r="CF91" i="16"/>
  <c r="CC91" i="16"/>
  <c r="CB91" i="16"/>
  <c r="CA91" i="16"/>
  <c r="BZ91" i="16"/>
  <c r="BW91" i="16"/>
  <c r="BV91" i="16"/>
  <c r="BU91" i="16"/>
  <c r="BT91" i="16"/>
  <c r="BQ91" i="16"/>
  <c r="BP91" i="16"/>
  <c r="BO91" i="16"/>
  <c r="BN91" i="16"/>
  <c r="BK91" i="16"/>
  <c r="BJ91" i="16"/>
  <c r="BI91" i="16"/>
  <c r="BH91" i="16"/>
  <c r="BE91" i="16"/>
  <c r="BD91" i="16"/>
  <c r="BC91" i="16"/>
  <c r="BB91" i="16"/>
  <c r="AY91" i="16"/>
  <c r="AX91" i="16"/>
  <c r="AW91" i="16"/>
  <c r="AV91" i="16"/>
  <c r="AS91" i="16"/>
  <c r="AR91" i="16"/>
  <c r="AQ91" i="16"/>
  <c r="AP91" i="16"/>
  <c r="AM91" i="16"/>
  <c r="AL91" i="16"/>
  <c r="AK91" i="16"/>
  <c r="AJ91" i="16"/>
  <c r="AG91" i="16"/>
  <c r="AF91" i="16"/>
  <c r="AE91" i="16"/>
  <c r="AD91" i="16"/>
  <c r="AA91" i="16"/>
  <c r="Z91" i="16"/>
  <c r="Y91" i="16"/>
  <c r="X91" i="16"/>
  <c r="U91" i="16"/>
  <c r="T91" i="16"/>
  <c r="S91" i="16"/>
  <c r="R91" i="16"/>
  <c r="O91" i="16"/>
  <c r="N91" i="16"/>
  <c r="M91" i="16"/>
  <c r="L91" i="16"/>
  <c r="I91" i="16"/>
  <c r="H91" i="16"/>
  <c r="G91" i="16"/>
  <c r="F91" i="16"/>
  <c r="OW90" i="16"/>
  <c r="OV90" i="16"/>
  <c r="OU90" i="16"/>
  <c r="OT90" i="16"/>
  <c r="OS90" i="16"/>
  <c r="OR90" i="16"/>
  <c r="OQ90" i="16"/>
  <c r="OP90" i="16"/>
  <c r="OO90" i="16"/>
  <c r="ON90" i="16"/>
  <c r="OK90" i="16"/>
  <c r="OJ90" i="16"/>
  <c r="OI90" i="16"/>
  <c r="OH90" i="16"/>
  <c r="OG90" i="16"/>
  <c r="OF90" i="16"/>
  <c r="OE90" i="16"/>
  <c r="OB90" i="16"/>
  <c r="OA90" i="16"/>
  <c r="NZ90" i="16"/>
  <c r="NY90" i="16"/>
  <c r="NX90" i="16"/>
  <c r="NW90" i="16"/>
  <c r="NV90" i="16"/>
  <c r="NS90" i="16"/>
  <c r="NR90" i="16"/>
  <c r="NQ90" i="16"/>
  <c r="NP90" i="16"/>
  <c r="NO90" i="16"/>
  <c r="NN90" i="16"/>
  <c r="NM90" i="16"/>
  <c r="NJ90" i="16"/>
  <c r="NI90" i="16"/>
  <c r="NH90" i="16"/>
  <c r="NG90" i="16"/>
  <c r="NF90" i="16"/>
  <c r="NE90" i="16"/>
  <c r="ND90" i="16"/>
  <c r="NA90" i="16"/>
  <c r="MZ90" i="16"/>
  <c r="MY90" i="16"/>
  <c r="MX90" i="16"/>
  <c r="MW90" i="16"/>
  <c r="MV90" i="16"/>
  <c r="MU90" i="16"/>
  <c r="MR90" i="16"/>
  <c r="MQ90" i="16"/>
  <c r="MP90" i="16"/>
  <c r="MO90" i="16"/>
  <c r="MN90" i="16"/>
  <c r="MM90" i="16"/>
  <c r="ML90" i="16"/>
  <c r="MI90" i="16"/>
  <c r="MH90" i="16"/>
  <c r="MG90" i="16"/>
  <c r="MF90" i="16"/>
  <c r="ME90" i="16"/>
  <c r="MD90" i="16"/>
  <c r="MC90" i="16"/>
  <c r="LZ90" i="16"/>
  <c r="LY90" i="16"/>
  <c r="LX90" i="16"/>
  <c r="LW90" i="16"/>
  <c r="LV90" i="16"/>
  <c r="LU90" i="16"/>
  <c r="LT90" i="16"/>
  <c r="LQ90" i="16"/>
  <c r="LP90" i="16"/>
  <c r="LO90" i="16"/>
  <c r="LN90" i="16"/>
  <c r="LM90" i="16"/>
  <c r="LL90" i="16"/>
  <c r="LK90" i="16"/>
  <c r="LH90" i="16"/>
  <c r="LG90" i="16"/>
  <c r="LF90" i="16"/>
  <c r="LE90" i="16"/>
  <c r="LD90" i="16"/>
  <c r="LC90" i="16"/>
  <c r="LB90" i="16"/>
  <c r="KY90" i="16"/>
  <c r="KX90" i="16"/>
  <c r="KW90" i="16"/>
  <c r="KV90" i="16"/>
  <c r="KU90" i="16"/>
  <c r="KT90" i="16"/>
  <c r="KS90" i="16"/>
  <c r="KP90" i="16"/>
  <c r="KO90" i="16"/>
  <c r="KN90" i="16"/>
  <c r="KM90" i="16"/>
  <c r="KL90" i="16"/>
  <c r="KK90" i="16"/>
  <c r="KJ90" i="16"/>
  <c r="KG90" i="16"/>
  <c r="KF90" i="16"/>
  <c r="KE90" i="16"/>
  <c r="KD90" i="16"/>
  <c r="KC90" i="16"/>
  <c r="KB90" i="16"/>
  <c r="KA90" i="16"/>
  <c r="JX90" i="16"/>
  <c r="JW90" i="16"/>
  <c r="JV90" i="16"/>
  <c r="JU90" i="16"/>
  <c r="JT90" i="16"/>
  <c r="JS90" i="16"/>
  <c r="JR90" i="16"/>
  <c r="JO90" i="16"/>
  <c r="JN90" i="16"/>
  <c r="JM90" i="16"/>
  <c r="JL90" i="16"/>
  <c r="JK90" i="16"/>
  <c r="JJ90" i="16"/>
  <c r="JI90" i="16"/>
  <c r="JF90" i="16"/>
  <c r="JE90" i="16"/>
  <c r="JD90" i="16"/>
  <c r="JC90" i="16"/>
  <c r="JB90" i="16"/>
  <c r="JA90" i="16"/>
  <c r="IZ90" i="16"/>
  <c r="IQ90" i="16"/>
  <c r="IP90" i="16"/>
  <c r="IO90" i="16"/>
  <c r="IN90" i="16"/>
  <c r="IM90" i="16"/>
  <c r="IL90" i="16"/>
  <c r="IK90" i="16"/>
  <c r="IJ90" i="16"/>
  <c r="II90" i="16"/>
  <c r="IF90" i="16"/>
  <c r="IE90" i="16"/>
  <c r="ID90" i="16"/>
  <c r="IC90" i="16"/>
  <c r="IB90" i="16"/>
  <c r="IA90" i="16"/>
  <c r="HX90" i="16"/>
  <c r="HW90" i="16"/>
  <c r="HV90" i="16"/>
  <c r="HU90" i="16"/>
  <c r="HT90" i="16"/>
  <c r="HS90" i="16"/>
  <c r="HP90" i="16"/>
  <c r="HO90" i="16"/>
  <c r="HN90" i="16"/>
  <c r="HM90" i="16"/>
  <c r="HL90" i="16"/>
  <c r="HK90" i="16"/>
  <c r="HH90" i="16"/>
  <c r="HG90" i="16"/>
  <c r="HF90" i="16"/>
  <c r="HE90" i="16"/>
  <c r="HD90" i="16"/>
  <c r="HC90" i="16"/>
  <c r="GZ90" i="16"/>
  <c r="GY90" i="16"/>
  <c r="GX90" i="16"/>
  <c r="GW90" i="16"/>
  <c r="GV90" i="16"/>
  <c r="GU90" i="16"/>
  <c r="GR90" i="16"/>
  <c r="GQ90" i="16"/>
  <c r="GP90" i="16"/>
  <c r="GO90" i="16"/>
  <c r="GN90" i="16"/>
  <c r="GM90" i="16"/>
  <c r="GJ90" i="16"/>
  <c r="GI90" i="16"/>
  <c r="GH90" i="16"/>
  <c r="GG90" i="16"/>
  <c r="GF90" i="16"/>
  <c r="GE90" i="16"/>
  <c r="GB90" i="16"/>
  <c r="GA90" i="16"/>
  <c r="FZ90" i="16"/>
  <c r="FY90" i="16"/>
  <c r="FX90" i="16"/>
  <c r="FW90" i="16"/>
  <c r="FT90" i="16"/>
  <c r="FS90" i="16"/>
  <c r="FR90" i="16"/>
  <c r="FQ90" i="16"/>
  <c r="FP90" i="16"/>
  <c r="FO90" i="16"/>
  <c r="FL90" i="16"/>
  <c r="FK90" i="16"/>
  <c r="FJ90" i="16"/>
  <c r="FI90" i="16"/>
  <c r="FH90" i="16"/>
  <c r="FG90" i="16"/>
  <c r="FD90" i="16"/>
  <c r="FC90" i="16"/>
  <c r="FB90" i="16"/>
  <c r="FA90" i="16"/>
  <c r="EZ90" i="16"/>
  <c r="EY90" i="16"/>
  <c r="EV90" i="16"/>
  <c r="EU90" i="16"/>
  <c r="ET90" i="16"/>
  <c r="ES90" i="16"/>
  <c r="ER90" i="16"/>
  <c r="EQ90" i="16"/>
  <c r="EN90" i="16"/>
  <c r="EM90" i="16"/>
  <c r="EL90" i="16"/>
  <c r="EK90" i="16"/>
  <c r="EJ90" i="16"/>
  <c r="EI90" i="16"/>
  <c r="EF90" i="16"/>
  <c r="EE90" i="16"/>
  <c r="ED90" i="16"/>
  <c r="EC90" i="16"/>
  <c r="EB90" i="16"/>
  <c r="EA90" i="16"/>
  <c r="DX90" i="16"/>
  <c r="DW90" i="16"/>
  <c r="DV90" i="16"/>
  <c r="DU90" i="16"/>
  <c r="DT90" i="16"/>
  <c r="DS90" i="16"/>
  <c r="DP90" i="16"/>
  <c r="DO90" i="16"/>
  <c r="DN90" i="16"/>
  <c r="DM90" i="16"/>
  <c r="DL90" i="16"/>
  <c r="DK90" i="16"/>
  <c r="DG90" i="16"/>
  <c r="DE90" i="16"/>
  <c r="DD90" i="16"/>
  <c r="DC90" i="16"/>
  <c r="DA90" i="16"/>
  <c r="CZ90" i="16"/>
  <c r="CY90" i="16"/>
  <c r="CX90" i="16"/>
  <c r="CU90" i="16"/>
  <c r="CT90" i="16"/>
  <c r="CS90" i="16"/>
  <c r="CR90" i="16"/>
  <c r="CO90" i="16"/>
  <c r="CN90" i="16"/>
  <c r="CM90" i="16"/>
  <c r="CL90" i="16"/>
  <c r="CI90" i="16"/>
  <c r="CH90" i="16"/>
  <c r="CG90" i="16"/>
  <c r="CF90" i="16"/>
  <c r="CC90" i="16"/>
  <c r="CB90" i="16"/>
  <c r="CA90" i="16"/>
  <c r="BZ90" i="16"/>
  <c r="BW90" i="16"/>
  <c r="BV90" i="16"/>
  <c r="BU90" i="16"/>
  <c r="BT90" i="16"/>
  <c r="BQ90" i="16"/>
  <c r="BP90" i="16"/>
  <c r="BO90" i="16"/>
  <c r="BN90" i="16"/>
  <c r="BK90" i="16"/>
  <c r="BJ90" i="16"/>
  <c r="BI90" i="16"/>
  <c r="BH90" i="16"/>
  <c r="BE90" i="16"/>
  <c r="BD90" i="16"/>
  <c r="BC90" i="16"/>
  <c r="BB90" i="16"/>
  <c r="AY90" i="16"/>
  <c r="AX90" i="16"/>
  <c r="AW90" i="16"/>
  <c r="AV90" i="16"/>
  <c r="AS90" i="16"/>
  <c r="AR90" i="16"/>
  <c r="AQ90" i="16"/>
  <c r="AP90" i="16"/>
  <c r="AM90" i="16"/>
  <c r="AL90" i="16"/>
  <c r="AK90" i="16"/>
  <c r="AJ90" i="16"/>
  <c r="AG90" i="16"/>
  <c r="AF90" i="16"/>
  <c r="AE90" i="16"/>
  <c r="AD90" i="16"/>
  <c r="AA90" i="16"/>
  <c r="Z90" i="16"/>
  <c r="Y90" i="16"/>
  <c r="X90" i="16"/>
  <c r="U90" i="16"/>
  <c r="T90" i="16"/>
  <c r="S90" i="16"/>
  <c r="R90" i="16"/>
  <c r="O90" i="16"/>
  <c r="N90" i="16"/>
  <c r="M90" i="16"/>
  <c r="L90" i="16"/>
  <c r="I90" i="16"/>
  <c r="H90" i="16"/>
  <c r="G90" i="16"/>
  <c r="F90" i="16"/>
  <c r="OW89" i="16"/>
  <c r="OV89" i="16"/>
  <c r="OU89" i="16"/>
  <c r="OT89" i="16"/>
  <c r="OS89" i="16"/>
  <c r="OR89" i="16"/>
  <c r="OQ89" i="16"/>
  <c r="OP89" i="16"/>
  <c r="OO89" i="16"/>
  <c r="ON89" i="16"/>
  <c r="OK89" i="16"/>
  <c r="OJ89" i="16"/>
  <c r="OI89" i="16"/>
  <c r="OH89" i="16"/>
  <c r="OG89" i="16"/>
  <c r="OF89" i="16"/>
  <c r="OE89" i="16"/>
  <c r="OB89" i="16"/>
  <c r="OA89" i="16"/>
  <c r="NZ89" i="16"/>
  <c r="NY89" i="16"/>
  <c r="NX89" i="16"/>
  <c r="NW89" i="16"/>
  <c r="NV89" i="16"/>
  <c r="NS89" i="16"/>
  <c r="NR89" i="16"/>
  <c r="NQ89" i="16"/>
  <c r="NP89" i="16"/>
  <c r="NO89" i="16"/>
  <c r="NN89" i="16"/>
  <c r="NM89" i="16"/>
  <c r="NJ89" i="16"/>
  <c r="NI89" i="16"/>
  <c r="NH89" i="16"/>
  <c r="NG89" i="16"/>
  <c r="NF89" i="16"/>
  <c r="NE89" i="16"/>
  <c r="ND89" i="16"/>
  <c r="NA89" i="16"/>
  <c r="MZ89" i="16"/>
  <c r="MY89" i="16"/>
  <c r="MX89" i="16"/>
  <c r="MW89" i="16"/>
  <c r="MV89" i="16"/>
  <c r="MU89" i="16"/>
  <c r="MR89" i="16"/>
  <c r="MQ89" i="16"/>
  <c r="MP89" i="16"/>
  <c r="MO89" i="16"/>
  <c r="MN89" i="16"/>
  <c r="MM89" i="16"/>
  <c r="ML89" i="16"/>
  <c r="MI89" i="16"/>
  <c r="MH89" i="16"/>
  <c r="MG89" i="16"/>
  <c r="MF89" i="16"/>
  <c r="ME89" i="16"/>
  <c r="MD89" i="16"/>
  <c r="MC89" i="16"/>
  <c r="LZ89" i="16"/>
  <c r="LY89" i="16"/>
  <c r="LX89" i="16"/>
  <c r="LW89" i="16"/>
  <c r="LV89" i="16"/>
  <c r="LU89" i="16"/>
  <c r="LT89" i="16"/>
  <c r="LQ89" i="16"/>
  <c r="LP89" i="16"/>
  <c r="LO89" i="16"/>
  <c r="LN89" i="16"/>
  <c r="LM89" i="16"/>
  <c r="LL89" i="16"/>
  <c r="LK89" i="16"/>
  <c r="LH89" i="16"/>
  <c r="LG89" i="16"/>
  <c r="LF89" i="16"/>
  <c r="LE89" i="16"/>
  <c r="LD89" i="16"/>
  <c r="LC89" i="16"/>
  <c r="LB89" i="16"/>
  <c r="KY89" i="16"/>
  <c r="KX89" i="16"/>
  <c r="KW89" i="16"/>
  <c r="KV89" i="16"/>
  <c r="KU89" i="16"/>
  <c r="KT89" i="16"/>
  <c r="KS89" i="16"/>
  <c r="KP89" i="16"/>
  <c r="KO89" i="16"/>
  <c r="KN89" i="16"/>
  <c r="KM89" i="16"/>
  <c r="KL89" i="16"/>
  <c r="KK89" i="16"/>
  <c r="KJ89" i="16"/>
  <c r="KG89" i="16"/>
  <c r="KF89" i="16"/>
  <c r="KE89" i="16"/>
  <c r="KD89" i="16"/>
  <c r="KC89" i="16"/>
  <c r="KB89" i="16"/>
  <c r="KA89" i="16"/>
  <c r="JX89" i="16"/>
  <c r="JW89" i="16"/>
  <c r="JV89" i="16"/>
  <c r="JU89" i="16"/>
  <c r="JT89" i="16"/>
  <c r="JS89" i="16"/>
  <c r="JR89" i="16"/>
  <c r="JO89" i="16"/>
  <c r="JN89" i="16"/>
  <c r="JM89" i="16"/>
  <c r="JL89" i="16"/>
  <c r="JK89" i="16"/>
  <c r="JJ89" i="16"/>
  <c r="JI89" i="16"/>
  <c r="JF89" i="16"/>
  <c r="JE89" i="16"/>
  <c r="JD89" i="16"/>
  <c r="JC89" i="16"/>
  <c r="JB89" i="16"/>
  <c r="JA89" i="16"/>
  <c r="IZ89" i="16"/>
  <c r="IQ89" i="16"/>
  <c r="IP89" i="16"/>
  <c r="IO89" i="16"/>
  <c r="IN89" i="16"/>
  <c r="IM89" i="16"/>
  <c r="IL89" i="16"/>
  <c r="IK89" i="16"/>
  <c r="IJ89" i="16"/>
  <c r="II89" i="16"/>
  <c r="IF89" i="16"/>
  <c r="IE89" i="16"/>
  <c r="ID89" i="16"/>
  <c r="IC89" i="16"/>
  <c r="IB89" i="16"/>
  <c r="IA89" i="16"/>
  <c r="HX89" i="16"/>
  <c r="HW89" i="16"/>
  <c r="HV89" i="16"/>
  <c r="HU89" i="16"/>
  <c r="HT89" i="16"/>
  <c r="HS89" i="16"/>
  <c r="HP89" i="16"/>
  <c r="HO89" i="16"/>
  <c r="HN89" i="16"/>
  <c r="HM89" i="16"/>
  <c r="HL89" i="16"/>
  <c r="HK89" i="16"/>
  <c r="HH89" i="16"/>
  <c r="HG89" i="16"/>
  <c r="HF89" i="16"/>
  <c r="HE89" i="16"/>
  <c r="HD89" i="16"/>
  <c r="HC89" i="16"/>
  <c r="GZ89" i="16"/>
  <c r="GY89" i="16"/>
  <c r="GX89" i="16"/>
  <c r="GW89" i="16"/>
  <c r="GV89" i="16"/>
  <c r="GU89" i="16"/>
  <c r="GR89" i="16"/>
  <c r="GQ89" i="16"/>
  <c r="GP89" i="16"/>
  <c r="GO89" i="16"/>
  <c r="GN89" i="16"/>
  <c r="GM89" i="16"/>
  <c r="GJ89" i="16"/>
  <c r="GI89" i="16"/>
  <c r="GH89" i="16"/>
  <c r="GG89" i="16"/>
  <c r="GF89" i="16"/>
  <c r="GE89" i="16"/>
  <c r="GB89" i="16"/>
  <c r="GA89" i="16"/>
  <c r="FZ89" i="16"/>
  <c r="FY89" i="16"/>
  <c r="FX89" i="16"/>
  <c r="FW89" i="16"/>
  <c r="FT89" i="16"/>
  <c r="FS89" i="16"/>
  <c r="FR89" i="16"/>
  <c r="FQ89" i="16"/>
  <c r="FP89" i="16"/>
  <c r="FO89" i="16"/>
  <c r="FL89" i="16"/>
  <c r="FK89" i="16"/>
  <c r="FJ89" i="16"/>
  <c r="FI89" i="16"/>
  <c r="FH89" i="16"/>
  <c r="FG89" i="16"/>
  <c r="FD89" i="16"/>
  <c r="FC89" i="16"/>
  <c r="FB89" i="16"/>
  <c r="FA89" i="16"/>
  <c r="EZ89" i="16"/>
  <c r="EY89" i="16"/>
  <c r="EV89" i="16"/>
  <c r="EU89" i="16"/>
  <c r="ET89" i="16"/>
  <c r="ES89" i="16"/>
  <c r="ER89" i="16"/>
  <c r="EQ89" i="16"/>
  <c r="EN89" i="16"/>
  <c r="EM89" i="16"/>
  <c r="EL89" i="16"/>
  <c r="EK89" i="16"/>
  <c r="EJ89" i="16"/>
  <c r="EI89" i="16"/>
  <c r="EF89" i="16"/>
  <c r="EE89" i="16"/>
  <c r="ED89" i="16"/>
  <c r="EC89" i="16"/>
  <c r="EB89" i="16"/>
  <c r="EA89" i="16"/>
  <c r="DX89" i="16"/>
  <c r="DW89" i="16"/>
  <c r="DV89" i="16"/>
  <c r="DU89" i="16"/>
  <c r="DT89" i="16"/>
  <c r="DS89" i="16"/>
  <c r="DP89" i="16"/>
  <c r="DO89" i="16"/>
  <c r="DN89" i="16"/>
  <c r="DM89" i="16"/>
  <c r="DL89" i="16"/>
  <c r="DK89" i="16"/>
  <c r="DG89" i="16"/>
  <c r="DE89" i="16"/>
  <c r="DD89" i="16"/>
  <c r="DC89" i="16"/>
  <c r="DA89" i="16"/>
  <c r="CZ89" i="16"/>
  <c r="CY89" i="16"/>
  <c r="CX89" i="16"/>
  <c r="CU89" i="16"/>
  <c r="CT89" i="16"/>
  <c r="CS89" i="16"/>
  <c r="CR89" i="16"/>
  <c r="CO89" i="16"/>
  <c r="CN89" i="16"/>
  <c r="CM89" i="16"/>
  <c r="CL89" i="16"/>
  <c r="CI89" i="16"/>
  <c r="CH89" i="16"/>
  <c r="CG89" i="16"/>
  <c r="CF89" i="16"/>
  <c r="CC89" i="16"/>
  <c r="CB89" i="16"/>
  <c r="CA89" i="16"/>
  <c r="BZ89" i="16"/>
  <c r="BW89" i="16"/>
  <c r="BV89" i="16"/>
  <c r="BU89" i="16"/>
  <c r="BT89" i="16"/>
  <c r="BQ89" i="16"/>
  <c r="BP89" i="16"/>
  <c r="BO89" i="16"/>
  <c r="BN89" i="16"/>
  <c r="BK89" i="16"/>
  <c r="BJ89" i="16"/>
  <c r="BI89" i="16"/>
  <c r="BH89" i="16"/>
  <c r="BE89" i="16"/>
  <c r="BD89" i="16"/>
  <c r="BC89" i="16"/>
  <c r="BB89" i="16"/>
  <c r="AY89" i="16"/>
  <c r="AX89" i="16"/>
  <c r="AW89" i="16"/>
  <c r="AV89" i="16"/>
  <c r="AS89" i="16"/>
  <c r="AR89" i="16"/>
  <c r="AQ89" i="16"/>
  <c r="AP89" i="16"/>
  <c r="AM89" i="16"/>
  <c r="AL89" i="16"/>
  <c r="AK89" i="16"/>
  <c r="AJ89" i="16"/>
  <c r="AG89" i="16"/>
  <c r="AF89" i="16"/>
  <c r="AE89" i="16"/>
  <c r="AD89" i="16"/>
  <c r="AA89" i="16"/>
  <c r="Z89" i="16"/>
  <c r="Y89" i="16"/>
  <c r="X89" i="16"/>
  <c r="U89" i="16"/>
  <c r="T89" i="16"/>
  <c r="S89" i="16"/>
  <c r="R89" i="16"/>
  <c r="O89" i="16"/>
  <c r="N89" i="16"/>
  <c r="M89" i="16"/>
  <c r="L89" i="16"/>
  <c r="I89" i="16"/>
  <c r="H89" i="16"/>
  <c r="G89" i="16"/>
  <c r="F89" i="16"/>
  <c r="OW88" i="16"/>
  <c r="OV88" i="16"/>
  <c r="OU88" i="16"/>
  <c r="OT88" i="16"/>
  <c r="OS88" i="16"/>
  <c r="OR88" i="16"/>
  <c r="OQ88" i="16"/>
  <c r="OP88" i="16"/>
  <c r="OO88" i="16"/>
  <c r="ON88" i="16"/>
  <c r="OK88" i="16"/>
  <c r="OJ88" i="16"/>
  <c r="OI88" i="16"/>
  <c r="OH88" i="16"/>
  <c r="OG88" i="16"/>
  <c r="OF88" i="16"/>
  <c r="OE88" i="16"/>
  <c r="OB88" i="16"/>
  <c r="OA88" i="16"/>
  <c r="NZ88" i="16"/>
  <c r="NY88" i="16"/>
  <c r="NX88" i="16"/>
  <c r="NW88" i="16"/>
  <c r="NV88" i="16"/>
  <c r="NS88" i="16"/>
  <c r="NR88" i="16"/>
  <c r="NQ88" i="16"/>
  <c r="NP88" i="16"/>
  <c r="NO88" i="16"/>
  <c r="NN88" i="16"/>
  <c r="NM88" i="16"/>
  <c r="NJ88" i="16"/>
  <c r="NI88" i="16"/>
  <c r="NH88" i="16"/>
  <c r="NG88" i="16"/>
  <c r="NF88" i="16"/>
  <c r="NE88" i="16"/>
  <c r="ND88" i="16"/>
  <c r="NA88" i="16"/>
  <c r="MZ88" i="16"/>
  <c r="MY88" i="16"/>
  <c r="MX88" i="16"/>
  <c r="MW88" i="16"/>
  <c r="MV88" i="16"/>
  <c r="MU88" i="16"/>
  <c r="MR88" i="16"/>
  <c r="MQ88" i="16"/>
  <c r="MP88" i="16"/>
  <c r="MO88" i="16"/>
  <c r="MN88" i="16"/>
  <c r="MM88" i="16"/>
  <c r="ML88" i="16"/>
  <c r="MI88" i="16"/>
  <c r="MH88" i="16"/>
  <c r="MG88" i="16"/>
  <c r="MF88" i="16"/>
  <c r="ME88" i="16"/>
  <c r="MD88" i="16"/>
  <c r="MC88" i="16"/>
  <c r="LZ88" i="16"/>
  <c r="LY88" i="16"/>
  <c r="LX88" i="16"/>
  <c r="LW88" i="16"/>
  <c r="LV88" i="16"/>
  <c r="LU88" i="16"/>
  <c r="LT88" i="16"/>
  <c r="LQ88" i="16"/>
  <c r="LP88" i="16"/>
  <c r="LO88" i="16"/>
  <c r="LN88" i="16"/>
  <c r="LM88" i="16"/>
  <c r="LL88" i="16"/>
  <c r="LK88" i="16"/>
  <c r="LH88" i="16"/>
  <c r="LG88" i="16"/>
  <c r="LF88" i="16"/>
  <c r="LE88" i="16"/>
  <c r="LD88" i="16"/>
  <c r="LC88" i="16"/>
  <c r="LB88" i="16"/>
  <c r="KY88" i="16"/>
  <c r="KX88" i="16"/>
  <c r="KW88" i="16"/>
  <c r="KV88" i="16"/>
  <c r="KU88" i="16"/>
  <c r="KT88" i="16"/>
  <c r="KS88" i="16"/>
  <c r="KP88" i="16"/>
  <c r="KO88" i="16"/>
  <c r="KN88" i="16"/>
  <c r="KM88" i="16"/>
  <c r="KL88" i="16"/>
  <c r="KK88" i="16"/>
  <c r="KJ88" i="16"/>
  <c r="KG88" i="16"/>
  <c r="KF88" i="16"/>
  <c r="KE88" i="16"/>
  <c r="KD88" i="16"/>
  <c r="KC88" i="16"/>
  <c r="KB88" i="16"/>
  <c r="KA88" i="16"/>
  <c r="JX88" i="16"/>
  <c r="JW88" i="16"/>
  <c r="JV88" i="16"/>
  <c r="JU88" i="16"/>
  <c r="JT88" i="16"/>
  <c r="JS88" i="16"/>
  <c r="JR88" i="16"/>
  <c r="JO88" i="16"/>
  <c r="JN88" i="16"/>
  <c r="JM88" i="16"/>
  <c r="JL88" i="16"/>
  <c r="JK88" i="16"/>
  <c r="JJ88" i="16"/>
  <c r="JI88" i="16"/>
  <c r="JF88" i="16"/>
  <c r="JE88" i="16"/>
  <c r="JD88" i="16"/>
  <c r="JC88" i="16"/>
  <c r="JB88" i="16"/>
  <c r="JA88" i="16"/>
  <c r="IZ88" i="16"/>
  <c r="IQ88" i="16"/>
  <c r="IP88" i="16"/>
  <c r="IO88" i="16"/>
  <c r="IN88" i="16"/>
  <c r="IM88" i="16"/>
  <c r="IL88" i="16"/>
  <c r="IK88" i="16"/>
  <c r="IJ88" i="16"/>
  <c r="II88" i="16"/>
  <c r="IF88" i="16"/>
  <c r="IE88" i="16"/>
  <c r="ID88" i="16"/>
  <c r="IC88" i="16"/>
  <c r="IB88" i="16"/>
  <c r="IA88" i="16"/>
  <c r="HX88" i="16"/>
  <c r="HW88" i="16"/>
  <c r="HV88" i="16"/>
  <c r="HU88" i="16"/>
  <c r="HT88" i="16"/>
  <c r="HS88" i="16"/>
  <c r="HP88" i="16"/>
  <c r="HO88" i="16"/>
  <c r="HN88" i="16"/>
  <c r="HM88" i="16"/>
  <c r="HL88" i="16"/>
  <c r="HK88" i="16"/>
  <c r="HH88" i="16"/>
  <c r="HG88" i="16"/>
  <c r="HF88" i="16"/>
  <c r="HE88" i="16"/>
  <c r="HD88" i="16"/>
  <c r="HC88" i="16"/>
  <c r="GZ88" i="16"/>
  <c r="GY88" i="16"/>
  <c r="GX88" i="16"/>
  <c r="GW88" i="16"/>
  <c r="GV88" i="16"/>
  <c r="GU88" i="16"/>
  <c r="GR88" i="16"/>
  <c r="GQ88" i="16"/>
  <c r="GP88" i="16"/>
  <c r="GO88" i="16"/>
  <c r="GN88" i="16"/>
  <c r="GM88" i="16"/>
  <c r="GJ88" i="16"/>
  <c r="GI88" i="16"/>
  <c r="GH88" i="16"/>
  <c r="GG88" i="16"/>
  <c r="GF88" i="16"/>
  <c r="GE88" i="16"/>
  <c r="GB88" i="16"/>
  <c r="GA88" i="16"/>
  <c r="FZ88" i="16"/>
  <c r="FY88" i="16"/>
  <c r="FX88" i="16"/>
  <c r="FW88" i="16"/>
  <c r="FT88" i="16"/>
  <c r="FS88" i="16"/>
  <c r="FR88" i="16"/>
  <c r="FQ88" i="16"/>
  <c r="FP88" i="16"/>
  <c r="FO88" i="16"/>
  <c r="FL88" i="16"/>
  <c r="FK88" i="16"/>
  <c r="FJ88" i="16"/>
  <c r="FI88" i="16"/>
  <c r="FH88" i="16"/>
  <c r="FG88" i="16"/>
  <c r="FD88" i="16"/>
  <c r="FC88" i="16"/>
  <c r="FB88" i="16"/>
  <c r="FA88" i="16"/>
  <c r="EZ88" i="16"/>
  <c r="EY88" i="16"/>
  <c r="EV88" i="16"/>
  <c r="EU88" i="16"/>
  <c r="ET88" i="16"/>
  <c r="ES88" i="16"/>
  <c r="ER88" i="16"/>
  <c r="EQ88" i="16"/>
  <c r="EN88" i="16"/>
  <c r="EM88" i="16"/>
  <c r="EL88" i="16"/>
  <c r="EK88" i="16"/>
  <c r="EJ88" i="16"/>
  <c r="EI88" i="16"/>
  <c r="EF88" i="16"/>
  <c r="EE88" i="16"/>
  <c r="ED88" i="16"/>
  <c r="EC88" i="16"/>
  <c r="EB88" i="16"/>
  <c r="EA88" i="16"/>
  <c r="DX88" i="16"/>
  <c r="DW88" i="16"/>
  <c r="DV88" i="16"/>
  <c r="DU88" i="16"/>
  <c r="DT88" i="16"/>
  <c r="DS88" i="16"/>
  <c r="DP88" i="16"/>
  <c r="DO88" i="16"/>
  <c r="DN88" i="16"/>
  <c r="DM88" i="16"/>
  <c r="DL88" i="16"/>
  <c r="DK88" i="16"/>
  <c r="DG88" i="16"/>
  <c r="DE88" i="16"/>
  <c r="DD88" i="16"/>
  <c r="DC88" i="16"/>
  <c r="DA88" i="16"/>
  <c r="CZ88" i="16"/>
  <c r="CY88" i="16"/>
  <c r="CX88" i="16"/>
  <c r="CU88" i="16"/>
  <c r="CT88" i="16"/>
  <c r="CS88" i="16"/>
  <c r="CR88" i="16"/>
  <c r="CO88" i="16"/>
  <c r="CN88" i="16"/>
  <c r="CM88" i="16"/>
  <c r="CL88" i="16"/>
  <c r="CI88" i="16"/>
  <c r="CH88" i="16"/>
  <c r="CG88" i="16"/>
  <c r="CF88" i="16"/>
  <c r="CC88" i="16"/>
  <c r="CB88" i="16"/>
  <c r="CA88" i="16"/>
  <c r="BZ88" i="16"/>
  <c r="BW88" i="16"/>
  <c r="BV88" i="16"/>
  <c r="BU88" i="16"/>
  <c r="BT88" i="16"/>
  <c r="BQ88" i="16"/>
  <c r="BP88" i="16"/>
  <c r="BO88" i="16"/>
  <c r="BN88" i="16"/>
  <c r="BK88" i="16"/>
  <c r="BJ88" i="16"/>
  <c r="BI88" i="16"/>
  <c r="BH88" i="16"/>
  <c r="BE88" i="16"/>
  <c r="BD88" i="16"/>
  <c r="BC88" i="16"/>
  <c r="BB88" i="16"/>
  <c r="AY88" i="16"/>
  <c r="AX88" i="16"/>
  <c r="AW88" i="16"/>
  <c r="AV88" i="16"/>
  <c r="AS88" i="16"/>
  <c r="AR88" i="16"/>
  <c r="AQ88" i="16"/>
  <c r="AP88" i="16"/>
  <c r="AM88" i="16"/>
  <c r="AL88" i="16"/>
  <c r="AK88" i="16"/>
  <c r="AJ88" i="16"/>
  <c r="AG88" i="16"/>
  <c r="AF88" i="16"/>
  <c r="AE88" i="16"/>
  <c r="AD88" i="16"/>
  <c r="AA88" i="16"/>
  <c r="Z88" i="16"/>
  <c r="Y88" i="16"/>
  <c r="X88" i="16"/>
  <c r="U88" i="16"/>
  <c r="T88" i="16"/>
  <c r="S88" i="16"/>
  <c r="R88" i="16"/>
  <c r="O88" i="16"/>
  <c r="N88" i="16"/>
  <c r="M88" i="16"/>
  <c r="L88" i="16"/>
  <c r="I88" i="16"/>
  <c r="H88" i="16"/>
  <c r="G88" i="16"/>
  <c r="F88" i="16"/>
  <c r="OW87" i="16"/>
  <c r="OV87" i="16"/>
  <c r="OU87" i="16"/>
  <c r="OT87" i="16"/>
  <c r="OS87" i="16"/>
  <c r="OR87" i="16"/>
  <c r="OQ87" i="16"/>
  <c r="OP87" i="16"/>
  <c r="OO87" i="16"/>
  <c r="ON87" i="16"/>
  <c r="OK87" i="16"/>
  <c r="OJ87" i="16"/>
  <c r="OI87" i="16"/>
  <c r="OH87" i="16"/>
  <c r="OG87" i="16"/>
  <c r="OF87" i="16"/>
  <c r="OE87" i="16"/>
  <c r="OB87" i="16"/>
  <c r="OA87" i="16"/>
  <c r="NZ87" i="16"/>
  <c r="NY87" i="16"/>
  <c r="NX87" i="16"/>
  <c r="NW87" i="16"/>
  <c r="NV87" i="16"/>
  <c r="NS87" i="16"/>
  <c r="NR87" i="16"/>
  <c r="NQ87" i="16"/>
  <c r="NP87" i="16"/>
  <c r="NO87" i="16"/>
  <c r="NN87" i="16"/>
  <c r="NM87" i="16"/>
  <c r="NJ87" i="16"/>
  <c r="NI87" i="16"/>
  <c r="NH87" i="16"/>
  <c r="NG87" i="16"/>
  <c r="NF87" i="16"/>
  <c r="NE87" i="16"/>
  <c r="ND87" i="16"/>
  <c r="NA87" i="16"/>
  <c r="MZ87" i="16"/>
  <c r="MY87" i="16"/>
  <c r="MX87" i="16"/>
  <c r="MW87" i="16"/>
  <c r="MV87" i="16"/>
  <c r="MU87" i="16"/>
  <c r="MR87" i="16"/>
  <c r="MQ87" i="16"/>
  <c r="MP87" i="16"/>
  <c r="MO87" i="16"/>
  <c r="MN87" i="16"/>
  <c r="MM87" i="16"/>
  <c r="ML87" i="16"/>
  <c r="MI87" i="16"/>
  <c r="MH87" i="16"/>
  <c r="MG87" i="16"/>
  <c r="MF87" i="16"/>
  <c r="ME87" i="16"/>
  <c r="MD87" i="16"/>
  <c r="MC87" i="16"/>
  <c r="LZ87" i="16"/>
  <c r="LY87" i="16"/>
  <c r="LX87" i="16"/>
  <c r="LW87" i="16"/>
  <c r="LV87" i="16"/>
  <c r="LU87" i="16"/>
  <c r="LT87" i="16"/>
  <c r="LQ87" i="16"/>
  <c r="LP87" i="16"/>
  <c r="LO87" i="16"/>
  <c r="LN87" i="16"/>
  <c r="LM87" i="16"/>
  <c r="LL87" i="16"/>
  <c r="LK87" i="16"/>
  <c r="LH87" i="16"/>
  <c r="LG87" i="16"/>
  <c r="LF87" i="16"/>
  <c r="LE87" i="16"/>
  <c r="LD87" i="16"/>
  <c r="LC87" i="16"/>
  <c r="LB87" i="16"/>
  <c r="KY87" i="16"/>
  <c r="KX87" i="16"/>
  <c r="KW87" i="16"/>
  <c r="KV87" i="16"/>
  <c r="KU87" i="16"/>
  <c r="KT87" i="16"/>
  <c r="KS87" i="16"/>
  <c r="KP87" i="16"/>
  <c r="KO87" i="16"/>
  <c r="KN87" i="16"/>
  <c r="KM87" i="16"/>
  <c r="KL87" i="16"/>
  <c r="KK87" i="16"/>
  <c r="KJ87" i="16"/>
  <c r="KG87" i="16"/>
  <c r="KF87" i="16"/>
  <c r="KE87" i="16"/>
  <c r="KD87" i="16"/>
  <c r="KC87" i="16"/>
  <c r="KB87" i="16"/>
  <c r="KA87" i="16"/>
  <c r="JX87" i="16"/>
  <c r="JW87" i="16"/>
  <c r="JV87" i="16"/>
  <c r="JU87" i="16"/>
  <c r="JT87" i="16"/>
  <c r="JS87" i="16"/>
  <c r="JR87" i="16"/>
  <c r="JO87" i="16"/>
  <c r="JN87" i="16"/>
  <c r="JM87" i="16"/>
  <c r="JL87" i="16"/>
  <c r="JK87" i="16"/>
  <c r="JJ87" i="16"/>
  <c r="JI87" i="16"/>
  <c r="JF87" i="16"/>
  <c r="JE87" i="16"/>
  <c r="JD87" i="16"/>
  <c r="JC87" i="16"/>
  <c r="JB87" i="16"/>
  <c r="JA87" i="16"/>
  <c r="IZ87" i="16"/>
  <c r="IQ87" i="16"/>
  <c r="IP87" i="16"/>
  <c r="IO87" i="16"/>
  <c r="IN87" i="16"/>
  <c r="IM87" i="16"/>
  <c r="IL87" i="16"/>
  <c r="IK87" i="16"/>
  <c r="IJ87" i="16"/>
  <c r="II87" i="16"/>
  <c r="IF87" i="16"/>
  <c r="IE87" i="16"/>
  <c r="ID87" i="16"/>
  <c r="IC87" i="16"/>
  <c r="IB87" i="16"/>
  <c r="IA87" i="16"/>
  <c r="HX87" i="16"/>
  <c r="HW87" i="16"/>
  <c r="HV87" i="16"/>
  <c r="HU87" i="16"/>
  <c r="HT87" i="16"/>
  <c r="HS87" i="16"/>
  <c r="HP87" i="16"/>
  <c r="HO87" i="16"/>
  <c r="HN87" i="16"/>
  <c r="HM87" i="16"/>
  <c r="HL87" i="16"/>
  <c r="HK87" i="16"/>
  <c r="HH87" i="16"/>
  <c r="HG87" i="16"/>
  <c r="HF87" i="16"/>
  <c r="HE87" i="16"/>
  <c r="HD87" i="16"/>
  <c r="HC87" i="16"/>
  <c r="GZ87" i="16"/>
  <c r="GY87" i="16"/>
  <c r="GX87" i="16"/>
  <c r="GW87" i="16"/>
  <c r="GV87" i="16"/>
  <c r="GU87" i="16"/>
  <c r="GR87" i="16"/>
  <c r="GQ87" i="16"/>
  <c r="GP87" i="16"/>
  <c r="GO87" i="16"/>
  <c r="GN87" i="16"/>
  <c r="GM87" i="16"/>
  <c r="GJ87" i="16"/>
  <c r="GI87" i="16"/>
  <c r="GH87" i="16"/>
  <c r="GG87" i="16"/>
  <c r="GF87" i="16"/>
  <c r="GE87" i="16"/>
  <c r="GB87" i="16"/>
  <c r="GA87" i="16"/>
  <c r="FZ87" i="16"/>
  <c r="FY87" i="16"/>
  <c r="FX87" i="16"/>
  <c r="FW87" i="16"/>
  <c r="FT87" i="16"/>
  <c r="FS87" i="16"/>
  <c r="FR87" i="16"/>
  <c r="FQ87" i="16"/>
  <c r="FP87" i="16"/>
  <c r="FO87" i="16"/>
  <c r="FL87" i="16"/>
  <c r="FK87" i="16"/>
  <c r="FJ87" i="16"/>
  <c r="FI87" i="16"/>
  <c r="FH87" i="16"/>
  <c r="FG87" i="16"/>
  <c r="FD87" i="16"/>
  <c r="FC87" i="16"/>
  <c r="FB87" i="16"/>
  <c r="FA87" i="16"/>
  <c r="EZ87" i="16"/>
  <c r="EY87" i="16"/>
  <c r="EV87" i="16"/>
  <c r="EU87" i="16"/>
  <c r="ET87" i="16"/>
  <c r="ES87" i="16"/>
  <c r="ER87" i="16"/>
  <c r="EQ87" i="16"/>
  <c r="EN87" i="16"/>
  <c r="EM87" i="16"/>
  <c r="EL87" i="16"/>
  <c r="EK87" i="16"/>
  <c r="EJ87" i="16"/>
  <c r="EI87" i="16"/>
  <c r="EF87" i="16"/>
  <c r="EE87" i="16"/>
  <c r="ED87" i="16"/>
  <c r="EC87" i="16"/>
  <c r="EB87" i="16"/>
  <c r="EA87" i="16"/>
  <c r="DX87" i="16"/>
  <c r="DW87" i="16"/>
  <c r="DV87" i="16"/>
  <c r="DU87" i="16"/>
  <c r="DT87" i="16"/>
  <c r="DS87" i="16"/>
  <c r="DP87" i="16"/>
  <c r="DO87" i="16"/>
  <c r="DN87" i="16"/>
  <c r="DM87" i="16"/>
  <c r="DL87" i="16"/>
  <c r="DK87" i="16"/>
  <c r="DG87" i="16"/>
  <c r="DE87" i="16"/>
  <c r="DD87" i="16"/>
  <c r="DC87" i="16"/>
  <c r="DA87" i="16"/>
  <c r="CZ87" i="16"/>
  <c r="CY87" i="16"/>
  <c r="CX87" i="16"/>
  <c r="CU87" i="16"/>
  <c r="CT87" i="16"/>
  <c r="CS87" i="16"/>
  <c r="CR87" i="16"/>
  <c r="CO87" i="16"/>
  <c r="CN87" i="16"/>
  <c r="CM87" i="16"/>
  <c r="CL87" i="16"/>
  <c r="CI87" i="16"/>
  <c r="CH87" i="16"/>
  <c r="CG87" i="16"/>
  <c r="CF87" i="16"/>
  <c r="CC87" i="16"/>
  <c r="CB87" i="16"/>
  <c r="CA87" i="16"/>
  <c r="BZ87" i="16"/>
  <c r="BW87" i="16"/>
  <c r="BV87" i="16"/>
  <c r="BU87" i="16"/>
  <c r="BT87" i="16"/>
  <c r="BQ87" i="16"/>
  <c r="BP87" i="16"/>
  <c r="BO87" i="16"/>
  <c r="BN87" i="16"/>
  <c r="BK87" i="16"/>
  <c r="BJ87" i="16"/>
  <c r="BI87" i="16"/>
  <c r="BH87" i="16"/>
  <c r="BE87" i="16"/>
  <c r="BD87" i="16"/>
  <c r="BC87" i="16"/>
  <c r="BB87" i="16"/>
  <c r="AY87" i="16"/>
  <c r="AX87" i="16"/>
  <c r="AW87" i="16"/>
  <c r="AV87" i="16"/>
  <c r="AS87" i="16"/>
  <c r="AR87" i="16"/>
  <c r="AQ87" i="16"/>
  <c r="AP87" i="16"/>
  <c r="AM87" i="16"/>
  <c r="AL87" i="16"/>
  <c r="AK87" i="16"/>
  <c r="AJ87" i="16"/>
  <c r="AG87" i="16"/>
  <c r="AF87" i="16"/>
  <c r="AE87" i="16"/>
  <c r="AD87" i="16"/>
  <c r="AA87" i="16"/>
  <c r="Z87" i="16"/>
  <c r="Y87" i="16"/>
  <c r="X87" i="16"/>
  <c r="U87" i="16"/>
  <c r="T87" i="16"/>
  <c r="S87" i="16"/>
  <c r="R87" i="16"/>
  <c r="O87" i="16"/>
  <c r="N87" i="16"/>
  <c r="M87" i="16"/>
  <c r="L87" i="16"/>
  <c r="I87" i="16"/>
  <c r="H87" i="16"/>
  <c r="G87" i="16"/>
  <c r="F87" i="16"/>
  <c r="OW86" i="16"/>
  <c r="OV86" i="16"/>
  <c r="OU86" i="16"/>
  <c r="OT86" i="16"/>
  <c r="OS86" i="16"/>
  <c r="OR86" i="16"/>
  <c r="OQ86" i="16"/>
  <c r="OP86" i="16"/>
  <c r="OO86" i="16"/>
  <c r="ON86" i="16"/>
  <c r="OK86" i="16"/>
  <c r="OJ86" i="16"/>
  <c r="OI86" i="16"/>
  <c r="OH86" i="16"/>
  <c r="OG86" i="16"/>
  <c r="OF86" i="16"/>
  <c r="OE86" i="16"/>
  <c r="OB86" i="16"/>
  <c r="OA86" i="16"/>
  <c r="NZ86" i="16"/>
  <c r="NY86" i="16"/>
  <c r="NX86" i="16"/>
  <c r="NW86" i="16"/>
  <c r="NV86" i="16"/>
  <c r="NS86" i="16"/>
  <c r="NR86" i="16"/>
  <c r="NQ86" i="16"/>
  <c r="NP86" i="16"/>
  <c r="NO86" i="16"/>
  <c r="NN86" i="16"/>
  <c r="NM86" i="16"/>
  <c r="NJ86" i="16"/>
  <c r="NI86" i="16"/>
  <c r="NH86" i="16"/>
  <c r="NG86" i="16"/>
  <c r="NF86" i="16"/>
  <c r="NE86" i="16"/>
  <c r="ND86" i="16"/>
  <c r="NA86" i="16"/>
  <c r="MZ86" i="16"/>
  <c r="MY86" i="16"/>
  <c r="MX86" i="16"/>
  <c r="MW86" i="16"/>
  <c r="MV86" i="16"/>
  <c r="MU86" i="16"/>
  <c r="MR86" i="16"/>
  <c r="MQ86" i="16"/>
  <c r="MP86" i="16"/>
  <c r="MO86" i="16"/>
  <c r="MN86" i="16"/>
  <c r="MM86" i="16"/>
  <c r="ML86" i="16"/>
  <c r="MI86" i="16"/>
  <c r="MH86" i="16"/>
  <c r="MG86" i="16"/>
  <c r="MF86" i="16"/>
  <c r="ME86" i="16"/>
  <c r="MD86" i="16"/>
  <c r="MC86" i="16"/>
  <c r="LZ86" i="16"/>
  <c r="LY86" i="16"/>
  <c r="LX86" i="16"/>
  <c r="LW86" i="16"/>
  <c r="LV86" i="16"/>
  <c r="LU86" i="16"/>
  <c r="LT86" i="16"/>
  <c r="LQ86" i="16"/>
  <c r="LP86" i="16"/>
  <c r="LO86" i="16"/>
  <c r="LN86" i="16"/>
  <c r="LM86" i="16"/>
  <c r="LL86" i="16"/>
  <c r="LK86" i="16"/>
  <c r="LH86" i="16"/>
  <c r="LG86" i="16"/>
  <c r="LF86" i="16"/>
  <c r="LE86" i="16"/>
  <c r="LD86" i="16"/>
  <c r="LC86" i="16"/>
  <c r="LB86" i="16"/>
  <c r="KY86" i="16"/>
  <c r="KX86" i="16"/>
  <c r="KW86" i="16"/>
  <c r="KV86" i="16"/>
  <c r="KU86" i="16"/>
  <c r="KT86" i="16"/>
  <c r="KS86" i="16"/>
  <c r="KP86" i="16"/>
  <c r="KO86" i="16"/>
  <c r="KN86" i="16"/>
  <c r="KM86" i="16"/>
  <c r="KL86" i="16"/>
  <c r="KK86" i="16"/>
  <c r="KJ86" i="16"/>
  <c r="KG86" i="16"/>
  <c r="KF86" i="16"/>
  <c r="KE86" i="16"/>
  <c r="KD86" i="16"/>
  <c r="KC86" i="16"/>
  <c r="KB86" i="16"/>
  <c r="KA86" i="16"/>
  <c r="JX86" i="16"/>
  <c r="JW86" i="16"/>
  <c r="JV86" i="16"/>
  <c r="JU86" i="16"/>
  <c r="JT86" i="16"/>
  <c r="JS86" i="16"/>
  <c r="JR86" i="16"/>
  <c r="JO86" i="16"/>
  <c r="JN86" i="16"/>
  <c r="JM86" i="16"/>
  <c r="JL86" i="16"/>
  <c r="JK86" i="16"/>
  <c r="JJ86" i="16"/>
  <c r="JI86" i="16"/>
  <c r="JF86" i="16"/>
  <c r="JE86" i="16"/>
  <c r="JD86" i="16"/>
  <c r="JC86" i="16"/>
  <c r="JB86" i="16"/>
  <c r="JA86" i="16"/>
  <c r="IZ86" i="16"/>
  <c r="IQ86" i="16"/>
  <c r="IP86" i="16"/>
  <c r="IO86" i="16"/>
  <c r="IN86" i="16"/>
  <c r="IM86" i="16"/>
  <c r="IL86" i="16"/>
  <c r="IK86" i="16"/>
  <c r="IJ86" i="16"/>
  <c r="II86" i="16"/>
  <c r="IF86" i="16"/>
  <c r="IE86" i="16"/>
  <c r="ID86" i="16"/>
  <c r="IC86" i="16"/>
  <c r="IB86" i="16"/>
  <c r="IA86" i="16"/>
  <c r="HX86" i="16"/>
  <c r="HW86" i="16"/>
  <c r="HV86" i="16"/>
  <c r="HU86" i="16"/>
  <c r="HT86" i="16"/>
  <c r="HS86" i="16"/>
  <c r="HP86" i="16"/>
  <c r="HO86" i="16"/>
  <c r="HN86" i="16"/>
  <c r="HM86" i="16"/>
  <c r="HL86" i="16"/>
  <c r="HK86" i="16"/>
  <c r="HH86" i="16"/>
  <c r="HG86" i="16"/>
  <c r="HF86" i="16"/>
  <c r="HE86" i="16"/>
  <c r="HD86" i="16"/>
  <c r="HC86" i="16"/>
  <c r="GZ86" i="16"/>
  <c r="GY86" i="16"/>
  <c r="GX86" i="16"/>
  <c r="GW86" i="16"/>
  <c r="GV86" i="16"/>
  <c r="GU86" i="16"/>
  <c r="GR86" i="16"/>
  <c r="GQ86" i="16"/>
  <c r="GP86" i="16"/>
  <c r="GO86" i="16"/>
  <c r="GN86" i="16"/>
  <c r="GM86" i="16"/>
  <c r="GJ86" i="16"/>
  <c r="GI86" i="16"/>
  <c r="GH86" i="16"/>
  <c r="GG86" i="16"/>
  <c r="GF86" i="16"/>
  <c r="GE86" i="16"/>
  <c r="GB86" i="16"/>
  <c r="GA86" i="16"/>
  <c r="FZ86" i="16"/>
  <c r="FY86" i="16"/>
  <c r="FX86" i="16"/>
  <c r="FW86" i="16"/>
  <c r="FT86" i="16"/>
  <c r="FS86" i="16"/>
  <c r="FR86" i="16"/>
  <c r="FQ86" i="16"/>
  <c r="FP86" i="16"/>
  <c r="FO86" i="16"/>
  <c r="FL86" i="16"/>
  <c r="FK86" i="16"/>
  <c r="FJ86" i="16"/>
  <c r="FI86" i="16"/>
  <c r="FH86" i="16"/>
  <c r="FG86" i="16"/>
  <c r="FD86" i="16"/>
  <c r="FC86" i="16"/>
  <c r="FB86" i="16"/>
  <c r="FA86" i="16"/>
  <c r="EZ86" i="16"/>
  <c r="EY86" i="16"/>
  <c r="EV86" i="16"/>
  <c r="EU86" i="16"/>
  <c r="ET86" i="16"/>
  <c r="ES86" i="16"/>
  <c r="ER86" i="16"/>
  <c r="EQ86" i="16"/>
  <c r="EN86" i="16"/>
  <c r="EM86" i="16"/>
  <c r="EL86" i="16"/>
  <c r="EK86" i="16"/>
  <c r="EJ86" i="16"/>
  <c r="EI86" i="16"/>
  <c r="EF86" i="16"/>
  <c r="EE86" i="16"/>
  <c r="ED86" i="16"/>
  <c r="EC86" i="16"/>
  <c r="EB86" i="16"/>
  <c r="EA86" i="16"/>
  <c r="DX86" i="16"/>
  <c r="DW86" i="16"/>
  <c r="DV86" i="16"/>
  <c r="DU86" i="16"/>
  <c r="DT86" i="16"/>
  <c r="DS86" i="16"/>
  <c r="DP86" i="16"/>
  <c r="DO86" i="16"/>
  <c r="DN86" i="16"/>
  <c r="DM86" i="16"/>
  <c r="DL86" i="16"/>
  <c r="DK86" i="16"/>
  <c r="DG86" i="16"/>
  <c r="DE86" i="16"/>
  <c r="DD86" i="16"/>
  <c r="DC86" i="16"/>
  <c r="DA86" i="16"/>
  <c r="CZ86" i="16"/>
  <c r="CY86" i="16"/>
  <c r="CX86" i="16"/>
  <c r="CU86" i="16"/>
  <c r="CT86" i="16"/>
  <c r="CS86" i="16"/>
  <c r="CR86" i="16"/>
  <c r="CO86" i="16"/>
  <c r="CN86" i="16"/>
  <c r="CM86" i="16"/>
  <c r="CL86" i="16"/>
  <c r="CI86" i="16"/>
  <c r="CH86" i="16"/>
  <c r="CG86" i="16"/>
  <c r="CF86" i="16"/>
  <c r="CC86" i="16"/>
  <c r="CB86" i="16"/>
  <c r="CA86" i="16"/>
  <c r="BZ86" i="16"/>
  <c r="BW86" i="16"/>
  <c r="BV86" i="16"/>
  <c r="BU86" i="16"/>
  <c r="BT86" i="16"/>
  <c r="BQ86" i="16"/>
  <c r="BP86" i="16"/>
  <c r="BO86" i="16"/>
  <c r="BN86" i="16"/>
  <c r="BK86" i="16"/>
  <c r="BJ86" i="16"/>
  <c r="BI86" i="16"/>
  <c r="BH86" i="16"/>
  <c r="BE86" i="16"/>
  <c r="BD86" i="16"/>
  <c r="BC86" i="16"/>
  <c r="BB86" i="16"/>
  <c r="AY86" i="16"/>
  <c r="AX86" i="16"/>
  <c r="AW86" i="16"/>
  <c r="AV86" i="16"/>
  <c r="AS86" i="16"/>
  <c r="AR86" i="16"/>
  <c r="AQ86" i="16"/>
  <c r="AP86" i="16"/>
  <c r="AM86" i="16"/>
  <c r="AL86" i="16"/>
  <c r="AK86" i="16"/>
  <c r="AJ86" i="16"/>
  <c r="AG86" i="16"/>
  <c r="AF86" i="16"/>
  <c r="AE86" i="16"/>
  <c r="AD86" i="16"/>
  <c r="AA86" i="16"/>
  <c r="Z86" i="16"/>
  <c r="Y86" i="16"/>
  <c r="X86" i="16"/>
  <c r="U86" i="16"/>
  <c r="T86" i="16"/>
  <c r="S86" i="16"/>
  <c r="R86" i="16"/>
  <c r="O86" i="16"/>
  <c r="N86" i="16"/>
  <c r="M86" i="16"/>
  <c r="L86" i="16"/>
  <c r="I86" i="16"/>
  <c r="H86" i="16"/>
  <c r="G86" i="16"/>
  <c r="F86" i="16"/>
  <c r="OW85" i="16"/>
  <c r="OV85" i="16"/>
  <c r="OU85" i="16"/>
  <c r="OT85" i="16"/>
  <c r="OS85" i="16"/>
  <c r="OR85" i="16"/>
  <c r="OQ85" i="16"/>
  <c r="OP85" i="16"/>
  <c r="OO85" i="16"/>
  <c r="ON85" i="16"/>
  <c r="OK85" i="16"/>
  <c r="OJ85" i="16"/>
  <c r="OI85" i="16"/>
  <c r="OH85" i="16"/>
  <c r="OG85" i="16"/>
  <c r="OF85" i="16"/>
  <c r="OE85" i="16"/>
  <c r="OB85" i="16"/>
  <c r="OA85" i="16"/>
  <c r="NZ85" i="16"/>
  <c r="NY85" i="16"/>
  <c r="NX85" i="16"/>
  <c r="NW85" i="16"/>
  <c r="NV85" i="16"/>
  <c r="NS85" i="16"/>
  <c r="NR85" i="16"/>
  <c r="NQ85" i="16"/>
  <c r="NP85" i="16"/>
  <c r="NO85" i="16"/>
  <c r="NN85" i="16"/>
  <c r="NM85" i="16"/>
  <c r="NJ85" i="16"/>
  <c r="NI85" i="16"/>
  <c r="NH85" i="16"/>
  <c r="NG85" i="16"/>
  <c r="NF85" i="16"/>
  <c r="NE85" i="16"/>
  <c r="ND85" i="16"/>
  <c r="NA85" i="16"/>
  <c r="MZ85" i="16"/>
  <c r="MY85" i="16"/>
  <c r="MX85" i="16"/>
  <c r="MW85" i="16"/>
  <c r="MV85" i="16"/>
  <c r="MU85" i="16"/>
  <c r="MR85" i="16"/>
  <c r="MQ85" i="16"/>
  <c r="MP85" i="16"/>
  <c r="MO85" i="16"/>
  <c r="MN85" i="16"/>
  <c r="MM85" i="16"/>
  <c r="ML85" i="16"/>
  <c r="MI85" i="16"/>
  <c r="MH85" i="16"/>
  <c r="MG85" i="16"/>
  <c r="MF85" i="16"/>
  <c r="ME85" i="16"/>
  <c r="MD85" i="16"/>
  <c r="MC85" i="16"/>
  <c r="LZ85" i="16"/>
  <c r="LY85" i="16"/>
  <c r="LX85" i="16"/>
  <c r="LW85" i="16"/>
  <c r="LV85" i="16"/>
  <c r="LU85" i="16"/>
  <c r="LT85" i="16"/>
  <c r="LQ85" i="16"/>
  <c r="LP85" i="16"/>
  <c r="LO85" i="16"/>
  <c r="LN85" i="16"/>
  <c r="LM85" i="16"/>
  <c r="LL85" i="16"/>
  <c r="LK85" i="16"/>
  <c r="LH85" i="16"/>
  <c r="LG85" i="16"/>
  <c r="LF85" i="16"/>
  <c r="LE85" i="16"/>
  <c r="LD85" i="16"/>
  <c r="LC85" i="16"/>
  <c r="LB85" i="16"/>
  <c r="KY85" i="16"/>
  <c r="KX85" i="16"/>
  <c r="KW85" i="16"/>
  <c r="KV85" i="16"/>
  <c r="KU85" i="16"/>
  <c r="KT85" i="16"/>
  <c r="KS85" i="16"/>
  <c r="KP85" i="16"/>
  <c r="KO85" i="16"/>
  <c r="KN85" i="16"/>
  <c r="KM85" i="16"/>
  <c r="KL85" i="16"/>
  <c r="KK85" i="16"/>
  <c r="KJ85" i="16"/>
  <c r="KG85" i="16"/>
  <c r="KF85" i="16"/>
  <c r="KE85" i="16"/>
  <c r="KD85" i="16"/>
  <c r="KC85" i="16"/>
  <c r="KB85" i="16"/>
  <c r="KA85" i="16"/>
  <c r="JX85" i="16"/>
  <c r="JW85" i="16"/>
  <c r="JV85" i="16"/>
  <c r="JU85" i="16"/>
  <c r="JT85" i="16"/>
  <c r="JS85" i="16"/>
  <c r="JR85" i="16"/>
  <c r="JO85" i="16"/>
  <c r="JN85" i="16"/>
  <c r="JM85" i="16"/>
  <c r="JL85" i="16"/>
  <c r="JK85" i="16"/>
  <c r="JJ85" i="16"/>
  <c r="JI85" i="16"/>
  <c r="JF85" i="16"/>
  <c r="JE85" i="16"/>
  <c r="JD85" i="16"/>
  <c r="JC85" i="16"/>
  <c r="JB85" i="16"/>
  <c r="JA85" i="16"/>
  <c r="IZ85" i="16"/>
  <c r="IQ85" i="16"/>
  <c r="IP85" i="16"/>
  <c r="IO85" i="16"/>
  <c r="IN85" i="16"/>
  <c r="IM85" i="16"/>
  <c r="IL85" i="16"/>
  <c r="IK85" i="16"/>
  <c r="IJ85" i="16"/>
  <c r="II85" i="16"/>
  <c r="IF85" i="16"/>
  <c r="IE85" i="16"/>
  <c r="ID85" i="16"/>
  <c r="IC85" i="16"/>
  <c r="IB85" i="16"/>
  <c r="IA85" i="16"/>
  <c r="HX85" i="16"/>
  <c r="HW85" i="16"/>
  <c r="HV85" i="16"/>
  <c r="HU85" i="16"/>
  <c r="HT85" i="16"/>
  <c r="HS85" i="16"/>
  <c r="HP85" i="16"/>
  <c r="HO85" i="16"/>
  <c r="HN85" i="16"/>
  <c r="HM85" i="16"/>
  <c r="HL85" i="16"/>
  <c r="HK85" i="16"/>
  <c r="HH85" i="16"/>
  <c r="HG85" i="16"/>
  <c r="HF85" i="16"/>
  <c r="HE85" i="16"/>
  <c r="HD85" i="16"/>
  <c r="HC85" i="16"/>
  <c r="GZ85" i="16"/>
  <c r="GY85" i="16"/>
  <c r="GX85" i="16"/>
  <c r="GW85" i="16"/>
  <c r="GV85" i="16"/>
  <c r="GU85" i="16"/>
  <c r="GR85" i="16"/>
  <c r="GQ85" i="16"/>
  <c r="GP85" i="16"/>
  <c r="GO85" i="16"/>
  <c r="GN85" i="16"/>
  <c r="GM85" i="16"/>
  <c r="GJ85" i="16"/>
  <c r="GI85" i="16"/>
  <c r="GH85" i="16"/>
  <c r="GG85" i="16"/>
  <c r="GF85" i="16"/>
  <c r="GE85" i="16"/>
  <c r="GB85" i="16"/>
  <c r="GA85" i="16"/>
  <c r="FZ85" i="16"/>
  <c r="FY85" i="16"/>
  <c r="FX85" i="16"/>
  <c r="FW85" i="16"/>
  <c r="FT85" i="16"/>
  <c r="FS85" i="16"/>
  <c r="FR85" i="16"/>
  <c r="FQ85" i="16"/>
  <c r="FP85" i="16"/>
  <c r="FO85" i="16"/>
  <c r="FL85" i="16"/>
  <c r="FK85" i="16"/>
  <c r="FJ85" i="16"/>
  <c r="FI85" i="16"/>
  <c r="FH85" i="16"/>
  <c r="FG85" i="16"/>
  <c r="FD85" i="16"/>
  <c r="FC85" i="16"/>
  <c r="FB85" i="16"/>
  <c r="FA85" i="16"/>
  <c r="EZ85" i="16"/>
  <c r="EY85" i="16"/>
  <c r="EV85" i="16"/>
  <c r="EU85" i="16"/>
  <c r="ET85" i="16"/>
  <c r="ES85" i="16"/>
  <c r="ER85" i="16"/>
  <c r="EQ85" i="16"/>
  <c r="EN85" i="16"/>
  <c r="EM85" i="16"/>
  <c r="EL85" i="16"/>
  <c r="EK85" i="16"/>
  <c r="EJ85" i="16"/>
  <c r="EI85" i="16"/>
  <c r="EF85" i="16"/>
  <c r="EE85" i="16"/>
  <c r="ED85" i="16"/>
  <c r="EC85" i="16"/>
  <c r="EB85" i="16"/>
  <c r="EA85" i="16"/>
  <c r="DX85" i="16"/>
  <c r="DW85" i="16"/>
  <c r="DV85" i="16"/>
  <c r="DU85" i="16"/>
  <c r="DT85" i="16"/>
  <c r="DS85" i="16"/>
  <c r="DP85" i="16"/>
  <c r="DO85" i="16"/>
  <c r="DN85" i="16"/>
  <c r="DM85" i="16"/>
  <c r="DL85" i="16"/>
  <c r="DK85" i="16"/>
  <c r="DG85" i="16"/>
  <c r="DE85" i="16"/>
  <c r="DD85" i="16"/>
  <c r="DC85" i="16"/>
  <c r="DA85" i="16"/>
  <c r="CZ85" i="16"/>
  <c r="CY85" i="16"/>
  <c r="CX85" i="16"/>
  <c r="CU85" i="16"/>
  <c r="CT85" i="16"/>
  <c r="CS85" i="16"/>
  <c r="CR85" i="16"/>
  <c r="CO85" i="16"/>
  <c r="CN85" i="16"/>
  <c r="CM85" i="16"/>
  <c r="CL85" i="16"/>
  <c r="CI85" i="16"/>
  <c r="CH85" i="16"/>
  <c r="CG85" i="16"/>
  <c r="CF85" i="16"/>
  <c r="CC85" i="16"/>
  <c r="CB85" i="16"/>
  <c r="CA85" i="16"/>
  <c r="BZ85" i="16"/>
  <c r="BW85" i="16"/>
  <c r="BV85" i="16"/>
  <c r="BU85" i="16"/>
  <c r="BT85" i="16"/>
  <c r="BQ85" i="16"/>
  <c r="BP85" i="16"/>
  <c r="BO85" i="16"/>
  <c r="BN85" i="16"/>
  <c r="BK85" i="16"/>
  <c r="BJ85" i="16"/>
  <c r="BI85" i="16"/>
  <c r="BH85" i="16"/>
  <c r="BE85" i="16"/>
  <c r="BD85" i="16"/>
  <c r="BC85" i="16"/>
  <c r="BB85" i="16"/>
  <c r="AY85" i="16"/>
  <c r="AX85" i="16"/>
  <c r="AW85" i="16"/>
  <c r="AV85" i="16"/>
  <c r="AS85" i="16"/>
  <c r="AR85" i="16"/>
  <c r="AQ85" i="16"/>
  <c r="AP85" i="16"/>
  <c r="AM85" i="16"/>
  <c r="AL85" i="16"/>
  <c r="AK85" i="16"/>
  <c r="AJ85" i="16"/>
  <c r="AG85" i="16"/>
  <c r="AF85" i="16"/>
  <c r="AE85" i="16"/>
  <c r="AD85" i="16"/>
  <c r="AA85" i="16"/>
  <c r="Z85" i="16"/>
  <c r="Y85" i="16"/>
  <c r="X85" i="16"/>
  <c r="U85" i="16"/>
  <c r="T85" i="16"/>
  <c r="S85" i="16"/>
  <c r="R85" i="16"/>
  <c r="O85" i="16"/>
  <c r="N85" i="16"/>
  <c r="M85" i="16"/>
  <c r="L85" i="16"/>
  <c r="I85" i="16"/>
  <c r="H85" i="16"/>
  <c r="G85" i="16"/>
  <c r="F85" i="16"/>
  <c r="OW84" i="16"/>
  <c r="OV84" i="16"/>
  <c r="OU84" i="16"/>
  <c r="OT84" i="16"/>
  <c r="OS84" i="16"/>
  <c r="OR84" i="16"/>
  <c r="OQ84" i="16"/>
  <c r="OP84" i="16"/>
  <c r="OO84" i="16"/>
  <c r="ON84" i="16"/>
  <c r="OK84" i="16"/>
  <c r="OJ84" i="16"/>
  <c r="OI84" i="16"/>
  <c r="OH84" i="16"/>
  <c r="OG84" i="16"/>
  <c r="OF84" i="16"/>
  <c r="OE84" i="16"/>
  <c r="OB84" i="16"/>
  <c r="OA84" i="16"/>
  <c r="NZ84" i="16"/>
  <c r="NY84" i="16"/>
  <c r="NX84" i="16"/>
  <c r="NW84" i="16"/>
  <c r="NV84" i="16"/>
  <c r="NS84" i="16"/>
  <c r="NR84" i="16"/>
  <c r="NQ84" i="16"/>
  <c r="NP84" i="16"/>
  <c r="NO84" i="16"/>
  <c r="NN84" i="16"/>
  <c r="NM84" i="16"/>
  <c r="NJ84" i="16"/>
  <c r="NI84" i="16"/>
  <c r="NH84" i="16"/>
  <c r="NG84" i="16"/>
  <c r="NF84" i="16"/>
  <c r="NE84" i="16"/>
  <c r="ND84" i="16"/>
  <c r="NA84" i="16"/>
  <c r="MZ84" i="16"/>
  <c r="MY84" i="16"/>
  <c r="MX84" i="16"/>
  <c r="MW84" i="16"/>
  <c r="MV84" i="16"/>
  <c r="MU84" i="16"/>
  <c r="MR84" i="16"/>
  <c r="MQ84" i="16"/>
  <c r="MP84" i="16"/>
  <c r="MO84" i="16"/>
  <c r="MN84" i="16"/>
  <c r="MM84" i="16"/>
  <c r="ML84" i="16"/>
  <c r="MI84" i="16"/>
  <c r="MH84" i="16"/>
  <c r="MG84" i="16"/>
  <c r="MF84" i="16"/>
  <c r="ME84" i="16"/>
  <c r="MD84" i="16"/>
  <c r="MC84" i="16"/>
  <c r="LZ84" i="16"/>
  <c r="LY84" i="16"/>
  <c r="LX84" i="16"/>
  <c r="LW84" i="16"/>
  <c r="LV84" i="16"/>
  <c r="LU84" i="16"/>
  <c r="LT84" i="16"/>
  <c r="LQ84" i="16"/>
  <c r="LP84" i="16"/>
  <c r="LO84" i="16"/>
  <c r="LN84" i="16"/>
  <c r="LM84" i="16"/>
  <c r="LL84" i="16"/>
  <c r="LK84" i="16"/>
  <c r="LH84" i="16"/>
  <c r="LG84" i="16"/>
  <c r="LF84" i="16"/>
  <c r="LE84" i="16"/>
  <c r="LD84" i="16"/>
  <c r="LC84" i="16"/>
  <c r="LB84" i="16"/>
  <c r="KY84" i="16"/>
  <c r="KX84" i="16"/>
  <c r="KW84" i="16"/>
  <c r="KV84" i="16"/>
  <c r="KU84" i="16"/>
  <c r="KT84" i="16"/>
  <c r="KS84" i="16"/>
  <c r="KP84" i="16"/>
  <c r="KO84" i="16"/>
  <c r="KN84" i="16"/>
  <c r="KM84" i="16"/>
  <c r="KL84" i="16"/>
  <c r="KK84" i="16"/>
  <c r="KJ84" i="16"/>
  <c r="KG84" i="16"/>
  <c r="KF84" i="16"/>
  <c r="KE84" i="16"/>
  <c r="KD84" i="16"/>
  <c r="KC84" i="16"/>
  <c r="KB84" i="16"/>
  <c r="KA84" i="16"/>
  <c r="JX84" i="16"/>
  <c r="JW84" i="16"/>
  <c r="JV84" i="16"/>
  <c r="JU84" i="16"/>
  <c r="JT84" i="16"/>
  <c r="JS84" i="16"/>
  <c r="JR84" i="16"/>
  <c r="JO84" i="16"/>
  <c r="JN84" i="16"/>
  <c r="JM84" i="16"/>
  <c r="JL84" i="16"/>
  <c r="JK84" i="16"/>
  <c r="JJ84" i="16"/>
  <c r="JI84" i="16"/>
  <c r="JF84" i="16"/>
  <c r="JE84" i="16"/>
  <c r="JD84" i="16"/>
  <c r="JC84" i="16"/>
  <c r="JB84" i="16"/>
  <c r="JA84" i="16"/>
  <c r="IZ84" i="16"/>
  <c r="IQ84" i="16"/>
  <c r="IP84" i="16"/>
  <c r="IO84" i="16"/>
  <c r="IN84" i="16"/>
  <c r="IM84" i="16"/>
  <c r="IL84" i="16"/>
  <c r="IK84" i="16"/>
  <c r="IJ84" i="16"/>
  <c r="II84" i="16"/>
  <c r="IF84" i="16"/>
  <c r="IE84" i="16"/>
  <c r="ID84" i="16"/>
  <c r="IC84" i="16"/>
  <c r="IB84" i="16"/>
  <c r="IA84" i="16"/>
  <c r="HX84" i="16"/>
  <c r="HW84" i="16"/>
  <c r="HV84" i="16"/>
  <c r="HU84" i="16"/>
  <c r="HT84" i="16"/>
  <c r="HS84" i="16"/>
  <c r="HP84" i="16"/>
  <c r="HO84" i="16"/>
  <c r="HN84" i="16"/>
  <c r="HM84" i="16"/>
  <c r="HL84" i="16"/>
  <c r="HK84" i="16"/>
  <c r="HH84" i="16"/>
  <c r="HG84" i="16"/>
  <c r="HF84" i="16"/>
  <c r="HE84" i="16"/>
  <c r="HD84" i="16"/>
  <c r="HC84" i="16"/>
  <c r="GZ84" i="16"/>
  <c r="GY84" i="16"/>
  <c r="GX84" i="16"/>
  <c r="GW84" i="16"/>
  <c r="GV84" i="16"/>
  <c r="GU84" i="16"/>
  <c r="GR84" i="16"/>
  <c r="GQ84" i="16"/>
  <c r="GP84" i="16"/>
  <c r="GO84" i="16"/>
  <c r="GN84" i="16"/>
  <c r="GM84" i="16"/>
  <c r="GJ84" i="16"/>
  <c r="GI84" i="16"/>
  <c r="GH84" i="16"/>
  <c r="GG84" i="16"/>
  <c r="GF84" i="16"/>
  <c r="GE84" i="16"/>
  <c r="GB84" i="16"/>
  <c r="GA84" i="16"/>
  <c r="FZ84" i="16"/>
  <c r="FY84" i="16"/>
  <c r="FX84" i="16"/>
  <c r="FW84" i="16"/>
  <c r="FT84" i="16"/>
  <c r="FS84" i="16"/>
  <c r="FR84" i="16"/>
  <c r="FQ84" i="16"/>
  <c r="FP84" i="16"/>
  <c r="FO84" i="16"/>
  <c r="FL84" i="16"/>
  <c r="FK84" i="16"/>
  <c r="FJ84" i="16"/>
  <c r="FI84" i="16"/>
  <c r="FH84" i="16"/>
  <c r="FG84" i="16"/>
  <c r="FD84" i="16"/>
  <c r="FC84" i="16"/>
  <c r="FB84" i="16"/>
  <c r="FA84" i="16"/>
  <c r="EZ84" i="16"/>
  <c r="EY84" i="16"/>
  <c r="EV84" i="16"/>
  <c r="EU84" i="16"/>
  <c r="ET84" i="16"/>
  <c r="ES84" i="16"/>
  <c r="ER84" i="16"/>
  <c r="EQ84" i="16"/>
  <c r="EN84" i="16"/>
  <c r="EM84" i="16"/>
  <c r="EL84" i="16"/>
  <c r="EK84" i="16"/>
  <c r="EJ84" i="16"/>
  <c r="EI84" i="16"/>
  <c r="EF84" i="16"/>
  <c r="EE84" i="16"/>
  <c r="ED84" i="16"/>
  <c r="EC84" i="16"/>
  <c r="EB84" i="16"/>
  <c r="EA84" i="16"/>
  <c r="DX84" i="16"/>
  <c r="DW84" i="16"/>
  <c r="DV84" i="16"/>
  <c r="DU84" i="16"/>
  <c r="DT84" i="16"/>
  <c r="DS84" i="16"/>
  <c r="DP84" i="16"/>
  <c r="DO84" i="16"/>
  <c r="DN84" i="16"/>
  <c r="DM84" i="16"/>
  <c r="DL84" i="16"/>
  <c r="DK84" i="16"/>
  <c r="DG84" i="16"/>
  <c r="DE84" i="16"/>
  <c r="DD84" i="16"/>
  <c r="DC84" i="16"/>
  <c r="DA84" i="16"/>
  <c r="CZ84" i="16"/>
  <c r="CY84" i="16"/>
  <c r="CX84" i="16"/>
  <c r="CU84" i="16"/>
  <c r="CT84" i="16"/>
  <c r="CS84" i="16"/>
  <c r="CR84" i="16"/>
  <c r="CO84" i="16"/>
  <c r="CN84" i="16"/>
  <c r="CM84" i="16"/>
  <c r="CL84" i="16"/>
  <c r="CI84" i="16"/>
  <c r="CH84" i="16"/>
  <c r="CG84" i="16"/>
  <c r="CF84" i="16"/>
  <c r="CC84" i="16"/>
  <c r="CB84" i="16"/>
  <c r="CA84" i="16"/>
  <c r="BZ84" i="16"/>
  <c r="BW84" i="16"/>
  <c r="BV84" i="16"/>
  <c r="BU84" i="16"/>
  <c r="BT84" i="16"/>
  <c r="BQ84" i="16"/>
  <c r="BP84" i="16"/>
  <c r="BO84" i="16"/>
  <c r="BN84" i="16"/>
  <c r="BK84" i="16"/>
  <c r="BJ84" i="16"/>
  <c r="BI84" i="16"/>
  <c r="BH84" i="16"/>
  <c r="BE84" i="16"/>
  <c r="BD84" i="16"/>
  <c r="BC84" i="16"/>
  <c r="BB84" i="16"/>
  <c r="AY84" i="16"/>
  <c r="AX84" i="16"/>
  <c r="AW84" i="16"/>
  <c r="AV84" i="16"/>
  <c r="AS84" i="16"/>
  <c r="AR84" i="16"/>
  <c r="AQ84" i="16"/>
  <c r="AP84" i="16"/>
  <c r="AM84" i="16"/>
  <c r="AL84" i="16"/>
  <c r="AK84" i="16"/>
  <c r="AJ84" i="16"/>
  <c r="AG84" i="16"/>
  <c r="AF84" i="16"/>
  <c r="AE84" i="16"/>
  <c r="AD84" i="16"/>
  <c r="AA84" i="16"/>
  <c r="Z84" i="16"/>
  <c r="Y84" i="16"/>
  <c r="X84" i="16"/>
  <c r="U84" i="16"/>
  <c r="T84" i="16"/>
  <c r="S84" i="16"/>
  <c r="R84" i="16"/>
  <c r="O84" i="16"/>
  <c r="N84" i="16"/>
  <c r="M84" i="16"/>
  <c r="L84" i="16"/>
  <c r="I84" i="16"/>
  <c r="H84" i="16"/>
  <c r="G84" i="16"/>
  <c r="F84" i="16"/>
  <c r="OW83" i="16"/>
  <c r="OV83" i="16"/>
  <c r="OU83" i="16"/>
  <c r="OT83" i="16"/>
  <c r="OS83" i="16"/>
  <c r="OR83" i="16"/>
  <c r="OQ83" i="16"/>
  <c r="OP83" i="16"/>
  <c r="OO83" i="16"/>
  <c r="ON83" i="16"/>
  <c r="OK83" i="16"/>
  <c r="OJ83" i="16"/>
  <c r="OI83" i="16"/>
  <c r="OH83" i="16"/>
  <c r="OG83" i="16"/>
  <c r="OF83" i="16"/>
  <c r="OE83" i="16"/>
  <c r="OB83" i="16"/>
  <c r="OA83" i="16"/>
  <c r="NZ83" i="16"/>
  <c r="NY83" i="16"/>
  <c r="NX83" i="16"/>
  <c r="NW83" i="16"/>
  <c r="NV83" i="16"/>
  <c r="NS83" i="16"/>
  <c r="NR83" i="16"/>
  <c r="NQ83" i="16"/>
  <c r="NP83" i="16"/>
  <c r="NO83" i="16"/>
  <c r="NN83" i="16"/>
  <c r="NM83" i="16"/>
  <c r="NJ83" i="16"/>
  <c r="NI83" i="16"/>
  <c r="NH83" i="16"/>
  <c r="NG83" i="16"/>
  <c r="NF83" i="16"/>
  <c r="NE83" i="16"/>
  <c r="ND83" i="16"/>
  <c r="NA83" i="16"/>
  <c r="MZ83" i="16"/>
  <c r="MY83" i="16"/>
  <c r="MX83" i="16"/>
  <c r="MW83" i="16"/>
  <c r="MV83" i="16"/>
  <c r="MU83" i="16"/>
  <c r="MR83" i="16"/>
  <c r="MQ83" i="16"/>
  <c r="MP83" i="16"/>
  <c r="MO83" i="16"/>
  <c r="MN83" i="16"/>
  <c r="MM83" i="16"/>
  <c r="ML83" i="16"/>
  <c r="MI83" i="16"/>
  <c r="MH83" i="16"/>
  <c r="MG83" i="16"/>
  <c r="MF83" i="16"/>
  <c r="ME83" i="16"/>
  <c r="MD83" i="16"/>
  <c r="MC83" i="16"/>
  <c r="LZ83" i="16"/>
  <c r="LY83" i="16"/>
  <c r="LX83" i="16"/>
  <c r="LW83" i="16"/>
  <c r="LV83" i="16"/>
  <c r="LU83" i="16"/>
  <c r="LT83" i="16"/>
  <c r="LQ83" i="16"/>
  <c r="LP83" i="16"/>
  <c r="LO83" i="16"/>
  <c r="LN83" i="16"/>
  <c r="LM83" i="16"/>
  <c r="LL83" i="16"/>
  <c r="LK83" i="16"/>
  <c r="LH83" i="16"/>
  <c r="LG83" i="16"/>
  <c r="LF83" i="16"/>
  <c r="LE83" i="16"/>
  <c r="LD83" i="16"/>
  <c r="LC83" i="16"/>
  <c r="LB83" i="16"/>
  <c r="KY83" i="16"/>
  <c r="KX83" i="16"/>
  <c r="KW83" i="16"/>
  <c r="KV83" i="16"/>
  <c r="KU83" i="16"/>
  <c r="KT83" i="16"/>
  <c r="KS83" i="16"/>
  <c r="KP83" i="16"/>
  <c r="KO83" i="16"/>
  <c r="KN83" i="16"/>
  <c r="KM83" i="16"/>
  <c r="KL83" i="16"/>
  <c r="KK83" i="16"/>
  <c r="KJ83" i="16"/>
  <c r="KG83" i="16"/>
  <c r="KF83" i="16"/>
  <c r="KE83" i="16"/>
  <c r="KD83" i="16"/>
  <c r="KC83" i="16"/>
  <c r="KB83" i="16"/>
  <c r="KA83" i="16"/>
  <c r="JX83" i="16"/>
  <c r="JW83" i="16"/>
  <c r="JV83" i="16"/>
  <c r="JU83" i="16"/>
  <c r="JT83" i="16"/>
  <c r="JS83" i="16"/>
  <c r="JR83" i="16"/>
  <c r="JO83" i="16"/>
  <c r="JN83" i="16"/>
  <c r="JM83" i="16"/>
  <c r="JL83" i="16"/>
  <c r="JK83" i="16"/>
  <c r="JJ83" i="16"/>
  <c r="JI83" i="16"/>
  <c r="JF83" i="16"/>
  <c r="JE83" i="16"/>
  <c r="JD83" i="16"/>
  <c r="JC83" i="16"/>
  <c r="JB83" i="16"/>
  <c r="JA83" i="16"/>
  <c r="IZ83" i="16"/>
  <c r="IQ83" i="16"/>
  <c r="IP83" i="16"/>
  <c r="IO83" i="16"/>
  <c r="IN83" i="16"/>
  <c r="IM83" i="16"/>
  <c r="IL83" i="16"/>
  <c r="IK83" i="16"/>
  <c r="IJ83" i="16"/>
  <c r="II83" i="16"/>
  <c r="IF83" i="16"/>
  <c r="IE83" i="16"/>
  <c r="ID83" i="16"/>
  <c r="IC83" i="16"/>
  <c r="IB83" i="16"/>
  <c r="IA83" i="16"/>
  <c r="HX83" i="16"/>
  <c r="HW83" i="16"/>
  <c r="HV83" i="16"/>
  <c r="HU83" i="16"/>
  <c r="HT83" i="16"/>
  <c r="HS83" i="16"/>
  <c r="HP83" i="16"/>
  <c r="HO83" i="16"/>
  <c r="HN83" i="16"/>
  <c r="HM83" i="16"/>
  <c r="HL83" i="16"/>
  <c r="HK83" i="16"/>
  <c r="HH83" i="16"/>
  <c r="HG83" i="16"/>
  <c r="HF83" i="16"/>
  <c r="HE83" i="16"/>
  <c r="HD83" i="16"/>
  <c r="HC83" i="16"/>
  <c r="GZ83" i="16"/>
  <c r="GY83" i="16"/>
  <c r="GX83" i="16"/>
  <c r="GW83" i="16"/>
  <c r="GV83" i="16"/>
  <c r="GU83" i="16"/>
  <c r="GR83" i="16"/>
  <c r="GQ83" i="16"/>
  <c r="GP83" i="16"/>
  <c r="GO83" i="16"/>
  <c r="GN83" i="16"/>
  <c r="GM83" i="16"/>
  <c r="GJ83" i="16"/>
  <c r="GI83" i="16"/>
  <c r="GH83" i="16"/>
  <c r="GG83" i="16"/>
  <c r="GF83" i="16"/>
  <c r="GE83" i="16"/>
  <c r="GB83" i="16"/>
  <c r="GA83" i="16"/>
  <c r="FZ83" i="16"/>
  <c r="FY83" i="16"/>
  <c r="FX83" i="16"/>
  <c r="FW83" i="16"/>
  <c r="FT83" i="16"/>
  <c r="FS83" i="16"/>
  <c r="FR83" i="16"/>
  <c r="FQ83" i="16"/>
  <c r="FP83" i="16"/>
  <c r="FO83" i="16"/>
  <c r="FL83" i="16"/>
  <c r="FK83" i="16"/>
  <c r="FJ83" i="16"/>
  <c r="FI83" i="16"/>
  <c r="FH83" i="16"/>
  <c r="FG83" i="16"/>
  <c r="FD83" i="16"/>
  <c r="FC83" i="16"/>
  <c r="FB83" i="16"/>
  <c r="FA83" i="16"/>
  <c r="EZ83" i="16"/>
  <c r="EY83" i="16"/>
  <c r="EV83" i="16"/>
  <c r="EU83" i="16"/>
  <c r="ET83" i="16"/>
  <c r="ES83" i="16"/>
  <c r="ER83" i="16"/>
  <c r="EQ83" i="16"/>
  <c r="EN83" i="16"/>
  <c r="EM83" i="16"/>
  <c r="EL83" i="16"/>
  <c r="EK83" i="16"/>
  <c r="EJ83" i="16"/>
  <c r="EI83" i="16"/>
  <c r="EF83" i="16"/>
  <c r="EE83" i="16"/>
  <c r="ED83" i="16"/>
  <c r="EC83" i="16"/>
  <c r="EB83" i="16"/>
  <c r="EA83" i="16"/>
  <c r="DX83" i="16"/>
  <c r="DW83" i="16"/>
  <c r="DV83" i="16"/>
  <c r="DU83" i="16"/>
  <c r="DT83" i="16"/>
  <c r="DS83" i="16"/>
  <c r="DP83" i="16"/>
  <c r="DO83" i="16"/>
  <c r="DN83" i="16"/>
  <c r="DM83" i="16"/>
  <c r="DL83" i="16"/>
  <c r="DK83" i="16"/>
  <c r="DG83" i="16"/>
  <c r="DE83" i="16"/>
  <c r="DD83" i="16"/>
  <c r="DC83" i="16"/>
  <c r="DA83" i="16"/>
  <c r="CZ83" i="16"/>
  <c r="CY83" i="16"/>
  <c r="CX83" i="16"/>
  <c r="CU83" i="16"/>
  <c r="CT83" i="16"/>
  <c r="CS83" i="16"/>
  <c r="CR83" i="16"/>
  <c r="CO83" i="16"/>
  <c r="CN83" i="16"/>
  <c r="CM83" i="16"/>
  <c r="CL83" i="16"/>
  <c r="CI83" i="16"/>
  <c r="CH83" i="16"/>
  <c r="CG83" i="16"/>
  <c r="CF83" i="16"/>
  <c r="CC83" i="16"/>
  <c r="CB83" i="16"/>
  <c r="CA83" i="16"/>
  <c r="BZ83" i="16"/>
  <c r="BW83" i="16"/>
  <c r="BV83" i="16"/>
  <c r="BU83" i="16"/>
  <c r="BT83" i="16"/>
  <c r="BQ83" i="16"/>
  <c r="BP83" i="16"/>
  <c r="BO83" i="16"/>
  <c r="BN83" i="16"/>
  <c r="BK83" i="16"/>
  <c r="BJ83" i="16"/>
  <c r="BI83" i="16"/>
  <c r="BH83" i="16"/>
  <c r="BE83" i="16"/>
  <c r="BD83" i="16"/>
  <c r="BC83" i="16"/>
  <c r="BB83" i="16"/>
  <c r="AY83" i="16"/>
  <c r="AX83" i="16"/>
  <c r="AW83" i="16"/>
  <c r="AV83" i="16"/>
  <c r="AS83" i="16"/>
  <c r="AR83" i="16"/>
  <c r="AQ83" i="16"/>
  <c r="AP83" i="16"/>
  <c r="AM83" i="16"/>
  <c r="AL83" i="16"/>
  <c r="AK83" i="16"/>
  <c r="AJ83" i="16"/>
  <c r="AG83" i="16"/>
  <c r="AF83" i="16"/>
  <c r="AE83" i="16"/>
  <c r="AD83" i="16"/>
  <c r="AA83" i="16"/>
  <c r="Z83" i="16"/>
  <c r="Y83" i="16"/>
  <c r="X83" i="16"/>
  <c r="U83" i="16"/>
  <c r="T83" i="16"/>
  <c r="S83" i="16"/>
  <c r="R83" i="16"/>
  <c r="O83" i="16"/>
  <c r="N83" i="16"/>
  <c r="M83" i="16"/>
  <c r="L83" i="16"/>
  <c r="I83" i="16"/>
  <c r="H83" i="16"/>
  <c r="G83" i="16"/>
  <c r="F83" i="16"/>
  <c r="OW82" i="16"/>
  <c r="OV82" i="16"/>
  <c r="OU82" i="16"/>
  <c r="OT82" i="16"/>
  <c r="OS82" i="16"/>
  <c r="OR82" i="16"/>
  <c r="OQ82" i="16"/>
  <c r="OP82" i="16"/>
  <c r="OO82" i="16"/>
  <c r="ON82" i="16"/>
  <c r="OK82" i="16"/>
  <c r="OJ82" i="16"/>
  <c r="OI82" i="16"/>
  <c r="OH82" i="16"/>
  <c r="OG82" i="16"/>
  <c r="OF82" i="16"/>
  <c r="OE82" i="16"/>
  <c r="OB82" i="16"/>
  <c r="OA82" i="16"/>
  <c r="NZ82" i="16"/>
  <c r="NY82" i="16"/>
  <c r="NX82" i="16"/>
  <c r="NW82" i="16"/>
  <c r="NV82" i="16"/>
  <c r="NS82" i="16"/>
  <c r="NR82" i="16"/>
  <c r="NQ82" i="16"/>
  <c r="NP82" i="16"/>
  <c r="NO82" i="16"/>
  <c r="NN82" i="16"/>
  <c r="NM82" i="16"/>
  <c r="NJ82" i="16"/>
  <c r="NI82" i="16"/>
  <c r="NH82" i="16"/>
  <c r="NG82" i="16"/>
  <c r="NF82" i="16"/>
  <c r="NE82" i="16"/>
  <c r="ND82" i="16"/>
  <c r="NA82" i="16"/>
  <c r="MZ82" i="16"/>
  <c r="MY82" i="16"/>
  <c r="MX82" i="16"/>
  <c r="MW82" i="16"/>
  <c r="MV82" i="16"/>
  <c r="MU82" i="16"/>
  <c r="MR82" i="16"/>
  <c r="MQ82" i="16"/>
  <c r="MP82" i="16"/>
  <c r="MO82" i="16"/>
  <c r="MN82" i="16"/>
  <c r="MM82" i="16"/>
  <c r="ML82" i="16"/>
  <c r="MI82" i="16"/>
  <c r="MH82" i="16"/>
  <c r="MG82" i="16"/>
  <c r="MF82" i="16"/>
  <c r="ME82" i="16"/>
  <c r="MD82" i="16"/>
  <c r="MC82" i="16"/>
  <c r="LZ82" i="16"/>
  <c r="LY82" i="16"/>
  <c r="LX82" i="16"/>
  <c r="LW82" i="16"/>
  <c r="LV82" i="16"/>
  <c r="LU82" i="16"/>
  <c r="LT82" i="16"/>
  <c r="LQ82" i="16"/>
  <c r="LP82" i="16"/>
  <c r="LO82" i="16"/>
  <c r="LN82" i="16"/>
  <c r="LM82" i="16"/>
  <c r="LL82" i="16"/>
  <c r="LK82" i="16"/>
  <c r="LH82" i="16"/>
  <c r="LG82" i="16"/>
  <c r="LF82" i="16"/>
  <c r="LE82" i="16"/>
  <c r="LD82" i="16"/>
  <c r="LC82" i="16"/>
  <c r="LB82" i="16"/>
  <c r="KY82" i="16"/>
  <c r="KX82" i="16"/>
  <c r="KW82" i="16"/>
  <c r="KV82" i="16"/>
  <c r="KU82" i="16"/>
  <c r="KT82" i="16"/>
  <c r="KS82" i="16"/>
  <c r="KP82" i="16"/>
  <c r="KO82" i="16"/>
  <c r="KN82" i="16"/>
  <c r="KM82" i="16"/>
  <c r="KL82" i="16"/>
  <c r="KK82" i="16"/>
  <c r="KJ82" i="16"/>
  <c r="KG82" i="16"/>
  <c r="KF82" i="16"/>
  <c r="KE82" i="16"/>
  <c r="KD82" i="16"/>
  <c r="KC82" i="16"/>
  <c r="KB82" i="16"/>
  <c r="KA82" i="16"/>
  <c r="JX82" i="16"/>
  <c r="JW82" i="16"/>
  <c r="JV82" i="16"/>
  <c r="JU82" i="16"/>
  <c r="JT82" i="16"/>
  <c r="JS82" i="16"/>
  <c r="JR82" i="16"/>
  <c r="JO82" i="16"/>
  <c r="JN82" i="16"/>
  <c r="JM82" i="16"/>
  <c r="JL82" i="16"/>
  <c r="JK82" i="16"/>
  <c r="JJ82" i="16"/>
  <c r="JI82" i="16"/>
  <c r="JF82" i="16"/>
  <c r="JE82" i="16"/>
  <c r="JD82" i="16"/>
  <c r="JC82" i="16"/>
  <c r="JB82" i="16"/>
  <c r="JA82" i="16"/>
  <c r="IZ82" i="16"/>
  <c r="IQ82" i="16"/>
  <c r="IP82" i="16"/>
  <c r="IO82" i="16"/>
  <c r="IN82" i="16"/>
  <c r="IM82" i="16"/>
  <c r="IL82" i="16"/>
  <c r="IK82" i="16"/>
  <c r="IJ82" i="16"/>
  <c r="II82" i="16"/>
  <c r="IF82" i="16"/>
  <c r="IE82" i="16"/>
  <c r="ID82" i="16"/>
  <c r="IC82" i="16"/>
  <c r="IB82" i="16"/>
  <c r="IA82" i="16"/>
  <c r="HX82" i="16"/>
  <c r="HW82" i="16"/>
  <c r="HV82" i="16"/>
  <c r="HU82" i="16"/>
  <c r="HT82" i="16"/>
  <c r="HS82" i="16"/>
  <c r="HP82" i="16"/>
  <c r="HO82" i="16"/>
  <c r="HN82" i="16"/>
  <c r="HM82" i="16"/>
  <c r="HL82" i="16"/>
  <c r="HK82" i="16"/>
  <c r="HH82" i="16"/>
  <c r="HG82" i="16"/>
  <c r="HF82" i="16"/>
  <c r="HE82" i="16"/>
  <c r="HD82" i="16"/>
  <c r="HC82" i="16"/>
  <c r="GZ82" i="16"/>
  <c r="GY82" i="16"/>
  <c r="GX82" i="16"/>
  <c r="GW82" i="16"/>
  <c r="GV82" i="16"/>
  <c r="GU82" i="16"/>
  <c r="GR82" i="16"/>
  <c r="GQ82" i="16"/>
  <c r="GP82" i="16"/>
  <c r="GO82" i="16"/>
  <c r="GN82" i="16"/>
  <c r="GM82" i="16"/>
  <c r="GJ82" i="16"/>
  <c r="GI82" i="16"/>
  <c r="GH82" i="16"/>
  <c r="GG82" i="16"/>
  <c r="GF82" i="16"/>
  <c r="GE82" i="16"/>
  <c r="GB82" i="16"/>
  <c r="GA82" i="16"/>
  <c r="FZ82" i="16"/>
  <c r="FY82" i="16"/>
  <c r="FX82" i="16"/>
  <c r="FW82" i="16"/>
  <c r="FT82" i="16"/>
  <c r="FS82" i="16"/>
  <c r="FR82" i="16"/>
  <c r="FQ82" i="16"/>
  <c r="FP82" i="16"/>
  <c r="FO82" i="16"/>
  <c r="FL82" i="16"/>
  <c r="FK82" i="16"/>
  <c r="FJ82" i="16"/>
  <c r="FI82" i="16"/>
  <c r="FH82" i="16"/>
  <c r="FG82" i="16"/>
  <c r="FD82" i="16"/>
  <c r="FC82" i="16"/>
  <c r="FB82" i="16"/>
  <c r="FA82" i="16"/>
  <c r="EZ82" i="16"/>
  <c r="EY82" i="16"/>
  <c r="EV82" i="16"/>
  <c r="EU82" i="16"/>
  <c r="ET82" i="16"/>
  <c r="ES82" i="16"/>
  <c r="ER82" i="16"/>
  <c r="EQ82" i="16"/>
  <c r="EN82" i="16"/>
  <c r="EM82" i="16"/>
  <c r="EL82" i="16"/>
  <c r="EK82" i="16"/>
  <c r="EJ82" i="16"/>
  <c r="EI82" i="16"/>
  <c r="EF82" i="16"/>
  <c r="EE82" i="16"/>
  <c r="ED82" i="16"/>
  <c r="EC82" i="16"/>
  <c r="EB82" i="16"/>
  <c r="EA82" i="16"/>
  <c r="DX82" i="16"/>
  <c r="DW82" i="16"/>
  <c r="DV82" i="16"/>
  <c r="DU82" i="16"/>
  <c r="DT82" i="16"/>
  <c r="DS82" i="16"/>
  <c r="DP82" i="16"/>
  <c r="DO82" i="16"/>
  <c r="DN82" i="16"/>
  <c r="DM82" i="16"/>
  <c r="DL82" i="16"/>
  <c r="DK82" i="16"/>
  <c r="DG82" i="16"/>
  <c r="DE82" i="16"/>
  <c r="DD82" i="16"/>
  <c r="DC82" i="16"/>
  <c r="DA82" i="16"/>
  <c r="CZ82" i="16"/>
  <c r="CY82" i="16"/>
  <c r="CX82" i="16"/>
  <c r="CU82" i="16"/>
  <c r="CT82" i="16"/>
  <c r="CS82" i="16"/>
  <c r="CR82" i="16"/>
  <c r="CO82" i="16"/>
  <c r="CN82" i="16"/>
  <c r="CM82" i="16"/>
  <c r="CL82" i="16"/>
  <c r="CI82" i="16"/>
  <c r="CH82" i="16"/>
  <c r="CG82" i="16"/>
  <c r="CF82" i="16"/>
  <c r="CC82" i="16"/>
  <c r="CB82" i="16"/>
  <c r="CA82" i="16"/>
  <c r="BZ82" i="16"/>
  <c r="BW82" i="16"/>
  <c r="BV82" i="16"/>
  <c r="BU82" i="16"/>
  <c r="BT82" i="16"/>
  <c r="BQ82" i="16"/>
  <c r="BP82" i="16"/>
  <c r="BO82" i="16"/>
  <c r="BN82" i="16"/>
  <c r="BK82" i="16"/>
  <c r="BJ82" i="16"/>
  <c r="BI82" i="16"/>
  <c r="BH82" i="16"/>
  <c r="BE82" i="16"/>
  <c r="BD82" i="16"/>
  <c r="BC82" i="16"/>
  <c r="BB82" i="16"/>
  <c r="AY82" i="16"/>
  <c r="AX82" i="16"/>
  <c r="AW82" i="16"/>
  <c r="AV82" i="16"/>
  <c r="AS82" i="16"/>
  <c r="AR82" i="16"/>
  <c r="AQ82" i="16"/>
  <c r="AP82" i="16"/>
  <c r="AM82" i="16"/>
  <c r="AL82" i="16"/>
  <c r="AK82" i="16"/>
  <c r="AJ82" i="16"/>
  <c r="AG82" i="16"/>
  <c r="AF82" i="16"/>
  <c r="AE82" i="16"/>
  <c r="AD82" i="16"/>
  <c r="AA82" i="16"/>
  <c r="Z82" i="16"/>
  <c r="Y82" i="16"/>
  <c r="X82" i="16"/>
  <c r="U82" i="16"/>
  <c r="T82" i="16"/>
  <c r="S82" i="16"/>
  <c r="R82" i="16"/>
  <c r="O82" i="16"/>
  <c r="N82" i="16"/>
  <c r="M82" i="16"/>
  <c r="L82" i="16"/>
  <c r="I82" i="16"/>
  <c r="H82" i="16"/>
  <c r="G82" i="16"/>
  <c r="F82" i="16"/>
  <c r="OW81" i="16"/>
  <c r="OV81" i="16"/>
  <c r="OU81" i="16"/>
  <c r="OT81" i="16"/>
  <c r="OS81" i="16"/>
  <c r="OR81" i="16"/>
  <c r="OQ81" i="16"/>
  <c r="OP81" i="16"/>
  <c r="OO81" i="16"/>
  <c r="ON81" i="16"/>
  <c r="OK81" i="16"/>
  <c r="OJ81" i="16"/>
  <c r="OI81" i="16"/>
  <c r="OH81" i="16"/>
  <c r="OG81" i="16"/>
  <c r="OF81" i="16"/>
  <c r="OE81" i="16"/>
  <c r="OB81" i="16"/>
  <c r="OA81" i="16"/>
  <c r="NZ81" i="16"/>
  <c r="NY81" i="16"/>
  <c r="NX81" i="16"/>
  <c r="NW81" i="16"/>
  <c r="NV81" i="16"/>
  <c r="NS81" i="16"/>
  <c r="NR81" i="16"/>
  <c r="NQ81" i="16"/>
  <c r="NP81" i="16"/>
  <c r="NO81" i="16"/>
  <c r="NN81" i="16"/>
  <c r="NM81" i="16"/>
  <c r="NJ81" i="16"/>
  <c r="NI81" i="16"/>
  <c r="NH81" i="16"/>
  <c r="NG81" i="16"/>
  <c r="NF81" i="16"/>
  <c r="NE81" i="16"/>
  <c r="ND81" i="16"/>
  <c r="NA81" i="16"/>
  <c r="MZ81" i="16"/>
  <c r="MY81" i="16"/>
  <c r="MX81" i="16"/>
  <c r="MW81" i="16"/>
  <c r="MV81" i="16"/>
  <c r="MU81" i="16"/>
  <c r="MR81" i="16"/>
  <c r="MQ81" i="16"/>
  <c r="MP81" i="16"/>
  <c r="MO81" i="16"/>
  <c r="MN81" i="16"/>
  <c r="MM81" i="16"/>
  <c r="ML81" i="16"/>
  <c r="MI81" i="16"/>
  <c r="MH81" i="16"/>
  <c r="MG81" i="16"/>
  <c r="MF81" i="16"/>
  <c r="ME81" i="16"/>
  <c r="MD81" i="16"/>
  <c r="MC81" i="16"/>
  <c r="LZ81" i="16"/>
  <c r="LY81" i="16"/>
  <c r="LX81" i="16"/>
  <c r="LW81" i="16"/>
  <c r="LV81" i="16"/>
  <c r="LU81" i="16"/>
  <c r="LT81" i="16"/>
  <c r="LQ81" i="16"/>
  <c r="LP81" i="16"/>
  <c r="LO81" i="16"/>
  <c r="LN81" i="16"/>
  <c r="LM81" i="16"/>
  <c r="LL81" i="16"/>
  <c r="LK81" i="16"/>
  <c r="LH81" i="16"/>
  <c r="LG81" i="16"/>
  <c r="LF81" i="16"/>
  <c r="LE81" i="16"/>
  <c r="LD81" i="16"/>
  <c r="LC81" i="16"/>
  <c r="LB81" i="16"/>
  <c r="KY81" i="16"/>
  <c r="KX81" i="16"/>
  <c r="KW81" i="16"/>
  <c r="KV81" i="16"/>
  <c r="KU81" i="16"/>
  <c r="KT81" i="16"/>
  <c r="KS81" i="16"/>
  <c r="KP81" i="16"/>
  <c r="KO81" i="16"/>
  <c r="KN81" i="16"/>
  <c r="KM81" i="16"/>
  <c r="KL81" i="16"/>
  <c r="KK81" i="16"/>
  <c r="KJ81" i="16"/>
  <c r="KG81" i="16"/>
  <c r="KF81" i="16"/>
  <c r="KE81" i="16"/>
  <c r="KD81" i="16"/>
  <c r="KC81" i="16"/>
  <c r="KB81" i="16"/>
  <c r="KA81" i="16"/>
  <c r="JX81" i="16"/>
  <c r="JW81" i="16"/>
  <c r="JV81" i="16"/>
  <c r="JU81" i="16"/>
  <c r="JT81" i="16"/>
  <c r="JS81" i="16"/>
  <c r="JR81" i="16"/>
  <c r="JO81" i="16"/>
  <c r="JN81" i="16"/>
  <c r="JM81" i="16"/>
  <c r="JL81" i="16"/>
  <c r="JK81" i="16"/>
  <c r="JJ81" i="16"/>
  <c r="JI81" i="16"/>
  <c r="JF81" i="16"/>
  <c r="JE81" i="16"/>
  <c r="JD81" i="16"/>
  <c r="JC81" i="16"/>
  <c r="JB81" i="16"/>
  <c r="JA81" i="16"/>
  <c r="IZ81" i="16"/>
  <c r="IQ81" i="16"/>
  <c r="IP81" i="16"/>
  <c r="IO81" i="16"/>
  <c r="IN81" i="16"/>
  <c r="IM81" i="16"/>
  <c r="IL81" i="16"/>
  <c r="IK81" i="16"/>
  <c r="IJ81" i="16"/>
  <c r="II81" i="16"/>
  <c r="IF81" i="16"/>
  <c r="IE81" i="16"/>
  <c r="ID81" i="16"/>
  <c r="IC81" i="16"/>
  <c r="IB81" i="16"/>
  <c r="IA81" i="16"/>
  <c r="HX81" i="16"/>
  <c r="HW81" i="16"/>
  <c r="HV81" i="16"/>
  <c r="HU81" i="16"/>
  <c r="HT81" i="16"/>
  <c r="HS81" i="16"/>
  <c r="HP81" i="16"/>
  <c r="HO81" i="16"/>
  <c r="HN81" i="16"/>
  <c r="HM81" i="16"/>
  <c r="HL81" i="16"/>
  <c r="HK81" i="16"/>
  <c r="HH81" i="16"/>
  <c r="HG81" i="16"/>
  <c r="HF81" i="16"/>
  <c r="HE81" i="16"/>
  <c r="HD81" i="16"/>
  <c r="HC81" i="16"/>
  <c r="GZ81" i="16"/>
  <c r="GY81" i="16"/>
  <c r="GX81" i="16"/>
  <c r="GW81" i="16"/>
  <c r="GV81" i="16"/>
  <c r="GU81" i="16"/>
  <c r="GR81" i="16"/>
  <c r="GQ81" i="16"/>
  <c r="GP81" i="16"/>
  <c r="GO81" i="16"/>
  <c r="GN81" i="16"/>
  <c r="GM81" i="16"/>
  <c r="GJ81" i="16"/>
  <c r="GI81" i="16"/>
  <c r="GH81" i="16"/>
  <c r="GG81" i="16"/>
  <c r="GF81" i="16"/>
  <c r="GE81" i="16"/>
  <c r="GB81" i="16"/>
  <c r="GA81" i="16"/>
  <c r="FZ81" i="16"/>
  <c r="FY81" i="16"/>
  <c r="FX81" i="16"/>
  <c r="FW81" i="16"/>
  <c r="FT81" i="16"/>
  <c r="FS81" i="16"/>
  <c r="FR81" i="16"/>
  <c r="FQ81" i="16"/>
  <c r="FP81" i="16"/>
  <c r="FO81" i="16"/>
  <c r="FL81" i="16"/>
  <c r="FK81" i="16"/>
  <c r="FJ81" i="16"/>
  <c r="FI81" i="16"/>
  <c r="FH81" i="16"/>
  <c r="FG81" i="16"/>
  <c r="FD81" i="16"/>
  <c r="FC81" i="16"/>
  <c r="FB81" i="16"/>
  <c r="FA81" i="16"/>
  <c r="EZ81" i="16"/>
  <c r="EY81" i="16"/>
  <c r="EV81" i="16"/>
  <c r="EU81" i="16"/>
  <c r="ET81" i="16"/>
  <c r="ES81" i="16"/>
  <c r="ER81" i="16"/>
  <c r="EQ81" i="16"/>
  <c r="EN81" i="16"/>
  <c r="EM81" i="16"/>
  <c r="EL81" i="16"/>
  <c r="EK81" i="16"/>
  <c r="EJ81" i="16"/>
  <c r="EI81" i="16"/>
  <c r="EF81" i="16"/>
  <c r="EE81" i="16"/>
  <c r="ED81" i="16"/>
  <c r="EC81" i="16"/>
  <c r="EB81" i="16"/>
  <c r="EA81" i="16"/>
  <c r="DX81" i="16"/>
  <c r="DW81" i="16"/>
  <c r="DV81" i="16"/>
  <c r="DU81" i="16"/>
  <c r="DT81" i="16"/>
  <c r="DS81" i="16"/>
  <c r="DP81" i="16"/>
  <c r="DO81" i="16"/>
  <c r="DN81" i="16"/>
  <c r="DM81" i="16"/>
  <c r="DL81" i="16"/>
  <c r="DK81" i="16"/>
  <c r="DG81" i="16"/>
  <c r="DE81" i="16"/>
  <c r="DD81" i="16"/>
  <c r="DC81" i="16"/>
  <c r="DA81" i="16"/>
  <c r="CZ81" i="16"/>
  <c r="CY81" i="16"/>
  <c r="CX81" i="16"/>
  <c r="CU81" i="16"/>
  <c r="CT81" i="16"/>
  <c r="CS81" i="16"/>
  <c r="CR81" i="16"/>
  <c r="CO81" i="16"/>
  <c r="CN81" i="16"/>
  <c r="CM81" i="16"/>
  <c r="CL81" i="16"/>
  <c r="CI81" i="16"/>
  <c r="CH81" i="16"/>
  <c r="CG81" i="16"/>
  <c r="CF81" i="16"/>
  <c r="CC81" i="16"/>
  <c r="CB81" i="16"/>
  <c r="CA81" i="16"/>
  <c r="BZ81" i="16"/>
  <c r="BW81" i="16"/>
  <c r="BV81" i="16"/>
  <c r="BU81" i="16"/>
  <c r="BT81" i="16"/>
  <c r="BQ81" i="16"/>
  <c r="BP81" i="16"/>
  <c r="BO81" i="16"/>
  <c r="BN81" i="16"/>
  <c r="BK81" i="16"/>
  <c r="BJ81" i="16"/>
  <c r="BI81" i="16"/>
  <c r="BH81" i="16"/>
  <c r="BE81" i="16"/>
  <c r="BD81" i="16"/>
  <c r="BC81" i="16"/>
  <c r="BB81" i="16"/>
  <c r="AY81" i="16"/>
  <c r="AX81" i="16"/>
  <c r="AW81" i="16"/>
  <c r="AV81" i="16"/>
  <c r="AS81" i="16"/>
  <c r="AR81" i="16"/>
  <c r="AQ81" i="16"/>
  <c r="AP81" i="16"/>
  <c r="AM81" i="16"/>
  <c r="AL81" i="16"/>
  <c r="AK81" i="16"/>
  <c r="AJ81" i="16"/>
  <c r="AG81" i="16"/>
  <c r="AF81" i="16"/>
  <c r="AE81" i="16"/>
  <c r="AD81" i="16"/>
  <c r="AA81" i="16"/>
  <c r="Z81" i="16"/>
  <c r="Y81" i="16"/>
  <c r="X81" i="16"/>
  <c r="U81" i="16"/>
  <c r="T81" i="16"/>
  <c r="S81" i="16"/>
  <c r="R81" i="16"/>
  <c r="O81" i="16"/>
  <c r="N81" i="16"/>
  <c r="M81" i="16"/>
  <c r="L81" i="16"/>
  <c r="I81" i="16"/>
  <c r="H81" i="16"/>
  <c r="G81" i="16"/>
  <c r="F81" i="16"/>
  <c r="OW80" i="16"/>
  <c r="OV80" i="16"/>
  <c r="OU80" i="16"/>
  <c r="OT80" i="16"/>
  <c r="OS80" i="16"/>
  <c r="OR80" i="16"/>
  <c r="OQ80" i="16"/>
  <c r="OP80" i="16"/>
  <c r="OO80" i="16"/>
  <c r="ON80" i="16"/>
  <c r="OK80" i="16"/>
  <c r="OJ80" i="16"/>
  <c r="OI80" i="16"/>
  <c r="OH80" i="16"/>
  <c r="OG80" i="16"/>
  <c r="OF80" i="16"/>
  <c r="OE80" i="16"/>
  <c r="OB80" i="16"/>
  <c r="OA80" i="16"/>
  <c r="NZ80" i="16"/>
  <c r="NY80" i="16"/>
  <c r="NX80" i="16"/>
  <c r="NW80" i="16"/>
  <c r="NV80" i="16"/>
  <c r="NS80" i="16"/>
  <c r="NR80" i="16"/>
  <c r="NQ80" i="16"/>
  <c r="NP80" i="16"/>
  <c r="NO80" i="16"/>
  <c r="NN80" i="16"/>
  <c r="NM80" i="16"/>
  <c r="NJ80" i="16"/>
  <c r="NI80" i="16"/>
  <c r="NH80" i="16"/>
  <c r="NG80" i="16"/>
  <c r="NF80" i="16"/>
  <c r="NE80" i="16"/>
  <c r="ND80" i="16"/>
  <c r="NA80" i="16"/>
  <c r="MZ80" i="16"/>
  <c r="MY80" i="16"/>
  <c r="MX80" i="16"/>
  <c r="MW80" i="16"/>
  <c r="MV80" i="16"/>
  <c r="MU80" i="16"/>
  <c r="MR80" i="16"/>
  <c r="MQ80" i="16"/>
  <c r="MP80" i="16"/>
  <c r="MO80" i="16"/>
  <c r="MN80" i="16"/>
  <c r="MM80" i="16"/>
  <c r="ML80" i="16"/>
  <c r="MI80" i="16"/>
  <c r="MH80" i="16"/>
  <c r="MG80" i="16"/>
  <c r="MF80" i="16"/>
  <c r="ME80" i="16"/>
  <c r="MD80" i="16"/>
  <c r="MC80" i="16"/>
  <c r="LZ80" i="16"/>
  <c r="LY80" i="16"/>
  <c r="LX80" i="16"/>
  <c r="LW80" i="16"/>
  <c r="LV80" i="16"/>
  <c r="LU80" i="16"/>
  <c r="LT80" i="16"/>
  <c r="LQ80" i="16"/>
  <c r="LP80" i="16"/>
  <c r="LO80" i="16"/>
  <c r="LN80" i="16"/>
  <c r="LM80" i="16"/>
  <c r="LL80" i="16"/>
  <c r="LK80" i="16"/>
  <c r="LH80" i="16"/>
  <c r="LG80" i="16"/>
  <c r="LF80" i="16"/>
  <c r="LE80" i="16"/>
  <c r="LD80" i="16"/>
  <c r="LC80" i="16"/>
  <c r="LB80" i="16"/>
  <c r="KY80" i="16"/>
  <c r="KX80" i="16"/>
  <c r="KW80" i="16"/>
  <c r="KV80" i="16"/>
  <c r="KU80" i="16"/>
  <c r="KT80" i="16"/>
  <c r="KS80" i="16"/>
  <c r="KP80" i="16"/>
  <c r="KO80" i="16"/>
  <c r="KN80" i="16"/>
  <c r="KM80" i="16"/>
  <c r="KL80" i="16"/>
  <c r="KK80" i="16"/>
  <c r="KJ80" i="16"/>
  <c r="KG80" i="16"/>
  <c r="KF80" i="16"/>
  <c r="KE80" i="16"/>
  <c r="KD80" i="16"/>
  <c r="KC80" i="16"/>
  <c r="KB80" i="16"/>
  <c r="KA80" i="16"/>
  <c r="JX80" i="16"/>
  <c r="JW80" i="16"/>
  <c r="JV80" i="16"/>
  <c r="JU80" i="16"/>
  <c r="JT80" i="16"/>
  <c r="JS80" i="16"/>
  <c r="JR80" i="16"/>
  <c r="JO80" i="16"/>
  <c r="JN80" i="16"/>
  <c r="JM80" i="16"/>
  <c r="JL80" i="16"/>
  <c r="JK80" i="16"/>
  <c r="JJ80" i="16"/>
  <c r="JI80" i="16"/>
  <c r="JF80" i="16"/>
  <c r="JE80" i="16"/>
  <c r="JD80" i="16"/>
  <c r="JC80" i="16"/>
  <c r="JB80" i="16"/>
  <c r="JA80" i="16"/>
  <c r="IZ80" i="16"/>
  <c r="IQ80" i="16"/>
  <c r="IP80" i="16"/>
  <c r="IO80" i="16"/>
  <c r="IN80" i="16"/>
  <c r="IM80" i="16"/>
  <c r="IL80" i="16"/>
  <c r="IK80" i="16"/>
  <c r="IJ80" i="16"/>
  <c r="II80" i="16"/>
  <c r="IF80" i="16"/>
  <c r="IE80" i="16"/>
  <c r="ID80" i="16"/>
  <c r="IC80" i="16"/>
  <c r="IB80" i="16"/>
  <c r="IA80" i="16"/>
  <c r="HX80" i="16"/>
  <c r="HW80" i="16"/>
  <c r="HV80" i="16"/>
  <c r="HU80" i="16"/>
  <c r="HT80" i="16"/>
  <c r="HS80" i="16"/>
  <c r="HP80" i="16"/>
  <c r="HO80" i="16"/>
  <c r="HN80" i="16"/>
  <c r="HM80" i="16"/>
  <c r="HL80" i="16"/>
  <c r="HK80" i="16"/>
  <c r="HH80" i="16"/>
  <c r="HG80" i="16"/>
  <c r="HF80" i="16"/>
  <c r="HE80" i="16"/>
  <c r="HD80" i="16"/>
  <c r="HC80" i="16"/>
  <c r="GZ80" i="16"/>
  <c r="GY80" i="16"/>
  <c r="GX80" i="16"/>
  <c r="GW80" i="16"/>
  <c r="GV80" i="16"/>
  <c r="GU80" i="16"/>
  <c r="GR80" i="16"/>
  <c r="GQ80" i="16"/>
  <c r="GP80" i="16"/>
  <c r="GO80" i="16"/>
  <c r="GN80" i="16"/>
  <c r="GM80" i="16"/>
  <c r="GJ80" i="16"/>
  <c r="GI80" i="16"/>
  <c r="GH80" i="16"/>
  <c r="GG80" i="16"/>
  <c r="GF80" i="16"/>
  <c r="GE80" i="16"/>
  <c r="GB80" i="16"/>
  <c r="GA80" i="16"/>
  <c r="FZ80" i="16"/>
  <c r="FY80" i="16"/>
  <c r="FX80" i="16"/>
  <c r="FW80" i="16"/>
  <c r="FT80" i="16"/>
  <c r="FS80" i="16"/>
  <c r="FR80" i="16"/>
  <c r="FQ80" i="16"/>
  <c r="FP80" i="16"/>
  <c r="FO80" i="16"/>
  <c r="FL80" i="16"/>
  <c r="FK80" i="16"/>
  <c r="FJ80" i="16"/>
  <c r="FI80" i="16"/>
  <c r="FH80" i="16"/>
  <c r="FG80" i="16"/>
  <c r="FD80" i="16"/>
  <c r="FC80" i="16"/>
  <c r="FB80" i="16"/>
  <c r="FA80" i="16"/>
  <c r="EZ80" i="16"/>
  <c r="EY80" i="16"/>
  <c r="EV80" i="16"/>
  <c r="EU80" i="16"/>
  <c r="ET80" i="16"/>
  <c r="ES80" i="16"/>
  <c r="ER80" i="16"/>
  <c r="EQ80" i="16"/>
  <c r="EN80" i="16"/>
  <c r="EM80" i="16"/>
  <c r="EL80" i="16"/>
  <c r="EK80" i="16"/>
  <c r="EJ80" i="16"/>
  <c r="EI80" i="16"/>
  <c r="EF80" i="16"/>
  <c r="EE80" i="16"/>
  <c r="ED80" i="16"/>
  <c r="EC80" i="16"/>
  <c r="EB80" i="16"/>
  <c r="EA80" i="16"/>
  <c r="DX80" i="16"/>
  <c r="DW80" i="16"/>
  <c r="DV80" i="16"/>
  <c r="DU80" i="16"/>
  <c r="DT80" i="16"/>
  <c r="DS80" i="16"/>
  <c r="DP80" i="16"/>
  <c r="DO80" i="16"/>
  <c r="DN80" i="16"/>
  <c r="DM80" i="16"/>
  <c r="DL80" i="16"/>
  <c r="DK80" i="16"/>
  <c r="DG80" i="16"/>
  <c r="DE80" i="16"/>
  <c r="DD80" i="16"/>
  <c r="DC80" i="16"/>
  <c r="DA80" i="16"/>
  <c r="CZ80" i="16"/>
  <c r="CY80" i="16"/>
  <c r="CX80" i="16"/>
  <c r="CU80" i="16"/>
  <c r="CT80" i="16"/>
  <c r="CS80" i="16"/>
  <c r="CR80" i="16"/>
  <c r="CO80" i="16"/>
  <c r="CN80" i="16"/>
  <c r="CM80" i="16"/>
  <c r="CL80" i="16"/>
  <c r="CI80" i="16"/>
  <c r="CH80" i="16"/>
  <c r="CG80" i="16"/>
  <c r="CF80" i="16"/>
  <c r="CC80" i="16"/>
  <c r="CB80" i="16"/>
  <c r="CA80" i="16"/>
  <c r="BZ80" i="16"/>
  <c r="BW80" i="16"/>
  <c r="BV80" i="16"/>
  <c r="BU80" i="16"/>
  <c r="BT80" i="16"/>
  <c r="BQ80" i="16"/>
  <c r="BP80" i="16"/>
  <c r="BO80" i="16"/>
  <c r="BN80" i="16"/>
  <c r="BK80" i="16"/>
  <c r="BJ80" i="16"/>
  <c r="BI80" i="16"/>
  <c r="BH80" i="16"/>
  <c r="BE80" i="16"/>
  <c r="BD80" i="16"/>
  <c r="BC80" i="16"/>
  <c r="BB80" i="16"/>
  <c r="AY80" i="16"/>
  <c r="AX80" i="16"/>
  <c r="AW80" i="16"/>
  <c r="AV80" i="16"/>
  <c r="AS80" i="16"/>
  <c r="AR80" i="16"/>
  <c r="AQ80" i="16"/>
  <c r="AP80" i="16"/>
  <c r="AM80" i="16"/>
  <c r="AL80" i="16"/>
  <c r="AK80" i="16"/>
  <c r="AJ80" i="16"/>
  <c r="AG80" i="16"/>
  <c r="AF80" i="16"/>
  <c r="AE80" i="16"/>
  <c r="AD80" i="16"/>
  <c r="AA80" i="16"/>
  <c r="Z80" i="16"/>
  <c r="Y80" i="16"/>
  <c r="X80" i="16"/>
  <c r="U80" i="16"/>
  <c r="T80" i="16"/>
  <c r="S80" i="16"/>
  <c r="R80" i="16"/>
  <c r="O80" i="16"/>
  <c r="N80" i="16"/>
  <c r="M80" i="16"/>
  <c r="L80" i="16"/>
  <c r="I80" i="16"/>
  <c r="H80" i="16"/>
  <c r="G80" i="16"/>
  <c r="F80" i="16"/>
  <c r="OW79" i="16"/>
  <c r="OV79" i="16"/>
  <c r="OU79" i="16"/>
  <c r="OT79" i="16"/>
  <c r="OS79" i="16"/>
  <c r="OR79" i="16"/>
  <c r="OQ79" i="16"/>
  <c r="OP79" i="16"/>
  <c r="OO79" i="16"/>
  <c r="ON79" i="16"/>
  <c r="OK79" i="16"/>
  <c r="OJ79" i="16"/>
  <c r="OI79" i="16"/>
  <c r="OH79" i="16"/>
  <c r="OG79" i="16"/>
  <c r="OF79" i="16"/>
  <c r="OE79" i="16"/>
  <c r="OB79" i="16"/>
  <c r="OA79" i="16"/>
  <c r="NZ79" i="16"/>
  <c r="NY79" i="16"/>
  <c r="NX79" i="16"/>
  <c r="NW79" i="16"/>
  <c r="NV79" i="16"/>
  <c r="NS79" i="16"/>
  <c r="NR79" i="16"/>
  <c r="NQ79" i="16"/>
  <c r="NP79" i="16"/>
  <c r="NO79" i="16"/>
  <c r="NN79" i="16"/>
  <c r="NM79" i="16"/>
  <c r="NJ79" i="16"/>
  <c r="NI79" i="16"/>
  <c r="NH79" i="16"/>
  <c r="NG79" i="16"/>
  <c r="NF79" i="16"/>
  <c r="NE79" i="16"/>
  <c r="ND79" i="16"/>
  <c r="NA79" i="16"/>
  <c r="MZ79" i="16"/>
  <c r="MY79" i="16"/>
  <c r="MX79" i="16"/>
  <c r="MW79" i="16"/>
  <c r="MV79" i="16"/>
  <c r="MU79" i="16"/>
  <c r="MR79" i="16"/>
  <c r="MQ79" i="16"/>
  <c r="MP79" i="16"/>
  <c r="MO79" i="16"/>
  <c r="MN79" i="16"/>
  <c r="MM79" i="16"/>
  <c r="ML79" i="16"/>
  <c r="MI79" i="16"/>
  <c r="MH79" i="16"/>
  <c r="MG79" i="16"/>
  <c r="MF79" i="16"/>
  <c r="ME79" i="16"/>
  <c r="MD79" i="16"/>
  <c r="MC79" i="16"/>
  <c r="LZ79" i="16"/>
  <c r="LY79" i="16"/>
  <c r="LX79" i="16"/>
  <c r="LW79" i="16"/>
  <c r="LV79" i="16"/>
  <c r="LU79" i="16"/>
  <c r="LT79" i="16"/>
  <c r="LQ79" i="16"/>
  <c r="LP79" i="16"/>
  <c r="LO79" i="16"/>
  <c r="LN79" i="16"/>
  <c r="LM79" i="16"/>
  <c r="LL79" i="16"/>
  <c r="LK79" i="16"/>
  <c r="LH79" i="16"/>
  <c r="LG79" i="16"/>
  <c r="LF79" i="16"/>
  <c r="LE79" i="16"/>
  <c r="LD79" i="16"/>
  <c r="LC79" i="16"/>
  <c r="LB79" i="16"/>
  <c r="KY79" i="16"/>
  <c r="KX79" i="16"/>
  <c r="KW79" i="16"/>
  <c r="KV79" i="16"/>
  <c r="KU79" i="16"/>
  <c r="KT79" i="16"/>
  <c r="KS79" i="16"/>
  <c r="KP79" i="16"/>
  <c r="KO79" i="16"/>
  <c r="KN79" i="16"/>
  <c r="KM79" i="16"/>
  <c r="KL79" i="16"/>
  <c r="KK79" i="16"/>
  <c r="KJ79" i="16"/>
  <c r="KG79" i="16"/>
  <c r="KF79" i="16"/>
  <c r="KE79" i="16"/>
  <c r="KD79" i="16"/>
  <c r="KC79" i="16"/>
  <c r="KB79" i="16"/>
  <c r="KA79" i="16"/>
  <c r="JX79" i="16"/>
  <c r="JW79" i="16"/>
  <c r="JV79" i="16"/>
  <c r="JU79" i="16"/>
  <c r="JT79" i="16"/>
  <c r="JS79" i="16"/>
  <c r="JR79" i="16"/>
  <c r="JO79" i="16"/>
  <c r="JN79" i="16"/>
  <c r="JM79" i="16"/>
  <c r="JL79" i="16"/>
  <c r="JK79" i="16"/>
  <c r="JJ79" i="16"/>
  <c r="JI79" i="16"/>
  <c r="JF79" i="16"/>
  <c r="JE79" i="16"/>
  <c r="JD79" i="16"/>
  <c r="JC79" i="16"/>
  <c r="JB79" i="16"/>
  <c r="JA79" i="16"/>
  <c r="IZ79" i="16"/>
  <c r="IQ79" i="16"/>
  <c r="IP79" i="16"/>
  <c r="IO79" i="16"/>
  <c r="IN79" i="16"/>
  <c r="IM79" i="16"/>
  <c r="IL79" i="16"/>
  <c r="IK79" i="16"/>
  <c r="IJ79" i="16"/>
  <c r="II79" i="16"/>
  <c r="IF79" i="16"/>
  <c r="IE79" i="16"/>
  <c r="ID79" i="16"/>
  <c r="IC79" i="16"/>
  <c r="IB79" i="16"/>
  <c r="IA79" i="16"/>
  <c r="HX79" i="16"/>
  <c r="HW79" i="16"/>
  <c r="HV79" i="16"/>
  <c r="HU79" i="16"/>
  <c r="HT79" i="16"/>
  <c r="HS79" i="16"/>
  <c r="HP79" i="16"/>
  <c r="HO79" i="16"/>
  <c r="HN79" i="16"/>
  <c r="HM79" i="16"/>
  <c r="HL79" i="16"/>
  <c r="HK79" i="16"/>
  <c r="HH79" i="16"/>
  <c r="HG79" i="16"/>
  <c r="HF79" i="16"/>
  <c r="HE79" i="16"/>
  <c r="HD79" i="16"/>
  <c r="HC79" i="16"/>
  <c r="GZ79" i="16"/>
  <c r="GY79" i="16"/>
  <c r="GX79" i="16"/>
  <c r="GW79" i="16"/>
  <c r="GV79" i="16"/>
  <c r="GU79" i="16"/>
  <c r="GR79" i="16"/>
  <c r="GQ79" i="16"/>
  <c r="GP79" i="16"/>
  <c r="GO79" i="16"/>
  <c r="GN79" i="16"/>
  <c r="GM79" i="16"/>
  <c r="GJ79" i="16"/>
  <c r="GI79" i="16"/>
  <c r="GH79" i="16"/>
  <c r="GG79" i="16"/>
  <c r="GF79" i="16"/>
  <c r="GE79" i="16"/>
  <c r="GB79" i="16"/>
  <c r="GA79" i="16"/>
  <c r="FZ79" i="16"/>
  <c r="FY79" i="16"/>
  <c r="FX79" i="16"/>
  <c r="FW79" i="16"/>
  <c r="FT79" i="16"/>
  <c r="FS79" i="16"/>
  <c r="FR79" i="16"/>
  <c r="FQ79" i="16"/>
  <c r="FP79" i="16"/>
  <c r="FO79" i="16"/>
  <c r="FL79" i="16"/>
  <c r="FK79" i="16"/>
  <c r="FJ79" i="16"/>
  <c r="FI79" i="16"/>
  <c r="FH79" i="16"/>
  <c r="FG79" i="16"/>
  <c r="FD79" i="16"/>
  <c r="FC79" i="16"/>
  <c r="FB79" i="16"/>
  <c r="FA79" i="16"/>
  <c r="EZ79" i="16"/>
  <c r="EY79" i="16"/>
  <c r="EV79" i="16"/>
  <c r="EU79" i="16"/>
  <c r="ET79" i="16"/>
  <c r="ES79" i="16"/>
  <c r="ER79" i="16"/>
  <c r="EQ79" i="16"/>
  <c r="EN79" i="16"/>
  <c r="EM79" i="16"/>
  <c r="EL79" i="16"/>
  <c r="EK79" i="16"/>
  <c r="EJ79" i="16"/>
  <c r="EI79" i="16"/>
  <c r="EF79" i="16"/>
  <c r="EE79" i="16"/>
  <c r="ED79" i="16"/>
  <c r="EC79" i="16"/>
  <c r="EB79" i="16"/>
  <c r="EA79" i="16"/>
  <c r="DX79" i="16"/>
  <c r="DW79" i="16"/>
  <c r="DV79" i="16"/>
  <c r="DU79" i="16"/>
  <c r="DT79" i="16"/>
  <c r="DS79" i="16"/>
  <c r="DP79" i="16"/>
  <c r="DO79" i="16"/>
  <c r="DN79" i="16"/>
  <c r="DM79" i="16"/>
  <c r="DL79" i="16"/>
  <c r="DK79" i="16"/>
  <c r="DG79" i="16"/>
  <c r="DE79" i="16"/>
  <c r="DD79" i="16"/>
  <c r="DC79" i="16"/>
  <c r="DA79" i="16"/>
  <c r="CZ79" i="16"/>
  <c r="CY79" i="16"/>
  <c r="CX79" i="16"/>
  <c r="CU79" i="16"/>
  <c r="CT79" i="16"/>
  <c r="CS79" i="16"/>
  <c r="CR79" i="16"/>
  <c r="CO79" i="16"/>
  <c r="CN79" i="16"/>
  <c r="CM79" i="16"/>
  <c r="CL79" i="16"/>
  <c r="CI79" i="16"/>
  <c r="CH79" i="16"/>
  <c r="CG79" i="16"/>
  <c r="CF79" i="16"/>
  <c r="CC79" i="16"/>
  <c r="CB79" i="16"/>
  <c r="CA79" i="16"/>
  <c r="BZ79" i="16"/>
  <c r="BW79" i="16"/>
  <c r="BV79" i="16"/>
  <c r="BU79" i="16"/>
  <c r="BT79" i="16"/>
  <c r="BQ79" i="16"/>
  <c r="BP79" i="16"/>
  <c r="BO79" i="16"/>
  <c r="BN79" i="16"/>
  <c r="BK79" i="16"/>
  <c r="BJ79" i="16"/>
  <c r="BI79" i="16"/>
  <c r="BH79" i="16"/>
  <c r="BE79" i="16"/>
  <c r="BD79" i="16"/>
  <c r="BC79" i="16"/>
  <c r="BB79" i="16"/>
  <c r="AY79" i="16"/>
  <c r="AX79" i="16"/>
  <c r="AW79" i="16"/>
  <c r="AV79" i="16"/>
  <c r="AS79" i="16"/>
  <c r="AR79" i="16"/>
  <c r="AQ79" i="16"/>
  <c r="AP79" i="16"/>
  <c r="AM79" i="16"/>
  <c r="AL79" i="16"/>
  <c r="AK79" i="16"/>
  <c r="AJ79" i="16"/>
  <c r="AG79" i="16"/>
  <c r="AF79" i="16"/>
  <c r="AE79" i="16"/>
  <c r="AD79" i="16"/>
  <c r="AA79" i="16"/>
  <c r="Z79" i="16"/>
  <c r="Y79" i="16"/>
  <c r="X79" i="16"/>
  <c r="U79" i="16"/>
  <c r="T79" i="16"/>
  <c r="S79" i="16"/>
  <c r="R79" i="16"/>
  <c r="O79" i="16"/>
  <c r="N79" i="16"/>
  <c r="M79" i="16"/>
  <c r="L79" i="16"/>
  <c r="I79" i="16"/>
  <c r="H79" i="16"/>
  <c r="G79" i="16"/>
  <c r="F79" i="16"/>
  <c r="OW78" i="16"/>
  <c r="OV78" i="16"/>
  <c r="OU78" i="16"/>
  <c r="OT78" i="16"/>
  <c r="OS78" i="16"/>
  <c r="OR78" i="16"/>
  <c r="OQ78" i="16"/>
  <c r="OP78" i="16"/>
  <c r="OO78" i="16"/>
  <c r="ON78" i="16"/>
  <c r="OK78" i="16"/>
  <c r="OJ78" i="16"/>
  <c r="OI78" i="16"/>
  <c r="OH78" i="16"/>
  <c r="OG78" i="16"/>
  <c r="OF78" i="16"/>
  <c r="OE78" i="16"/>
  <c r="OB78" i="16"/>
  <c r="OA78" i="16"/>
  <c r="NZ78" i="16"/>
  <c r="NY78" i="16"/>
  <c r="NX78" i="16"/>
  <c r="NW78" i="16"/>
  <c r="NV78" i="16"/>
  <c r="NS78" i="16"/>
  <c r="NR78" i="16"/>
  <c r="NQ78" i="16"/>
  <c r="NP78" i="16"/>
  <c r="NO78" i="16"/>
  <c r="NN78" i="16"/>
  <c r="NM78" i="16"/>
  <c r="NJ78" i="16"/>
  <c r="NI78" i="16"/>
  <c r="NH78" i="16"/>
  <c r="NG78" i="16"/>
  <c r="NF78" i="16"/>
  <c r="NE78" i="16"/>
  <c r="ND78" i="16"/>
  <c r="NA78" i="16"/>
  <c r="MZ78" i="16"/>
  <c r="MY78" i="16"/>
  <c r="MX78" i="16"/>
  <c r="MW78" i="16"/>
  <c r="MV78" i="16"/>
  <c r="MU78" i="16"/>
  <c r="MR78" i="16"/>
  <c r="MQ78" i="16"/>
  <c r="MP78" i="16"/>
  <c r="MO78" i="16"/>
  <c r="MN78" i="16"/>
  <c r="MM78" i="16"/>
  <c r="ML78" i="16"/>
  <c r="MI78" i="16"/>
  <c r="MH78" i="16"/>
  <c r="MG78" i="16"/>
  <c r="MF78" i="16"/>
  <c r="ME78" i="16"/>
  <c r="MD78" i="16"/>
  <c r="MC78" i="16"/>
  <c r="LZ78" i="16"/>
  <c r="LY78" i="16"/>
  <c r="LX78" i="16"/>
  <c r="LW78" i="16"/>
  <c r="LV78" i="16"/>
  <c r="LU78" i="16"/>
  <c r="LT78" i="16"/>
  <c r="LQ78" i="16"/>
  <c r="LP78" i="16"/>
  <c r="LO78" i="16"/>
  <c r="LN78" i="16"/>
  <c r="LM78" i="16"/>
  <c r="LL78" i="16"/>
  <c r="LK78" i="16"/>
  <c r="LH78" i="16"/>
  <c r="LG78" i="16"/>
  <c r="LF78" i="16"/>
  <c r="LE78" i="16"/>
  <c r="LD78" i="16"/>
  <c r="LC78" i="16"/>
  <c r="LB78" i="16"/>
  <c r="KY78" i="16"/>
  <c r="KX78" i="16"/>
  <c r="KW78" i="16"/>
  <c r="KV78" i="16"/>
  <c r="KU78" i="16"/>
  <c r="KT78" i="16"/>
  <c r="KS78" i="16"/>
  <c r="KP78" i="16"/>
  <c r="KO78" i="16"/>
  <c r="KN78" i="16"/>
  <c r="KM78" i="16"/>
  <c r="KL78" i="16"/>
  <c r="KK78" i="16"/>
  <c r="KJ78" i="16"/>
  <c r="KG78" i="16"/>
  <c r="KF78" i="16"/>
  <c r="KE78" i="16"/>
  <c r="KD78" i="16"/>
  <c r="KC78" i="16"/>
  <c r="KB78" i="16"/>
  <c r="KA78" i="16"/>
  <c r="JX78" i="16"/>
  <c r="JW78" i="16"/>
  <c r="JV78" i="16"/>
  <c r="JU78" i="16"/>
  <c r="JT78" i="16"/>
  <c r="JS78" i="16"/>
  <c r="JR78" i="16"/>
  <c r="JO78" i="16"/>
  <c r="JN78" i="16"/>
  <c r="JM78" i="16"/>
  <c r="JL78" i="16"/>
  <c r="JK78" i="16"/>
  <c r="JJ78" i="16"/>
  <c r="JI78" i="16"/>
  <c r="JF78" i="16"/>
  <c r="JE78" i="16"/>
  <c r="JD78" i="16"/>
  <c r="JC78" i="16"/>
  <c r="JB78" i="16"/>
  <c r="JA78" i="16"/>
  <c r="IZ78" i="16"/>
  <c r="IQ78" i="16"/>
  <c r="IP78" i="16"/>
  <c r="IO78" i="16"/>
  <c r="IN78" i="16"/>
  <c r="IM78" i="16"/>
  <c r="IL78" i="16"/>
  <c r="IK78" i="16"/>
  <c r="IJ78" i="16"/>
  <c r="II78" i="16"/>
  <c r="IF78" i="16"/>
  <c r="IE78" i="16"/>
  <c r="ID78" i="16"/>
  <c r="IC78" i="16"/>
  <c r="IB78" i="16"/>
  <c r="IA78" i="16"/>
  <c r="HX78" i="16"/>
  <c r="HW78" i="16"/>
  <c r="HV78" i="16"/>
  <c r="HU78" i="16"/>
  <c r="HT78" i="16"/>
  <c r="HS78" i="16"/>
  <c r="HP78" i="16"/>
  <c r="HO78" i="16"/>
  <c r="HN78" i="16"/>
  <c r="HM78" i="16"/>
  <c r="HL78" i="16"/>
  <c r="HK78" i="16"/>
  <c r="HH78" i="16"/>
  <c r="HG78" i="16"/>
  <c r="HF78" i="16"/>
  <c r="HE78" i="16"/>
  <c r="HD78" i="16"/>
  <c r="HC78" i="16"/>
  <c r="GZ78" i="16"/>
  <c r="GY78" i="16"/>
  <c r="GX78" i="16"/>
  <c r="GW78" i="16"/>
  <c r="GV78" i="16"/>
  <c r="GU78" i="16"/>
  <c r="GR78" i="16"/>
  <c r="GQ78" i="16"/>
  <c r="GP78" i="16"/>
  <c r="GO78" i="16"/>
  <c r="GN78" i="16"/>
  <c r="GM78" i="16"/>
  <c r="GJ78" i="16"/>
  <c r="GI78" i="16"/>
  <c r="GH78" i="16"/>
  <c r="GG78" i="16"/>
  <c r="GF78" i="16"/>
  <c r="GE78" i="16"/>
  <c r="GB78" i="16"/>
  <c r="GA78" i="16"/>
  <c r="FZ78" i="16"/>
  <c r="FY78" i="16"/>
  <c r="FX78" i="16"/>
  <c r="FW78" i="16"/>
  <c r="FT78" i="16"/>
  <c r="FS78" i="16"/>
  <c r="FR78" i="16"/>
  <c r="FQ78" i="16"/>
  <c r="FP78" i="16"/>
  <c r="FO78" i="16"/>
  <c r="FL78" i="16"/>
  <c r="FK78" i="16"/>
  <c r="FJ78" i="16"/>
  <c r="FI78" i="16"/>
  <c r="FH78" i="16"/>
  <c r="FG78" i="16"/>
  <c r="FD78" i="16"/>
  <c r="FC78" i="16"/>
  <c r="FB78" i="16"/>
  <c r="FA78" i="16"/>
  <c r="EZ78" i="16"/>
  <c r="EY78" i="16"/>
  <c r="EV78" i="16"/>
  <c r="EU78" i="16"/>
  <c r="ET78" i="16"/>
  <c r="ES78" i="16"/>
  <c r="ER78" i="16"/>
  <c r="EQ78" i="16"/>
  <c r="EN78" i="16"/>
  <c r="EM78" i="16"/>
  <c r="EL78" i="16"/>
  <c r="EK78" i="16"/>
  <c r="EJ78" i="16"/>
  <c r="EI78" i="16"/>
  <c r="EF78" i="16"/>
  <c r="EE78" i="16"/>
  <c r="ED78" i="16"/>
  <c r="EC78" i="16"/>
  <c r="EB78" i="16"/>
  <c r="EA78" i="16"/>
  <c r="DX78" i="16"/>
  <c r="DW78" i="16"/>
  <c r="DV78" i="16"/>
  <c r="DU78" i="16"/>
  <c r="DT78" i="16"/>
  <c r="DS78" i="16"/>
  <c r="DP78" i="16"/>
  <c r="DO78" i="16"/>
  <c r="DN78" i="16"/>
  <c r="DM78" i="16"/>
  <c r="DL78" i="16"/>
  <c r="DK78" i="16"/>
  <c r="DG78" i="16"/>
  <c r="DE78" i="16"/>
  <c r="DD78" i="16"/>
  <c r="DC78" i="16"/>
  <c r="DA78" i="16"/>
  <c r="CZ78" i="16"/>
  <c r="CY78" i="16"/>
  <c r="CX78" i="16"/>
  <c r="CU78" i="16"/>
  <c r="CT78" i="16"/>
  <c r="CS78" i="16"/>
  <c r="CR78" i="16"/>
  <c r="CO78" i="16"/>
  <c r="CN78" i="16"/>
  <c r="CM78" i="16"/>
  <c r="CL78" i="16"/>
  <c r="CI78" i="16"/>
  <c r="CH78" i="16"/>
  <c r="CG78" i="16"/>
  <c r="CF78" i="16"/>
  <c r="CC78" i="16"/>
  <c r="CB78" i="16"/>
  <c r="CA78" i="16"/>
  <c r="BZ78" i="16"/>
  <c r="BW78" i="16"/>
  <c r="BV78" i="16"/>
  <c r="BU78" i="16"/>
  <c r="BT78" i="16"/>
  <c r="BQ78" i="16"/>
  <c r="BP78" i="16"/>
  <c r="BO78" i="16"/>
  <c r="BN78" i="16"/>
  <c r="BK78" i="16"/>
  <c r="BJ78" i="16"/>
  <c r="BI78" i="16"/>
  <c r="BH78" i="16"/>
  <c r="BE78" i="16"/>
  <c r="BD78" i="16"/>
  <c r="BC78" i="16"/>
  <c r="BB78" i="16"/>
  <c r="AY78" i="16"/>
  <c r="AX78" i="16"/>
  <c r="AW78" i="16"/>
  <c r="AV78" i="16"/>
  <c r="AS78" i="16"/>
  <c r="AR78" i="16"/>
  <c r="AQ78" i="16"/>
  <c r="AP78" i="16"/>
  <c r="AM78" i="16"/>
  <c r="AL78" i="16"/>
  <c r="AK78" i="16"/>
  <c r="AJ78" i="16"/>
  <c r="AG78" i="16"/>
  <c r="AF78" i="16"/>
  <c r="AE78" i="16"/>
  <c r="AD78" i="16"/>
  <c r="AA78" i="16"/>
  <c r="Z78" i="16"/>
  <c r="Y78" i="16"/>
  <c r="X78" i="16"/>
  <c r="U78" i="16"/>
  <c r="T78" i="16"/>
  <c r="S78" i="16"/>
  <c r="R78" i="16"/>
  <c r="O78" i="16"/>
  <c r="N78" i="16"/>
  <c r="M78" i="16"/>
  <c r="L78" i="16"/>
  <c r="I78" i="16"/>
  <c r="H78" i="16"/>
  <c r="G78" i="16"/>
  <c r="F78" i="16"/>
  <c r="OW77" i="16"/>
  <c r="OV77" i="16"/>
  <c r="OU77" i="16"/>
  <c r="OT77" i="16"/>
  <c r="OS77" i="16"/>
  <c r="OR77" i="16"/>
  <c r="OQ77" i="16"/>
  <c r="OP77" i="16"/>
  <c r="OO77" i="16"/>
  <c r="ON77" i="16"/>
  <c r="OK77" i="16"/>
  <c r="OJ77" i="16"/>
  <c r="OI77" i="16"/>
  <c r="OH77" i="16"/>
  <c r="OG77" i="16"/>
  <c r="OF77" i="16"/>
  <c r="OE77" i="16"/>
  <c r="OB77" i="16"/>
  <c r="OA77" i="16"/>
  <c r="NZ77" i="16"/>
  <c r="NY77" i="16"/>
  <c r="NX77" i="16"/>
  <c r="NW77" i="16"/>
  <c r="NV77" i="16"/>
  <c r="NS77" i="16"/>
  <c r="NR77" i="16"/>
  <c r="NQ77" i="16"/>
  <c r="NP77" i="16"/>
  <c r="NO77" i="16"/>
  <c r="NN77" i="16"/>
  <c r="NM77" i="16"/>
  <c r="NJ77" i="16"/>
  <c r="NI77" i="16"/>
  <c r="NH77" i="16"/>
  <c r="NG77" i="16"/>
  <c r="NF77" i="16"/>
  <c r="NE77" i="16"/>
  <c r="ND77" i="16"/>
  <c r="NA77" i="16"/>
  <c r="MZ77" i="16"/>
  <c r="MY77" i="16"/>
  <c r="MX77" i="16"/>
  <c r="MW77" i="16"/>
  <c r="MV77" i="16"/>
  <c r="MU77" i="16"/>
  <c r="MR77" i="16"/>
  <c r="MQ77" i="16"/>
  <c r="MP77" i="16"/>
  <c r="MO77" i="16"/>
  <c r="MN77" i="16"/>
  <c r="MM77" i="16"/>
  <c r="ML77" i="16"/>
  <c r="MI77" i="16"/>
  <c r="MH77" i="16"/>
  <c r="MG77" i="16"/>
  <c r="MF77" i="16"/>
  <c r="ME77" i="16"/>
  <c r="MD77" i="16"/>
  <c r="MC77" i="16"/>
  <c r="LZ77" i="16"/>
  <c r="LY77" i="16"/>
  <c r="LX77" i="16"/>
  <c r="LW77" i="16"/>
  <c r="LV77" i="16"/>
  <c r="LU77" i="16"/>
  <c r="LT77" i="16"/>
  <c r="LQ77" i="16"/>
  <c r="LP77" i="16"/>
  <c r="LO77" i="16"/>
  <c r="LN77" i="16"/>
  <c r="LM77" i="16"/>
  <c r="LL77" i="16"/>
  <c r="LK77" i="16"/>
  <c r="LH77" i="16"/>
  <c r="LG77" i="16"/>
  <c r="LF77" i="16"/>
  <c r="LE77" i="16"/>
  <c r="LD77" i="16"/>
  <c r="LC77" i="16"/>
  <c r="LB77" i="16"/>
  <c r="KY77" i="16"/>
  <c r="KX77" i="16"/>
  <c r="KW77" i="16"/>
  <c r="KV77" i="16"/>
  <c r="KU77" i="16"/>
  <c r="KT77" i="16"/>
  <c r="KS77" i="16"/>
  <c r="KP77" i="16"/>
  <c r="KO77" i="16"/>
  <c r="KN77" i="16"/>
  <c r="KM77" i="16"/>
  <c r="KL77" i="16"/>
  <c r="KK77" i="16"/>
  <c r="KJ77" i="16"/>
  <c r="KG77" i="16"/>
  <c r="KF77" i="16"/>
  <c r="KE77" i="16"/>
  <c r="KD77" i="16"/>
  <c r="KC77" i="16"/>
  <c r="KB77" i="16"/>
  <c r="KA77" i="16"/>
  <c r="JX77" i="16"/>
  <c r="JW77" i="16"/>
  <c r="JV77" i="16"/>
  <c r="JU77" i="16"/>
  <c r="JT77" i="16"/>
  <c r="JS77" i="16"/>
  <c r="JR77" i="16"/>
  <c r="JO77" i="16"/>
  <c r="JN77" i="16"/>
  <c r="JM77" i="16"/>
  <c r="JL77" i="16"/>
  <c r="JK77" i="16"/>
  <c r="JJ77" i="16"/>
  <c r="JI77" i="16"/>
  <c r="JF77" i="16"/>
  <c r="JE77" i="16"/>
  <c r="JD77" i="16"/>
  <c r="JC77" i="16"/>
  <c r="JB77" i="16"/>
  <c r="JA77" i="16"/>
  <c r="IZ77" i="16"/>
  <c r="IQ77" i="16"/>
  <c r="IP77" i="16"/>
  <c r="IO77" i="16"/>
  <c r="IN77" i="16"/>
  <c r="IM77" i="16"/>
  <c r="IL77" i="16"/>
  <c r="IK77" i="16"/>
  <c r="IJ77" i="16"/>
  <c r="II77" i="16"/>
  <c r="IF77" i="16"/>
  <c r="IE77" i="16"/>
  <c r="ID77" i="16"/>
  <c r="IC77" i="16"/>
  <c r="IB77" i="16"/>
  <c r="IA77" i="16"/>
  <c r="HX77" i="16"/>
  <c r="HW77" i="16"/>
  <c r="HV77" i="16"/>
  <c r="HU77" i="16"/>
  <c r="HT77" i="16"/>
  <c r="HS77" i="16"/>
  <c r="HP77" i="16"/>
  <c r="HO77" i="16"/>
  <c r="HN77" i="16"/>
  <c r="HM77" i="16"/>
  <c r="HL77" i="16"/>
  <c r="HK77" i="16"/>
  <c r="HH77" i="16"/>
  <c r="HG77" i="16"/>
  <c r="HF77" i="16"/>
  <c r="HE77" i="16"/>
  <c r="HD77" i="16"/>
  <c r="HC77" i="16"/>
  <c r="GZ77" i="16"/>
  <c r="GY77" i="16"/>
  <c r="GX77" i="16"/>
  <c r="GW77" i="16"/>
  <c r="GV77" i="16"/>
  <c r="GU77" i="16"/>
  <c r="GR77" i="16"/>
  <c r="GQ77" i="16"/>
  <c r="GP77" i="16"/>
  <c r="GO77" i="16"/>
  <c r="GN77" i="16"/>
  <c r="GM77" i="16"/>
  <c r="GJ77" i="16"/>
  <c r="GI77" i="16"/>
  <c r="GH77" i="16"/>
  <c r="GG77" i="16"/>
  <c r="GF77" i="16"/>
  <c r="GE77" i="16"/>
  <c r="GB77" i="16"/>
  <c r="GA77" i="16"/>
  <c r="FZ77" i="16"/>
  <c r="FY77" i="16"/>
  <c r="FX77" i="16"/>
  <c r="FW77" i="16"/>
  <c r="FT77" i="16"/>
  <c r="FS77" i="16"/>
  <c r="FR77" i="16"/>
  <c r="FQ77" i="16"/>
  <c r="FP77" i="16"/>
  <c r="FO77" i="16"/>
  <c r="FL77" i="16"/>
  <c r="FK77" i="16"/>
  <c r="FJ77" i="16"/>
  <c r="FI77" i="16"/>
  <c r="FH77" i="16"/>
  <c r="FG77" i="16"/>
  <c r="FD77" i="16"/>
  <c r="FC77" i="16"/>
  <c r="FB77" i="16"/>
  <c r="FA77" i="16"/>
  <c r="EZ77" i="16"/>
  <c r="EY77" i="16"/>
  <c r="EV77" i="16"/>
  <c r="EU77" i="16"/>
  <c r="ET77" i="16"/>
  <c r="ES77" i="16"/>
  <c r="ER77" i="16"/>
  <c r="EQ77" i="16"/>
  <c r="EN77" i="16"/>
  <c r="EM77" i="16"/>
  <c r="EL77" i="16"/>
  <c r="EK77" i="16"/>
  <c r="EJ77" i="16"/>
  <c r="EI77" i="16"/>
  <c r="EF77" i="16"/>
  <c r="EE77" i="16"/>
  <c r="ED77" i="16"/>
  <c r="EC77" i="16"/>
  <c r="EB77" i="16"/>
  <c r="EA77" i="16"/>
  <c r="DX77" i="16"/>
  <c r="DW77" i="16"/>
  <c r="DV77" i="16"/>
  <c r="DU77" i="16"/>
  <c r="DT77" i="16"/>
  <c r="DS77" i="16"/>
  <c r="DP77" i="16"/>
  <c r="DO77" i="16"/>
  <c r="DN77" i="16"/>
  <c r="DM77" i="16"/>
  <c r="DL77" i="16"/>
  <c r="DK77" i="16"/>
  <c r="DG77" i="16"/>
  <c r="DE77" i="16"/>
  <c r="DD77" i="16"/>
  <c r="DC77" i="16"/>
  <c r="DA77" i="16"/>
  <c r="CZ77" i="16"/>
  <c r="CY77" i="16"/>
  <c r="CX77" i="16"/>
  <c r="CU77" i="16"/>
  <c r="CT77" i="16"/>
  <c r="CS77" i="16"/>
  <c r="CR77" i="16"/>
  <c r="CO77" i="16"/>
  <c r="CN77" i="16"/>
  <c r="CM77" i="16"/>
  <c r="CL77" i="16"/>
  <c r="CI77" i="16"/>
  <c r="CH77" i="16"/>
  <c r="CG77" i="16"/>
  <c r="CF77" i="16"/>
  <c r="CC77" i="16"/>
  <c r="CB77" i="16"/>
  <c r="CA77" i="16"/>
  <c r="BZ77" i="16"/>
  <c r="BW77" i="16"/>
  <c r="BV77" i="16"/>
  <c r="BU77" i="16"/>
  <c r="BT77" i="16"/>
  <c r="BQ77" i="16"/>
  <c r="BP77" i="16"/>
  <c r="BO77" i="16"/>
  <c r="BN77" i="16"/>
  <c r="BK77" i="16"/>
  <c r="BJ77" i="16"/>
  <c r="BI77" i="16"/>
  <c r="BH77" i="16"/>
  <c r="BE77" i="16"/>
  <c r="BD77" i="16"/>
  <c r="BC77" i="16"/>
  <c r="BB77" i="16"/>
  <c r="AY77" i="16"/>
  <c r="AX77" i="16"/>
  <c r="AW77" i="16"/>
  <c r="AV77" i="16"/>
  <c r="AS77" i="16"/>
  <c r="AR77" i="16"/>
  <c r="AQ77" i="16"/>
  <c r="AP77" i="16"/>
  <c r="AM77" i="16"/>
  <c r="AL77" i="16"/>
  <c r="AK77" i="16"/>
  <c r="AJ77" i="16"/>
  <c r="AG77" i="16"/>
  <c r="AF77" i="16"/>
  <c r="AE77" i="16"/>
  <c r="AD77" i="16"/>
  <c r="AA77" i="16"/>
  <c r="Z77" i="16"/>
  <c r="Y77" i="16"/>
  <c r="X77" i="16"/>
  <c r="U77" i="16"/>
  <c r="T77" i="16"/>
  <c r="S77" i="16"/>
  <c r="R77" i="16"/>
  <c r="O77" i="16"/>
  <c r="N77" i="16"/>
  <c r="M77" i="16"/>
  <c r="L77" i="16"/>
  <c r="I77" i="16"/>
  <c r="H77" i="16"/>
  <c r="G77" i="16"/>
  <c r="F77" i="16"/>
  <c r="OW76" i="16"/>
  <c r="OV76" i="16"/>
  <c r="OU76" i="16"/>
  <c r="OT76" i="16"/>
  <c r="OS76" i="16"/>
  <c r="OR76" i="16"/>
  <c r="OQ76" i="16"/>
  <c r="OP76" i="16"/>
  <c r="OO76" i="16"/>
  <c r="ON76" i="16"/>
  <c r="OK76" i="16"/>
  <c r="OJ76" i="16"/>
  <c r="OI76" i="16"/>
  <c r="OH76" i="16"/>
  <c r="OG76" i="16"/>
  <c r="OF76" i="16"/>
  <c r="OE76" i="16"/>
  <c r="OB76" i="16"/>
  <c r="OA76" i="16"/>
  <c r="NZ76" i="16"/>
  <c r="NY76" i="16"/>
  <c r="NX76" i="16"/>
  <c r="NW76" i="16"/>
  <c r="NV76" i="16"/>
  <c r="NS76" i="16"/>
  <c r="NR76" i="16"/>
  <c r="NQ76" i="16"/>
  <c r="NP76" i="16"/>
  <c r="NO76" i="16"/>
  <c r="NN76" i="16"/>
  <c r="NM76" i="16"/>
  <c r="NJ76" i="16"/>
  <c r="NI76" i="16"/>
  <c r="NH76" i="16"/>
  <c r="NG76" i="16"/>
  <c r="NF76" i="16"/>
  <c r="NE76" i="16"/>
  <c r="ND76" i="16"/>
  <c r="NA76" i="16"/>
  <c r="MZ76" i="16"/>
  <c r="MY76" i="16"/>
  <c r="MX76" i="16"/>
  <c r="MW76" i="16"/>
  <c r="MV76" i="16"/>
  <c r="MU76" i="16"/>
  <c r="MR76" i="16"/>
  <c r="MQ76" i="16"/>
  <c r="MP76" i="16"/>
  <c r="MO76" i="16"/>
  <c r="MN76" i="16"/>
  <c r="MM76" i="16"/>
  <c r="ML76" i="16"/>
  <c r="MI76" i="16"/>
  <c r="MH76" i="16"/>
  <c r="MG76" i="16"/>
  <c r="MF76" i="16"/>
  <c r="ME76" i="16"/>
  <c r="MD76" i="16"/>
  <c r="MC76" i="16"/>
  <c r="LZ76" i="16"/>
  <c r="LY76" i="16"/>
  <c r="LX76" i="16"/>
  <c r="LW76" i="16"/>
  <c r="LV76" i="16"/>
  <c r="LU76" i="16"/>
  <c r="LT76" i="16"/>
  <c r="LQ76" i="16"/>
  <c r="LP76" i="16"/>
  <c r="LO76" i="16"/>
  <c r="LN76" i="16"/>
  <c r="LM76" i="16"/>
  <c r="LL76" i="16"/>
  <c r="LK76" i="16"/>
  <c r="LH76" i="16"/>
  <c r="LG76" i="16"/>
  <c r="LF76" i="16"/>
  <c r="LE76" i="16"/>
  <c r="LD76" i="16"/>
  <c r="LC76" i="16"/>
  <c r="LB76" i="16"/>
  <c r="KY76" i="16"/>
  <c r="KX76" i="16"/>
  <c r="KW76" i="16"/>
  <c r="KV76" i="16"/>
  <c r="KU76" i="16"/>
  <c r="KT76" i="16"/>
  <c r="KS76" i="16"/>
  <c r="KP76" i="16"/>
  <c r="KO76" i="16"/>
  <c r="KN76" i="16"/>
  <c r="KM76" i="16"/>
  <c r="KL76" i="16"/>
  <c r="KK76" i="16"/>
  <c r="KJ76" i="16"/>
  <c r="KG76" i="16"/>
  <c r="KF76" i="16"/>
  <c r="KE76" i="16"/>
  <c r="KD76" i="16"/>
  <c r="KC76" i="16"/>
  <c r="KB76" i="16"/>
  <c r="KA76" i="16"/>
  <c r="JX76" i="16"/>
  <c r="JW76" i="16"/>
  <c r="JV76" i="16"/>
  <c r="JU76" i="16"/>
  <c r="JT76" i="16"/>
  <c r="JS76" i="16"/>
  <c r="JR76" i="16"/>
  <c r="JO76" i="16"/>
  <c r="JN76" i="16"/>
  <c r="JM76" i="16"/>
  <c r="JL76" i="16"/>
  <c r="JK76" i="16"/>
  <c r="JJ76" i="16"/>
  <c r="JI76" i="16"/>
  <c r="JF76" i="16"/>
  <c r="JE76" i="16"/>
  <c r="JD76" i="16"/>
  <c r="JC76" i="16"/>
  <c r="JB76" i="16"/>
  <c r="JA76" i="16"/>
  <c r="IZ76" i="16"/>
  <c r="IQ76" i="16"/>
  <c r="IP76" i="16"/>
  <c r="IO76" i="16"/>
  <c r="IN76" i="16"/>
  <c r="IM76" i="16"/>
  <c r="IL76" i="16"/>
  <c r="IK76" i="16"/>
  <c r="IJ76" i="16"/>
  <c r="II76" i="16"/>
  <c r="IF76" i="16"/>
  <c r="IE76" i="16"/>
  <c r="ID76" i="16"/>
  <c r="IC76" i="16"/>
  <c r="IB76" i="16"/>
  <c r="IA76" i="16"/>
  <c r="HX76" i="16"/>
  <c r="HW76" i="16"/>
  <c r="HV76" i="16"/>
  <c r="HU76" i="16"/>
  <c r="HT76" i="16"/>
  <c r="HS76" i="16"/>
  <c r="HP76" i="16"/>
  <c r="HO76" i="16"/>
  <c r="HN76" i="16"/>
  <c r="HM76" i="16"/>
  <c r="HL76" i="16"/>
  <c r="HK76" i="16"/>
  <c r="HH76" i="16"/>
  <c r="HG76" i="16"/>
  <c r="HF76" i="16"/>
  <c r="HE76" i="16"/>
  <c r="HD76" i="16"/>
  <c r="HC76" i="16"/>
  <c r="GZ76" i="16"/>
  <c r="GY76" i="16"/>
  <c r="GX76" i="16"/>
  <c r="GW76" i="16"/>
  <c r="GV76" i="16"/>
  <c r="GU76" i="16"/>
  <c r="GR76" i="16"/>
  <c r="GQ76" i="16"/>
  <c r="GP76" i="16"/>
  <c r="GO76" i="16"/>
  <c r="GN76" i="16"/>
  <c r="GM76" i="16"/>
  <c r="GJ76" i="16"/>
  <c r="GI76" i="16"/>
  <c r="GH76" i="16"/>
  <c r="GG76" i="16"/>
  <c r="GF76" i="16"/>
  <c r="GE76" i="16"/>
  <c r="GB76" i="16"/>
  <c r="GA76" i="16"/>
  <c r="FZ76" i="16"/>
  <c r="FY76" i="16"/>
  <c r="FX76" i="16"/>
  <c r="FW76" i="16"/>
  <c r="FT76" i="16"/>
  <c r="FS76" i="16"/>
  <c r="FR76" i="16"/>
  <c r="FQ76" i="16"/>
  <c r="FP76" i="16"/>
  <c r="FO76" i="16"/>
  <c r="FL76" i="16"/>
  <c r="FK76" i="16"/>
  <c r="FJ76" i="16"/>
  <c r="FI76" i="16"/>
  <c r="FH76" i="16"/>
  <c r="FG76" i="16"/>
  <c r="FD76" i="16"/>
  <c r="FC76" i="16"/>
  <c r="FB76" i="16"/>
  <c r="FA76" i="16"/>
  <c r="EZ76" i="16"/>
  <c r="EY76" i="16"/>
  <c r="EV76" i="16"/>
  <c r="EU76" i="16"/>
  <c r="ET76" i="16"/>
  <c r="ES76" i="16"/>
  <c r="ER76" i="16"/>
  <c r="EQ76" i="16"/>
  <c r="EN76" i="16"/>
  <c r="EM76" i="16"/>
  <c r="EL76" i="16"/>
  <c r="EK76" i="16"/>
  <c r="EJ76" i="16"/>
  <c r="EI76" i="16"/>
  <c r="EF76" i="16"/>
  <c r="EE76" i="16"/>
  <c r="ED76" i="16"/>
  <c r="EC76" i="16"/>
  <c r="EB76" i="16"/>
  <c r="EA76" i="16"/>
  <c r="DX76" i="16"/>
  <c r="DW76" i="16"/>
  <c r="DV76" i="16"/>
  <c r="DU76" i="16"/>
  <c r="DT76" i="16"/>
  <c r="DS76" i="16"/>
  <c r="DP76" i="16"/>
  <c r="DO76" i="16"/>
  <c r="DN76" i="16"/>
  <c r="DM76" i="16"/>
  <c r="DL76" i="16"/>
  <c r="DK76" i="16"/>
  <c r="DG76" i="16"/>
  <c r="DE76" i="16"/>
  <c r="DD76" i="16"/>
  <c r="DC76" i="16"/>
  <c r="DA76" i="16"/>
  <c r="CZ76" i="16"/>
  <c r="CY76" i="16"/>
  <c r="CX76" i="16"/>
  <c r="CU76" i="16"/>
  <c r="CT76" i="16"/>
  <c r="CS76" i="16"/>
  <c r="CR76" i="16"/>
  <c r="CO76" i="16"/>
  <c r="CN76" i="16"/>
  <c r="CM76" i="16"/>
  <c r="CL76" i="16"/>
  <c r="CI76" i="16"/>
  <c r="CH76" i="16"/>
  <c r="CG76" i="16"/>
  <c r="CF76" i="16"/>
  <c r="CC76" i="16"/>
  <c r="CB76" i="16"/>
  <c r="CA76" i="16"/>
  <c r="BZ76" i="16"/>
  <c r="BW76" i="16"/>
  <c r="BV76" i="16"/>
  <c r="BU76" i="16"/>
  <c r="BT76" i="16"/>
  <c r="BQ76" i="16"/>
  <c r="BP76" i="16"/>
  <c r="BO76" i="16"/>
  <c r="BN76" i="16"/>
  <c r="BK76" i="16"/>
  <c r="BJ76" i="16"/>
  <c r="BI76" i="16"/>
  <c r="BH76" i="16"/>
  <c r="BE76" i="16"/>
  <c r="BD76" i="16"/>
  <c r="BC76" i="16"/>
  <c r="BB76" i="16"/>
  <c r="AY76" i="16"/>
  <c r="AX76" i="16"/>
  <c r="AW76" i="16"/>
  <c r="AV76" i="16"/>
  <c r="AS76" i="16"/>
  <c r="AR76" i="16"/>
  <c r="AQ76" i="16"/>
  <c r="AP76" i="16"/>
  <c r="AM76" i="16"/>
  <c r="AL76" i="16"/>
  <c r="AK76" i="16"/>
  <c r="AJ76" i="16"/>
  <c r="AG76" i="16"/>
  <c r="AF76" i="16"/>
  <c r="AE76" i="16"/>
  <c r="AD76" i="16"/>
  <c r="AA76" i="16"/>
  <c r="Z76" i="16"/>
  <c r="Y76" i="16"/>
  <c r="X76" i="16"/>
  <c r="U76" i="16"/>
  <c r="T76" i="16"/>
  <c r="S76" i="16"/>
  <c r="R76" i="16"/>
  <c r="O76" i="16"/>
  <c r="N76" i="16"/>
  <c r="M76" i="16"/>
  <c r="L76" i="16"/>
  <c r="I76" i="16"/>
  <c r="H76" i="16"/>
  <c r="G76" i="16"/>
  <c r="F76" i="16"/>
  <c r="OW75" i="16"/>
  <c r="OV75" i="16"/>
  <c r="OU75" i="16"/>
  <c r="OT75" i="16"/>
  <c r="OS75" i="16"/>
  <c r="OR75" i="16"/>
  <c r="OQ75" i="16"/>
  <c r="OP75" i="16"/>
  <c r="OO75" i="16"/>
  <c r="ON75" i="16"/>
  <c r="OK75" i="16"/>
  <c r="OJ75" i="16"/>
  <c r="OI75" i="16"/>
  <c r="OH75" i="16"/>
  <c r="OG75" i="16"/>
  <c r="OF75" i="16"/>
  <c r="OE75" i="16"/>
  <c r="OB75" i="16"/>
  <c r="OA75" i="16"/>
  <c r="NZ75" i="16"/>
  <c r="NY75" i="16"/>
  <c r="NX75" i="16"/>
  <c r="NW75" i="16"/>
  <c r="NV75" i="16"/>
  <c r="NS75" i="16"/>
  <c r="NR75" i="16"/>
  <c r="NQ75" i="16"/>
  <c r="NP75" i="16"/>
  <c r="NO75" i="16"/>
  <c r="NN75" i="16"/>
  <c r="NM75" i="16"/>
  <c r="NJ75" i="16"/>
  <c r="NI75" i="16"/>
  <c r="NH75" i="16"/>
  <c r="NG75" i="16"/>
  <c r="NF75" i="16"/>
  <c r="NE75" i="16"/>
  <c r="ND75" i="16"/>
  <c r="NA75" i="16"/>
  <c r="MZ75" i="16"/>
  <c r="MY75" i="16"/>
  <c r="MX75" i="16"/>
  <c r="MW75" i="16"/>
  <c r="MV75" i="16"/>
  <c r="MU75" i="16"/>
  <c r="MR75" i="16"/>
  <c r="MQ75" i="16"/>
  <c r="MP75" i="16"/>
  <c r="MO75" i="16"/>
  <c r="MN75" i="16"/>
  <c r="MM75" i="16"/>
  <c r="ML75" i="16"/>
  <c r="MI75" i="16"/>
  <c r="MH75" i="16"/>
  <c r="MG75" i="16"/>
  <c r="MF75" i="16"/>
  <c r="ME75" i="16"/>
  <c r="MD75" i="16"/>
  <c r="MC75" i="16"/>
  <c r="LZ75" i="16"/>
  <c r="LY75" i="16"/>
  <c r="LX75" i="16"/>
  <c r="LW75" i="16"/>
  <c r="LV75" i="16"/>
  <c r="LU75" i="16"/>
  <c r="LT75" i="16"/>
  <c r="LQ75" i="16"/>
  <c r="LP75" i="16"/>
  <c r="LO75" i="16"/>
  <c r="LN75" i="16"/>
  <c r="LM75" i="16"/>
  <c r="LL75" i="16"/>
  <c r="LK75" i="16"/>
  <c r="LH75" i="16"/>
  <c r="LG75" i="16"/>
  <c r="LF75" i="16"/>
  <c r="LE75" i="16"/>
  <c r="LD75" i="16"/>
  <c r="LC75" i="16"/>
  <c r="LB75" i="16"/>
  <c r="KY75" i="16"/>
  <c r="KX75" i="16"/>
  <c r="KW75" i="16"/>
  <c r="KV75" i="16"/>
  <c r="KU75" i="16"/>
  <c r="KT75" i="16"/>
  <c r="KS75" i="16"/>
  <c r="KP75" i="16"/>
  <c r="KO75" i="16"/>
  <c r="KN75" i="16"/>
  <c r="KM75" i="16"/>
  <c r="KL75" i="16"/>
  <c r="KK75" i="16"/>
  <c r="KJ75" i="16"/>
  <c r="KG75" i="16"/>
  <c r="KF75" i="16"/>
  <c r="KE75" i="16"/>
  <c r="KD75" i="16"/>
  <c r="KC75" i="16"/>
  <c r="KB75" i="16"/>
  <c r="KA75" i="16"/>
  <c r="JX75" i="16"/>
  <c r="JW75" i="16"/>
  <c r="JV75" i="16"/>
  <c r="JU75" i="16"/>
  <c r="JT75" i="16"/>
  <c r="JS75" i="16"/>
  <c r="JR75" i="16"/>
  <c r="JO75" i="16"/>
  <c r="JN75" i="16"/>
  <c r="JM75" i="16"/>
  <c r="JL75" i="16"/>
  <c r="JK75" i="16"/>
  <c r="JJ75" i="16"/>
  <c r="JI75" i="16"/>
  <c r="JF75" i="16"/>
  <c r="JE75" i="16"/>
  <c r="JD75" i="16"/>
  <c r="JC75" i="16"/>
  <c r="JB75" i="16"/>
  <c r="JA75" i="16"/>
  <c r="IZ75" i="16"/>
  <c r="IQ75" i="16"/>
  <c r="IP75" i="16"/>
  <c r="IO75" i="16"/>
  <c r="IN75" i="16"/>
  <c r="IM75" i="16"/>
  <c r="IL75" i="16"/>
  <c r="IK75" i="16"/>
  <c r="IJ75" i="16"/>
  <c r="II75" i="16"/>
  <c r="IF75" i="16"/>
  <c r="IE75" i="16"/>
  <c r="ID75" i="16"/>
  <c r="IC75" i="16"/>
  <c r="IB75" i="16"/>
  <c r="IA75" i="16"/>
  <c r="HX75" i="16"/>
  <c r="HW75" i="16"/>
  <c r="HV75" i="16"/>
  <c r="HU75" i="16"/>
  <c r="HT75" i="16"/>
  <c r="HS75" i="16"/>
  <c r="HP75" i="16"/>
  <c r="HO75" i="16"/>
  <c r="HN75" i="16"/>
  <c r="HM75" i="16"/>
  <c r="HL75" i="16"/>
  <c r="HK75" i="16"/>
  <c r="HH75" i="16"/>
  <c r="HG75" i="16"/>
  <c r="HF75" i="16"/>
  <c r="HE75" i="16"/>
  <c r="HD75" i="16"/>
  <c r="HC75" i="16"/>
  <c r="GZ75" i="16"/>
  <c r="GY75" i="16"/>
  <c r="GX75" i="16"/>
  <c r="GW75" i="16"/>
  <c r="GV75" i="16"/>
  <c r="GU75" i="16"/>
  <c r="GR75" i="16"/>
  <c r="GQ75" i="16"/>
  <c r="GP75" i="16"/>
  <c r="GO75" i="16"/>
  <c r="GN75" i="16"/>
  <c r="GM75" i="16"/>
  <c r="GJ75" i="16"/>
  <c r="GI75" i="16"/>
  <c r="GH75" i="16"/>
  <c r="GG75" i="16"/>
  <c r="GF75" i="16"/>
  <c r="GE75" i="16"/>
  <c r="GB75" i="16"/>
  <c r="GA75" i="16"/>
  <c r="FZ75" i="16"/>
  <c r="FY75" i="16"/>
  <c r="FX75" i="16"/>
  <c r="FW75" i="16"/>
  <c r="FT75" i="16"/>
  <c r="FS75" i="16"/>
  <c r="FR75" i="16"/>
  <c r="FQ75" i="16"/>
  <c r="FP75" i="16"/>
  <c r="FO75" i="16"/>
  <c r="FL75" i="16"/>
  <c r="FK75" i="16"/>
  <c r="FJ75" i="16"/>
  <c r="FI75" i="16"/>
  <c r="FH75" i="16"/>
  <c r="FG75" i="16"/>
  <c r="FD75" i="16"/>
  <c r="FC75" i="16"/>
  <c r="FB75" i="16"/>
  <c r="FA75" i="16"/>
  <c r="EZ75" i="16"/>
  <c r="EY75" i="16"/>
  <c r="EV75" i="16"/>
  <c r="EU75" i="16"/>
  <c r="ET75" i="16"/>
  <c r="ES75" i="16"/>
  <c r="ER75" i="16"/>
  <c r="EQ75" i="16"/>
  <c r="EN75" i="16"/>
  <c r="EM75" i="16"/>
  <c r="EL75" i="16"/>
  <c r="EK75" i="16"/>
  <c r="EJ75" i="16"/>
  <c r="EI75" i="16"/>
  <c r="EF75" i="16"/>
  <c r="EE75" i="16"/>
  <c r="ED75" i="16"/>
  <c r="EC75" i="16"/>
  <c r="EB75" i="16"/>
  <c r="EA75" i="16"/>
  <c r="DX75" i="16"/>
  <c r="DW75" i="16"/>
  <c r="DV75" i="16"/>
  <c r="DU75" i="16"/>
  <c r="DT75" i="16"/>
  <c r="DS75" i="16"/>
  <c r="DP75" i="16"/>
  <c r="DO75" i="16"/>
  <c r="DN75" i="16"/>
  <c r="DM75" i="16"/>
  <c r="DL75" i="16"/>
  <c r="DK75" i="16"/>
  <c r="DG75" i="16"/>
  <c r="DE75" i="16"/>
  <c r="DD75" i="16"/>
  <c r="DC75" i="16"/>
  <c r="DA75" i="16"/>
  <c r="CZ75" i="16"/>
  <c r="CY75" i="16"/>
  <c r="CX75" i="16"/>
  <c r="CU75" i="16"/>
  <c r="CT75" i="16"/>
  <c r="CS75" i="16"/>
  <c r="CR75" i="16"/>
  <c r="CO75" i="16"/>
  <c r="CN75" i="16"/>
  <c r="CM75" i="16"/>
  <c r="CL75" i="16"/>
  <c r="CI75" i="16"/>
  <c r="CH75" i="16"/>
  <c r="CG75" i="16"/>
  <c r="CF75" i="16"/>
  <c r="CC75" i="16"/>
  <c r="CB75" i="16"/>
  <c r="CA75" i="16"/>
  <c r="BZ75" i="16"/>
  <c r="BW75" i="16"/>
  <c r="BV75" i="16"/>
  <c r="BU75" i="16"/>
  <c r="BT75" i="16"/>
  <c r="BQ75" i="16"/>
  <c r="BP75" i="16"/>
  <c r="BO75" i="16"/>
  <c r="BN75" i="16"/>
  <c r="BK75" i="16"/>
  <c r="BJ75" i="16"/>
  <c r="BI75" i="16"/>
  <c r="BH75" i="16"/>
  <c r="BE75" i="16"/>
  <c r="BD75" i="16"/>
  <c r="BC75" i="16"/>
  <c r="BB75" i="16"/>
  <c r="AY75" i="16"/>
  <c r="AX75" i="16"/>
  <c r="AW75" i="16"/>
  <c r="AV75" i="16"/>
  <c r="AS75" i="16"/>
  <c r="AR75" i="16"/>
  <c r="AQ75" i="16"/>
  <c r="AP75" i="16"/>
  <c r="AM75" i="16"/>
  <c r="AL75" i="16"/>
  <c r="AK75" i="16"/>
  <c r="AJ75" i="16"/>
  <c r="AG75" i="16"/>
  <c r="AF75" i="16"/>
  <c r="AE75" i="16"/>
  <c r="AD75" i="16"/>
  <c r="AA75" i="16"/>
  <c r="Z75" i="16"/>
  <c r="Y75" i="16"/>
  <c r="X75" i="16"/>
  <c r="U75" i="16"/>
  <c r="T75" i="16"/>
  <c r="S75" i="16"/>
  <c r="R75" i="16"/>
  <c r="O75" i="16"/>
  <c r="N75" i="16"/>
  <c r="M75" i="16"/>
  <c r="L75" i="16"/>
  <c r="I75" i="16"/>
  <c r="H75" i="16"/>
  <c r="G75" i="16"/>
  <c r="F75" i="16"/>
  <c r="OW74" i="16"/>
  <c r="OV74" i="16"/>
  <c r="OU74" i="16"/>
  <c r="OT74" i="16"/>
  <c r="OS74" i="16"/>
  <c r="OR74" i="16"/>
  <c r="OQ74" i="16"/>
  <c r="OP74" i="16"/>
  <c r="OO74" i="16"/>
  <c r="ON74" i="16"/>
  <c r="OK74" i="16"/>
  <c r="OJ74" i="16"/>
  <c r="OI74" i="16"/>
  <c r="OH74" i="16"/>
  <c r="OG74" i="16"/>
  <c r="OF74" i="16"/>
  <c r="OE74" i="16"/>
  <c r="OB74" i="16"/>
  <c r="OA74" i="16"/>
  <c r="NZ74" i="16"/>
  <c r="NY74" i="16"/>
  <c r="NX74" i="16"/>
  <c r="NW74" i="16"/>
  <c r="NV74" i="16"/>
  <c r="NS74" i="16"/>
  <c r="NR74" i="16"/>
  <c r="NQ74" i="16"/>
  <c r="NP74" i="16"/>
  <c r="NO74" i="16"/>
  <c r="NN74" i="16"/>
  <c r="NM74" i="16"/>
  <c r="NJ74" i="16"/>
  <c r="NI74" i="16"/>
  <c r="NH74" i="16"/>
  <c r="NG74" i="16"/>
  <c r="NF74" i="16"/>
  <c r="NE74" i="16"/>
  <c r="ND74" i="16"/>
  <c r="NA74" i="16"/>
  <c r="MZ74" i="16"/>
  <c r="MY74" i="16"/>
  <c r="MX74" i="16"/>
  <c r="MW74" i="16"/>
  <c r="MV74" i="16"/>
  <c r="MU74" i="16"/>
  <c r="MR74" i="16"/>
  <c r="MQ74" i="16"/>
  <c r="MP74" i="16"/>
  <c r="MO74" i="16"/>
  <c r="MN74" i="16"/>
  <c r="MM74" i="16"/>
  <c r="ML74" i="16"/>
  <c r="MI74" i="16"/>
  <c r="MH74" i="16"/>
  <c r="MG74" i="16"/>
  <c r="MF74" i="16"/>
  <c r="ME74" i="16"/>
  <c r="MD74" i="16"/>
  <c r="MC74" i="16"/>
  <c r="LZ74" i="16"/>
  <c r="LY74" i="16"/>
  <c r="LX74" i="16"/>
  <c r="LW74" i="16"/>
  <c r="LV74" i="16"/>
  <c r="LU74" i="16"/>
  <c r="LT74" i="16"/>
  <c r="LQ74" i="16"/>
  <c r="LP74" i="16"/>
  <c r="LO74" i="16"/>
  <c r="LN74" i="16"/>
  <c r="LM74" i="16"/>
  <c r="LL74" i="16"/>
  <c r="LK74" i="16"/>
  <c r="LH74" i="16"/>
  <c r="LG74" i="16"/>
  <c r="LF74" i="16"/>
  <c r="LE74" i="16"/>
  <c r="LD74" i="16"/>
  <c r="LC74" i="16"/>
  <c r="LB74" i="16"/>
  <c r="KY74" i="16"/>
  <c r="KX74" i="16"/>
  <c r="KW74" i="16"/>
  <c r="KV74" i="16"/>
  <c r="KU74" i="16"/>
  <c r="KT74" i="16"/>
  <c r="KS74" i="16"/>
  <c r="KP74" i="16"/>
  <c r="KO74" i="16"/>
  <c r="KN74" i="16"/>
  <c r="KM74" i="16"/>
  <c r="KL74" i="16"/>
  <c r="KK74" i="16"/>
  <c r="KJ74" i="16"/>
  <c r="KG74" i="16"/>
  <c r="KF74" i="16"/>
  <c r="KE74" i="16"/>
  <c r="KD74" i="16"/>
  <c r="KC74" i="16"/>
  <c r="KB74" i="16"/>
  <c r="KA74" i="16"/>
  <c r="JX74" i="16"/>
  <c r="JW74" i="16"/>
  <c r="JV74" i="16"/>
  <c r="JU74" i="16"/>
  <c r="JT74" i="16"/>
  <c r="JS74" i="16"/>
  <c r="JR74" i="16"/>
  <c r="JO74" i="16"/>
  <c r="JN74" i="16"/>
  <c r="JM74" i="16"/>
  <c r="JL74" i="16"/>
  <c r="JK74" i="16"/>
  <c r="JJ74" i="16"/>
  <c r="JI74" i="16"/>
  <c r="JF74" i="16"/>
  <c r="JE74" i="16"/>
  <c r="JD74" i="16"/>
  <c r="JC74" i="16"/>
  <c r="JB74" i="16"/>
  <c r="JA74" i="16"/>
  <c r="IZ74" i="16"/>
  <c r="IQ74" i="16"/>
  <c r="IP74" i="16"/>
  <c r="IO74" i="16"/>
  <c r="IN74" i="16"/>
  <c r="IM74" i="16"/>
  <c r="IL74" i="16"/>
  <c r="IK74" i="16"/>
  <c r="IJ74" i="16"/>
  <c r="II74" i="16"/>
  <c r="IF74" i="16"/>
  <c r="IE74" i="16"/>
  <c r="ID74" i="16"/>
  <c r="IC74" i="16"/>
  <c r="IB74" i="16"/>
  <c r="IA74" i="16"/>
  <c r="HX74" i="16"/>
  <c r="HW74" i="16"/>
  <c r="HV74" i="16"/>
  <c r="HU74" i="16"/>
  <c r="HT74" i="16"/>
  <c r="HS74" i="16"/>
  <c r="HP74" i="16"/>
  <c r="HO74" i="16"/>
  <c r="HN74" i="16"/>
  <c r="HM74" i="16"/>
  <c r="HL74" i="16"/>
  <c r="HK74" i="16"/>
  <c r="HH74" i="16"/>
  <c r="HG74" i="16"/>
  <c r="HF74" i="16"/>
  <c r="HE74" i="16"/>
  <c r="HD74" i="16"/>
  <c r="HC74" i="16"/>
  <c r="GZ74" i="16"/>
  <c r="GY74" i="16"/>
  <c r="GX74" i="16"/>
  <c r="GW74" i="16"/>
  <c r="GV74" i="16"/>
  <c r="GU74" i="16"/>
  <c r="GR74" i="16"/>
  <c r="GQ74" i="16"/>
  <c r="GP74" i="16"/>
  <c r="GO74" i="16"/>
  <c r="GN74" i="16"/>
  <c r="GM74" i="16"/>
  <c r="GJ74" i="16"/>
  <c r="GI74" i="16"/>
  <c r="GH74" i="16"/>
  <c r="GG74" i="16"/>
  <c r="GF74" i="16"/>
  <c r="GE74" i="16"/>
  <c r="GB74" i="16"/>
  <c r="GA74" i="16"/>
  <c r="FZ74" i="16"/>
  <c r="FY74" i="16"/>
  <c r="FX74" i="16"/>
  <c r="FW74" i="16"/>
  <c r="FT74" i="16"/>
  <c r="FS74" i="16"/>
  <c r="FR74" i="16"/>
  <c r="FQ74" i="16"/>
  <c r="FP74" i="16"/>
  <c r="FO74" i="16"/>
  <c r="FL74" i="16"/>
  <c r="FK74" i="16"/>
  <c r="FJ74" i="16"/>
  <c r="FI74" i="16"/>
  <c r="FH74" i="16"/>
  <c r="FG74" i="16"/>
  <c r="FD74" i="16"/>
  <c r="FC74" i="16"/>
  <c r="FB74" i="16"/>
  <c r="FA74" i="16"/>
  <c r="EZ74" i="16"/>
  <c r="EY74" i="16"/>
  <c r="EV74" i="16"/>
  <c r="EU74" i="16"/>
  <c r="ET74" i="16"/>
  <c r="ES74" i="16"/>
  <c r="ER74" i="16"/>
  <c r="EQ74" i="16"/>
  <c r="EN74" i="16"/>
  <c r="EM74" i="16"/>
  <c r="EL74" i="16"/>
  <c r="EK74" i="16"/>
  <c r="EJ74" i="16"/>
  <c r="EI74" i="16"/>
  <c r="EF74" i="16"/>
  <c r="EE74" i="16"/>
  <c r="ED74" i="16"/>
  <c r="EC74" i="16"/>
  <c r="EB74" i="16"/>
  <c r="EA74" i="16"/>
  <c r="DX74" i="16"/>
  <c r="DW74" i="16"/>
  <c r="DV74" i="16"/>
  <c r="DU74" i="16"/>
  <c r="DT74" i="16"/>
  <c r="DS74" i="16"/>
  <c r="DP74" i="16"/>
  <c r="DO74" i="16"/>
  <c r="DN74" i="16"/>
  <c r="DM74" i="16"/>
  <c r="DL74" i="16"/>
  <c r="DK74" i="16"/>
  <c r="DG74" i="16"/>
  <c r="DE74" i="16"/>
  <c r="DD74" i="16"/>
  <c r="DC74" i="16"/>
  <c r="DA74" i="16"/>
  <c r="CZ74" i="16"/>
  <c r="CY74" i="16"/>
  <c r="CX74" i="16"/>
  <c r="CU74" i="16"/>
  <c r="CT74" i="16"/>
  <c r="CS74" i="16"/>
  <c r="CR74" i="16"/>
  <c r="CO74" i="16"/>
  <c r="CN74" i="16"/>
  <c r="CM74" i="16"/>
  <c r="CL74" i="16"/>
  <c r="CI74" i="16"/>
  <c r="CH74" i="16"/>
  <c r="CG74" i="16"/>
  <c r="CF74" i="16"/>
  <c r="CC74" i="16"/>
  <c r="CB74" i="16"/>
  <c r="CA74" i="16"/>
  <c r="BZ74" i="16"/>
  <c r="BW74" i="16"/>
  <c r="BV74" i="16"/>
  <c r="BU74" i="16"/>
  <c r="BT74" i="16"/>
  <c r="BQ74" i="16"/>
  <c r="BP74" i="16"/>
  <c r="BO74" i="16"/>
  <c r="BN74" i="16"/>
  <c r="BK74" i="16"/>
  <c r="BJ74" i="16"/>
  <c r="BI74" i="16"/>
  <c r="BH74" i="16"/>
  <c r="BE74" i="16"/>
  <c r="BD74" i="16"/>
  <c r="BC74" i="16"/>
  <c r="BB74" i="16"/>
  <c r="AY74" i="16"/>
  <c r="AX74" i="16"/>
  <c r="AW74" i="16"/>
  <c r="AV74" i="16"/>
  <c r="AS74" i="16"/>
  <c r="AR74" i="16"/>
  <c r="AQ74" i="16"/>
  <c r="AP74" i="16"/>
  <c r="AM74" i="16"/>
  <c r="AL74" i="16"/>
  <c r="AK74" i="16"/>
  <c r="AJ74" i="16"/>
  <c r="AG74" i="16"/>
  <c r="AF74" i="16"/>
  <c r="AE74" i="16"/>
  <c r="AD74" i="16"/>
  <c r="AA74" i="16"/>
  <c r="Z74" i="16"/>
  <c r="Y74" i="16"/>
  <c r="X74" i="16"/>
  <c r="U74" i="16"/>
  <c r="T74" i="16"/>
  <c r="S74" i="16"/>
  <c r="R74" i="16"/>
  <c r="O74" i="16"/>
  <c r="N74" i="16"/>
  <c r="M74" i="16"/>
  <c r="L74" i="16"/>
  <c r="I74" i="16"/>
  <c r="H74" i="16"/>
  <c r="G74" i="16"/>
  <c r="F74" i="16"/>
  <c r="OW73" i="16"/>
  <c r="OV73" i="16"/>
  <c r="OU73" i="16"/>
  <c r="OT73" i="16"/>
  <c r="OS73" i="16"/>
  <c r="OR73" i="16"/>
  <c r="OQ73" i="16"/>
  <c r="OP73" i="16"/>
  <c r="OO73" i="16"/>
  <c r="ON73" i="16"/>
  <c r="OK73" i="16"/>
  <c r="OJ73" i="16"/>
  <c r="OI73" i="16"/>
  <c r="OH73" i="16"/>
  <c r="OG73" i="16"/>
  <c r="OF73" i="16"/>
  <c r="OE73" i="16"/>
  <c r="OB73" i="16"/>
  <c r="OA73" i="16"/>
  <c r="NZ73" i="16"/>
  <c r="NY73" i="16"/>
  <c r="NX73" i="16"/>
  <c r="NW73" i="16"/>
  <c r="NV73" i="16"/>
  <c r="NS73" i="16"/>
  <c r="NR73" i="16"/>
  <c r="NQ73" i="16"/>
  <c r="NP73" i="16"/>
  <c r="NO73" i="16"/>
  <c r="NN73" i="16"/>
  <c r="NM73" i="16"/>
  <c r="NJ73" i="16"/>
  <c r="NI73" i="16"/>
  <c r="NH73" i="16"/>
  <c r="NG73" i="16"/>
  <c r="NF73" i="16"/>
  <c r="NE73" i="16"/>
  <c r="ND73" i="16"/>
  <c r="NA73" i="16"/>
  <c r="MZ73" i="16"/>
  <c r="MY73" i="16"/>
  <c r="MX73" i="16"/>
  <c r="MW73" i="16"/>
  <c r="MV73" i="16"/>
  <c r="MU73" i="16"/>
  <c r="MR73" i="16"/>
  <c r="MQ73" i="16"/>
  <c r="MP73" i="16"/>
  <c r="MO73" i="16"/>
  <c r="MN73" i="16"/>
  <c r="MM73" i="16"/>
  <c r="ML73" i="16"/>
  <c r="MI73" i="16"/>
  <c r="MH73" i="16"/>
  <c r="MG73" i="16"/>
  <c r="MF73" i="16"/>
  <c r="ME73" i="16"/>
  <c r="MD73" i="16"/>
  <c r="MC73" i="16"/>
  <c r="LZ73" i="16"/>
  <c r="LY73" i="16"/>
  <c r="LX73" i="16"/>
  <c r="LW73" i="16"/>
  <c r="LV73" i="16"/>
  <c r="LU73" i="16"/>
  <c r="LT73" i="16"/>
  <c r="LQ73" i="16"/>
  <c r="LP73" i="16"/>
  <c r="LO73" i="16"/>
  <c r="LN73" i="16"/>
  <c r="LM73" i="16"/>
  <c r="LL73" i="16"/>
  <c r="LK73" i="16"/>
  <c r="LH73" i="16"/>
  <c r="LG73" i="16"/>
  <c r="LF73" i="16"/>
  <c r="LE73" i="16"/>
  <c r="LD73" i="16"/>
  <c r="LC73" i="16"/>
  <c r="LB73" i="16"/>
  <c r="KY73" i="16"/>
  <c r="KX73" i="16"/>
  <c r="KW73" i="16"/>
  <c r="KV73" i="16"/>
  <c r="KU73" i="16"/>
  <c r="KT73" i="16"/>
  <c r="KS73" i="16"/>
  <c r="KP73" i="16"/>
  <c r="KO73" i="16"/>
  <c r="KN73" i="16"/>
  <c r="KM73" i="16"/>
  <c r="KL73" i="16"/>
  <c r="KK73" i="16"/>
  <c r="KJ73" i="16"/>
  <c r="KG73" i="16"/>
  <c r="KF73" i="16"/>
  <c r="KE73" i="16"/>
  <c r="KD73" i="16"/>
  <c r="KC73" i="16"/>
  <c r="KB73" i="16"/>
  <c r="KA73" i="16"/>
  <c r="JX73" i="16"/>
  <c r="JW73" i="16"/>
  <c r="JV73" i="16"/>
  <c r="JU73" i="16"/>
  <c r="JT73" i="16"/>
  <c r="JS73" i="16"/>
  <c r="JR73" i="16"/>
  <c r="JO73" i="16"/>
  <c r="JN73" i="16"/>
  <c r="JM73" i="16"/>
  <c r="JL73" i="16"/>
  <c r="JK73" i="16"/>
  <c r="JJ73" i="16"/>
  <c r="JI73" i="16"/>
  <c r="JF73" i="16"/>
  <c r="JE73" i="16"/>
  <c r="JD73" i="16"/>
  <c r="JC73" i="16"/>
  <c r="JB73" i="16"/>
  <c r="JA73" i="16"/>
  <c r="IZ73" i="16"/>
  <c r="IQ73" i="16"/>
  <c r="IP73" i="16"/>
  <c r="IO73" i="16"/>
  <c r="IN73" i="16"/>
  <c r="IM73" i="16"/>
  <c r="IL73" i="16"/>
  <c r="IK73" i="16"/>
  <c r="IJ73" i="16"/>
  <c r="II73" i="16"/>
  <c r="IF73" i="16"/>
  <c r="IE73" i="16"/>
  <c r="ID73" i="16"/>
  <c r="IC73" i="16"/>
  <c r="IB73" i="16"/>
  <c r="IA73" i="16"/>
  <c r="HX73" i="16"/>
  <c r="HW73" i="16"/>
  <c r="HV73" i="16"/>
  <c r="HU73" i="16"/>
  <c r="HT73" i="16"/>
  <c r="HS73" i="16"/>
  <c r="HP73" i="16"/>
  <c r="HO73" i="16"/>
  <c r="HN73" i="16"/>
  <c r="HM73" i="16"/>
  <c r="HL73" i="16"/>
  <c r="HK73" i="16"/>
  <c r="HH73" i="16"/>
  <c r="HG73" i="16"/>
  <c r="HF73" i="16"/>
  <c r="HE73" i="16"/>
  <c r="HD73" i="16"/>
  <c r="HC73" i="16"/>
  <c r="GZ73" i="16"/>
  <c r="GY73" i="16"/>
  <c r="GX73" i="16"/>
  <c r="GW73" i="16"/>
  <c r="GV73" i="16"/>
  <c r="GU73" i="16"/>
  <c r="GR73" i="16"/>
  <c r="GQ73" i="16"/>
  <c r="GP73" i="16"/>
  <c r="GO73" i="16"/>
  <c r="GN73" i="16"/>
  <c r="GM73" i="16"/>
  <c r="GJ73" i="16"/>
  <c r="GI73" i="16"/>
  <c r="GH73" i="16"/>
  <c r="GG73" i="16"/>
  <c r="GF73" i="16"/>
  <c r="GE73" i="16"/>
  <c r="GB73" i="16"/>
  <c r="GA73" i="16"/>
  <c r="FZ73" i="16"/>
  <c r="FY73" i="16"/>
  <c r="FX73" i="16"/>
  <c r="FW73" i="16"/>
  <c r="FT73" i="16"/>
  <c r="FS73" i="16"/>
  <c r="FR73" i="16"/>
  <c r="FQ73" i="16"/>
  <c r="FP73" i="16"/>
  <c r="FO73" i="16"/>
  <c r="FL73" i="16"/>
  <c r="FK73" i="16"/>
  <c r="FJ73" i="16"/>
  <c r="FI73" i="16"/>
  <c r="FH73" i="16"/>
  <c r="FG73" i="16"/>
  <c r="FD73" i="16"/>
  <c r="FC73" i="16"/>
  <c r="FB73" i="16"/>
  <c r="FA73" i="16"/>
  <c r="EZ73" i="16"/>
  <c r="EY73" i="16"/>
  <c r="EV73" i="16"/>
  <c r="EU73" i="16"/>
  <c r="ET73" i="16"/>
  <c r="ES73" i="16"/>
  <c r="ER73" i="16"/>
  <c r="EQ73" i="16"/>
  <c r="EN73" i="16"/>
  <c r="EM73" i="16"/>
  <c r="EL73" i="16"/>
  <c r="EK73" i="16"/>
  <c r="EJ73" i="16"/>
  <c r="EI73" i="16"/>
  <c r="EF73" i="16"/>
  <c r="EE73" i="16"/>
  <c r="ED73" i="16"/>
  <c r="EC73" i="16"/>
  <c r="EB73" i="16"/>
  <c r="EA73" i="16"/>
  <c r="DX73" i="16"/>
  <c r="DW73" i="16"/>
  <c r="DV73" i="16"/>
  <c r="DU73" i="16"/>
  <c r="DT73" i="16"/>
  <c r="DS73" i="16"/>
  <c r="DP73" i="16"/>
  <c r="DO73" i="16"/>
  <c r="DN73" i="16"/>
  <c r="DM73" i="16"/>
  <c r="DL73" i="16"/>
  <c r="DK73" i="16"/>
  <c r="DG73" i="16"/>
  <c r="DE73" i="16"/>
  <c r="DD73" i="16"/>
  <c r="DC73" i="16"/>
  <c r="DA73" i="16"/>
  <c r="CZ73" i="16"/>
  <c r="CY73" i="16"/>
  <c r="CX73" i="16"/>
  <c r="CU73" i="16"/>
  <c r="CT73" i="16"/>
  <c r="CS73" i="16"/>
  <c r="CR73" i="16"/>
  <c r="CO73" i="16"/>
  <c r="CN73" i="16"/>
  <c r="CM73" i="16"/>
  <c r="CL73" i="16"/>
  <c r="CI73" i="16"/>
  <c r="CH73" i="16"/>
  <c r="CG73" i="16"/>
  <c r="CF73" i="16"/>
  <c r="CC73" i="16"/>
  <c r="CB73" i="16"/>
  <c r="CA73" i="16"/>
  <c r="BZ73" i="16"/>
  <c r="BW73" i="16"/>
  <c r="BV73" i="16"/>
  <c r="BU73" i="16"/>
  <c r="BT73" i="16"/>
  <c r="BQ73" i="16"/>
  <c r="BP73" i="16"/>
  <c r="BO73" i="16"/>
  <c r="BN73" i="16"/>
  <c r="BK73" i="16"/>
  <c r="BJ73" i="16"/>
  <c r="BI73" i="16"/>
  <c r="BH73" i="16"/>
  <c r="BE73" i="16"/>
  <c r="BD73" i="16"/>
  <c r="BC73" i="16"/>
  <c r="BB73" i="16"/>
  <c r="AY73" i="16"/>
  <c r="AX73" i="16"/>
  <c r="AW73" i="16"/>
  <c r="AV73" i="16"/>
  <c r="AS73" i="16"/>
  <c r="AR73" i="16"/>
  <c r="AQ73" i="16"/>
  <c r="AP73" i="16"/>
  <c r="AM73" i="16"/>
  <c r="AL73" i="16"/>
  <c r="AK73" i="16"/>
  <c r="AJ73" i="16"/>
  <c r="AG73" i="16"/>
  <c r="AF73" i="16"/>
  <c r="AE73" i="16"/>
  <c r="AD73" i="16"/>
  <c r="AA73" i="16"/>
  <c r="Z73" i="16"/>
  <c r="Y73" i="16"/>
  <c r="X73" i="16"/>
  <c r="U73" i="16"/>
  <c r="T73" i="16"/>
  <c r="S73" i="16"/>
  <c r="R73" i="16"/>
  <c r="O73" i="16"/>
  <c r="N73" i="16"/>
  <c r="M73" i="16"/>
  <c r="L73" i="16"/>
  <c r="I73" i="16"/>
  <c r="H73" i="16"/>
  <c r="G73" i="16"/>
  <c r="F73" i="16"/>
  <c r="OW72" i="16"/>
  <c r="OV72" i="16"/>
  <c r="OU72" i="16"/>
  <c r="OT72" i="16"/>
  <c r="OS72" i="16"/>
  <c r="OR72" i="16"/>
  <c r="OQ72" i="16"/>
  <c r="OP72" i="16"/>
  <c r="OO72" i="16"/>
  <c r="ON72" i="16"/>
  <c r="OK72" i="16"/>
  <c r="OJ72" i="16"/>
  <c r="OI72" i="16"/>
  <c r="OH72" i="16"/>
  <c r="OG72" i="16"/>
  <c r="OF72" i="16"/>
  <c r="OE72" i="16"/>
  <c r="OB72" i="16"/>
  <c r="OA72" i="16"/>
  <c r="NZ72" i="16"/>
  <c r="NY72" i="16"/>
  <c r="NX72" i="16"/>
  <c r="NW72" i="16"/>
  <c r="NV72" i="16"/>
  <c r="NS72" i="16"/>
  <c r="NR72" i="16"/>
  <c r="NQ72" i="16"/>
  <c r="NP72" i="16"/>
  <c r="NO72" i="16"/>
  <c r="NN72" i="16"/>
  <c r="NM72" i="16"/>
  <c r="NJ72" i="16"/>
  <c r="NI72" i="16"/>
  <c r="NH72" i="16"/>
  <c r="NG72" i="16"/>
  <c r="NF72" i="16"/>
  <c r="NE72" i="16"/>
  <c r="ND72" i="16"/>
  <c r="NA72" i="16"/>
  <c r="MZ72" i="16"/>
  <c r="MY72" i="16"/>
  <c r="MX72" i="16"/>
  <c r="MW72" i="16"/>
  <c r="MV72" i="16"/>
  <c r="MU72" i="16"/>
  <c r="MR72" i="16"/>
  <c r="MQ72" i="16"/>
  <c r="MP72" i="16"/>
  <c r="MO72" i="16"/>
  <c r="MN72" i="16"/>
  <c r="MM72" i="16"/>
  <c r="ML72" i="16"/>
  <c r="MI72" i="16"/>
  <c r="MH72" i="16"/>
  <c r="MG72" i="16"/>
  <c r="MF72" i="16"/>
  <c r="ME72" i="16"/>
  <c r="MD72" i="16"/>
  <c r="MC72" i="16"/>
  <c r="LZ72" i="16"/>
  <c r="LY72" i="16"/>
  <c r="LX72" i="16"/>
  <c r="LW72" i="16"/>
  <c r="LV72" i="16"/>
  <c r="LU72" i="16"/>
  <c r="LT72" i="16"/>
  <c r="LQ72" i="16"/>
  <c r="LP72" i="16"/>
  <c r="LO72" i="16"/>
  <c r="LN72" i="16"/>
  <c r="LM72" i="16"/>
  <c r="LL72" i="16"/>
  <c r="LK72" i="16"/>
  <c r="LH72" i="16"/>
  <c r="LG72" i="16"/>
  <c r="LF72" i="16"/>
  <c r="LE72" i="16"/>
  <c r="LD72" i="16"/>
  <c r="LC72" i="16"/>
  <c r="LB72" i="16"/>
  <c r="KY72" i="16"/>
  <c r="KX72" i="16"/>
  <c r="KW72" i="16"/>
  <c r="KV72" i="16"/>
  <c r="KU72" i="16"/>
  <c r="KT72" i="16"/>
  <c r="KS72" i="16"/>
  <c r="KP72" i="16"/>
  <c r="KO72" i="16"/>
  <c r="KN72" i="16"/>
  <c r="KM72" i="16"/>
  <c r="KL72" i="16"/>
  <c r="KK72" i="16"/>
  <c r="KJ72" i="16"/>
  <c r="KG72" i="16"/>
  <c r="KF72" i="16"/>
  <c r="KE72" i="16"/>
  <c r="KD72" i="16"/>
  <c r="KC72" i="16"/>
  <c r="KB72" i="16"/>
  <c r="KA72" i="16"/>
  <c r="JX72" i="16"/>
  <c r="JW72" i="16"/>
  <c r="JV72" i="16"/>
  <c r="JU72" i="16"/>
  <c r="JT72" i="16"/>
  <c r="JS72" i="16"/>
  <c r="JR72" i="16"/>
  <c r="JO72" i="16"/>
  <c r="JN72" i="16"/>
  <c r="JM72" i="16"/>
  <c r="JL72" i="16"/>
  <c r="JK72" i="16"/>
  <c r="JJ72" i="16"/>
  <c r="JI72" i="16"/>
  <c r="JF72" i="16"/>
  <c r="JE72" i="16"/>
  <c r="JD72" i="16"/>
  <c r="JC72" i="16"/>
  <c r="JB72" i="16"/>
  <c r="JA72" i="16"/>
  <c r="IZ72" i="16"/>
  <c r="IQ72" i="16"/>
  <c r="IP72" i="16"/>
  <c r="IO72" i="16"/>
  <c r="IN72" i="16"/>
  <c r="IM72" i="16"/>
  <c r="IL72" i="16"/>
  <c r="IK72" i="16"/>
  <c r="IJ72" i="16"/>
  <c r="II72" i="16"/>
  <c r="IF72" i="16"/>
  <c r="IE72" i="16"/>
  <c r="ID72" i="16"/>
  <c r="IC72" i="16"/>
  <c r="IB72" i="16"/>
  <c r="IA72" i="16"/>
  <c r="HX72" i="16"/>
  <c r="HW72" i="16"/>
  <c r="HV72" i="16"/>
  <c r="HU72" i="16"/>
  <c r="HT72" i="16"/>
  <c r="HS72" i="16"/>
  <c r="HP72" i="16"/>
  <c r="HO72" i="16"/>
  <c r="HN72" i="16"/>
  <c r="HM72" i="16"/>
  <c r="HL72" i="16"/>
  <c r="HK72" i="16"/>
  <c r="HH72" i="16"/>
  <c r="HG72" i="16"/>
  <c r="HF72" i="16"/>
  <c r="HE72" i="16"/>
  <c r="HD72" i="16"/>
  <c r="HC72" i="16"/>
  <c r="GZ72" i="16"/>
  <c r="GY72" i="16"/>
  <c r="GX72" i="16"/>
  <c r="GW72" i="16"/>
  <c r="GV72" i="16"/>
  <c r="GU72" i="16"/>
  <c r="GR72" i="16"/>
  <c r="GQ72" i="16"/>
  <c r="GP72" i="16"/>
  <c r="GO72" i="16"/>
  <c r="GN72" i="16"/>
  <c r="GM72" i="16"/>
  <c r="GJ72" i="16"/>
  <c r="GI72" i="16"/>
  <c r="GH72" i="16"/>
  <c r="GG72" i="16"/>
  <c r="GF72" i="16"/>
  <c r="GE72" i="16"/>
  <c r="GB72" i="16"/>
  <c r="GA72" i="16"/>
  <c r="FZ72" i="16"/>
  <c r="FY72" i="16"/>
  <c r="FX72" i="16"/>
  <c r="FW72" i="16"/>
  <c r="FT72" i="16"/>
  <c r="FS72" i="16"/>
  <c r="FR72" i="16"/>
  <c r="FQ72" i="16"/>
  <c r="FP72" i="16"/>
  <c r="FO72" i="16"/>
  <c r="FL72" i="16"/>
  <c r="FK72" i="16"/>
  <c r="FJ72" i="16"/>
  <c r="FI72" i="16"/>
  <c r="FH72" i="16"/>
  <c r="FG72" i="16"/>
  <c r="FD72" i="16"/>
  <c r="FC72" i="16"/>
  <c r="FB72" i="16"/>
  <c r="FA72" i="16"/>
  <c r="EZ72" i="16"/>
  <c r="EY72" i="16"/>
  <c r="EV72" i="16"/>
  <c r="EU72" i="16"/>
  <c r="ET72" i="16"/>
  <c r="ES72" i="16"/>
  <c r="ER72" i="16"/>
  <c r="EQ72" i="16"/>
  <c r="EN72" i="16"/>
  <c r="EM72" i="16"/>
  <c r="EL72" i="16"/>
  <c r="EK72" i="16"/>
  <c r="EJ72" i="16"/>
  <c r="EI72" i="16"/>
  <c r="EF72" i="16"/>
  <c r="EE72" i="16"/>
  <c r="ED72" i="16"/>
  <c r="EC72" i="16"/>
  <c r="EB72" i="16"/>
  <c r="EA72" i="16"/>
  <c r="DX72" i="16"/>
  <c r="DW72" i="16"/>
  <c r="DV72" i="16"/>
  <c r="DU72" i="16"/>
  <c r="DT72" i="16"/>
  <c r="DS72" i="16"/>
  <c r="DP72" i="16"/>
  <c r="DO72" i="16"/>
  <c r="DN72" i="16"/>
  <c r="DM72" i="16"/>
  <c r="DL72" i="16"/>
  <c r="DK72" i="16"/>
  <c r="DG72" i="16"/>
  <c r="DE72" i="16"/>
  <c r="DD72" i="16"/>
  <c r="DC72" i="16"/>
  <c r="DA72" i="16"/>
  <c r="CZ72" i="16"/>
  <c r="CY72" i="16"/>
  <c r="CX72" i="16"/>
  <c r="CU72" i="16"/>
  <c r="CT72" i="16"/>
  <c r="CS72" i="16"/>
  <c r="CR72" i="16"/>
  <c r="CO72" i="16"/>
  <c r="CN72" i="16"/>
  <c r="CM72" i="16"/>
  <c r="CL72" i="16"/>
  <c r="CI72" i="16"/>
  <c r="CH72" i="16"/>
  <c r="CG72" i="16"/>
  <c r="CF72" i="16"/>
  <c r="CC72" i="16"/>
  <c r="CB72" i="16"/>
  <c r="CA72" i="16"/>
  <c r="BZ72" i="16"/>
  <c r="BW72" i="16"/>
  <c r="BV72" i="16"/>
  <c r="BU72" i="16"/>
  <c r="BT72" i="16"/>
  <c r="BQ72" i="16"/>
  <c r="BP72" i="16"/>
  <c r="BO72" i="16"/>
  <c r="BN72" i="16"/>
  <c r="BK72" i="16"/>
  <c r="BJ72" i="16"/>
  <c r="BI72" i="16"/>
  <c r="BH72" i="16"/>
  <c r="BE72" i="16"/>
  <c r="BD72" i="16"/>
  <c r="BC72" i="16"/>
  <c r="BB72" i="16"/>
  <c r="AY72" i="16"/>
  <c r="AX72" i="16"/>
  <c r="AW72" i="16"/>
  <c r="AV72" i="16"/>
  <c r="AS72" i="16"/>
  <c r="AR72" i="16"/>
  <c r="AQ72" i="16"/>
  <c r="AP72" i="16"/>
  <c r="AM72" i="16"/>
  <c r="AL72" i="16"/>
  <c r="AK72" i="16"/>
  <c r="AJ72" i="16"/>
  <c r="AG72" i="16"/>
  <c r="AF72" i="16"/>
  <c r="AE72" i="16"/>
  <c r="AD72" i="16"/>
  <c r="AA72" i="16"/>
  <c r="Z72" i="16"/>
  <c r="Y72" i="16"/>
  <c r="X72" i="16"/>
  <c r="U72" i="16"/>
  <c r="T72" i="16"/>
  <c r="S72" i="16"/>
  <c r="R72" i="16"/>
  <c r="O72" i="16"/>
  <c r="N72" i="16"/>
  <c r="M72" i="16"/>
  <c r="L72" i="16"/>
  <c r="I72" i="16"/>
  <c r="H72" i="16"/>
  <c r="G72" i="16"/>
  <c r="F72" i="16"/>
  <c r="OW71" i="16"/>
  <c r="OV71" i="16"/>
  <c r="OU71" i="16"/>
  <c r="OT71" i="16"/>
  <c r="OS71" i="16"/>
  <c r="OR71" i="16"/>
  <c r="OQ71" i="16"/>
  <c r="OP71" i="16"/>
  <c r="OO71" i="16"/>
  <c r="ON71" i="16"/>
  <c r="OK71" i="16"/>
  <c r="OJ71" i="16"/>
  <c r="OI71" i="16"/>
  <c r="OH71" i="16"/>
  <c r="OG71" i="16"/>
  <c r="OF71" i="16"/>
  <c r="OE71" i="16"/>
  <c r="OB71" i="16"/>
  <c r="OA71" i="16"/>
  <c r="NZ71" i="16"/>
  <c r="NY71" i="16"/>
  <c r="NX71" i="16"/>
  <c r="NW71" i="16"/>
  <c r="NV71" i="16"/>
  <c r="NS71" i="16"/>
  <c r="NR71" i="16"/>
  <c r="NQ71" i="16"/>
  <c r="NP71" i="16"/>
  <c r="NO71" i="16"/>
  <c r="NN71" i="16"/>
  <c r="NM71" i="16"/>
  <c r="NJ71" i="16"/>
  <c r="NI71" i="16"/>
  <c r="NH71" i="16"/>
  <c r="NG71" i="16"/>
  <c r="NF71" i="16"/>
  <c r="NE71" i="16"/>
  <c r="ND71" i="16"/>
  <c r="NA71" i="16"/>
  <c r="MZ71" i="16"/>
  <c r="MY71" i="16"/>
  <c r="MX71" i="16"/>
  <c r="MW71" i="16"/>
  <c r="MV71" i="16"/>
  <c r="MU71" i="16"/>
  <c r="MR71" i="16"/>
  <c r="MQ71" i="16"/>
  <c r="MP71" i="16"/>
  <c r="MO71" i="16"/>
  <c r="MN71" i="16"/>
  <c r="MM71" i="16"/>
  <c r="ML71" i="16"/>
  <c r="MI71" i="16"/>
  <c r="MH71" i="16"/>
  <c r="MG71" i="16"/>
  <c r="MF71" i="16"/>
  <c r="ME71" i="16"/>
  <c r="MD71" i="16"/>
  <c r="MC71" i="16"/>
  <c r="LZ71" i="16"/>
  <c r="LY71" i="16"/>
  <c r="LX71" i="16"/>
  <c r="LW71" i="16"/>
  <c r="LV71" i="16"/>
  <c r="LU71" i="16"/>
  <c r="LT71" i="16"/>
  <c r="LQ71" i="16"/>
  <c r="LP71" i="16"/>
  <c r="LO71" i="16"/>
  <c r="LN71" i="16"/>
  <c r="LM71" i="16"/>
  <c r="LL71" i="16"/>
  <c r="LK71" i="16"/>
  <c r="LH71" i="16"/>
  <c r="LG71" i="16"/>
  <c r="LF71" i="16"/>
  <c r="LE71" i="16"/>
  <c r="LD71" i="16"/>
  <c r="LC71" i="16"/>
  <c r="LB71" i="16"/>
  <c r="KY71" i="16"/>
  <c r="KX71" i="16"/>
  <c r="KW71" i="16"/>
  <c r="KV71" i="16"/>
  <c r="KU71" i="16"/>
  <c r="KT71" i="16"/>
  <c r="KS71" i="16"/>
  <c r="KP71" i="16"/>
  <c r="KO71" i="16"/>
  <c r="KN71" i="16"/>
  <c r="KM71" i="16"/>
  <c r="KL71" i="16"/>
  <c r="KK71" i="16"/>
  <c r="KJ71" i="16"/>
  <c r="KG71" i="16"/>
  <c r="KF71" i="16"/>
  <c r="KE71" i="16"/>
  <c r="KD71" i="16"/>
  <c r="KC71" i="16"/>
  <c r="KB71" i="16"/>
  <c r="KA71" i="16"/>
  <c r="JX71" i="16"/>
  <c r="JW71" i="16"/>
  <c r="JV71" i="16"/>
  <c r="JU71" i="16"/>
  <c r="JT71" i="16"/>
  <c r="JS71" i="16"/>
  <c r="JR71" i="16"/>
  <c r="JO71" i="16"/>
  <c r="JN71" i="16"/>
  <c r="JM71" i="16"/>
  <c r="JL71" i="16"/>
  <c r="JK71" i="16"/>
  <c r="JJ71" i="16"/>
  <c r="JI71" i="16"/>
  <c r="JF71" i="16"/>
  <c r="JE71" i="16"/>
  <c r="JD71" i="16"/>
  <c r="JC71" i="16"/>
  <c r="JB71" i="16"/>
  <c r="JA71" i="16"/>
  <c r="IZ71" i="16"/>
  <c r="IQ71" i="16"/>
  <c r="IP71" i="16"/>
  <c r="IO71" i="16"/>
  <c r="IN71" i="16"/>
  <c r="IM71" i="16"/>
  <c r="IL71" i="16"/>
  <c r="IK71" i="16"/>
  <c r="IJ71" i="16"/>
  <c r="II71" i="16"/>
  <c r="IF71" i="16"/>
  <c r="IE71" i="16"/>
  <c r="ID71" i="16"/>
  <c r="IC71" i="16"/>
  <c r="IB71" i="16"/>
  <c r="IA71" i="16"/>
  <c r="HX71" i="16"/>
  <c r="HW71" i="16"/>
  <c r="HV71" i="16"/>
  <c r="HU71" i="16"/>
  <c r="HT71" i="16"/>
  <c r="HS71" i="16"/>
  <c r="HP71" i="16"/>
  <c r="HO71" i="16"/>
  <c r="HN71" i="16"/>
  <c r="HM71" i="16"/>
  <c r="HL71" i="16"/>
  <c r="HK71" i="16"/>
  <c r="HH71" i="16"/>
  <c r="HG71" i="16"/>
  <c r="HF71" i="16"/>
  <c r="HE71" i="16"/>
  <c r="HD71" i="16"/>
  <c r="HC71" i="16"/>
  <c r="GZ71" i="16"/>
  <c r="GY71" i="16"/>
  <c r="GX71" i="16"/>
  <c r="GW71" i="16"/>
  <c r="GV71" i="16"/>
  <c r="GU71" i="16"/>
  <c r="GR71" i="16"/>
  <c r="GQ71" i="16"/>
  <c r="GP71" i="16"/>
  <c r="GO71" i="16"/>
  <c r="GN71" i="16"/>
  <c r="GM71" i="16"/>
  <c r="GJ71" i="16"/>
  <c r="GI71" i="16"/>
  <c r="GH71" i="16"/>
  <c r="GG71" i="16"/>
  <c r="GF71" i="16"/>
  <c r="GE71" i="16"/>
  <c r="GB71" i="16"/>
  <c r="GA71" i="16"/>
  <c r="FZ71" i="16"/>
  <c r="FY71" i="16"/>
  <c r="FX71" i="16"/>
  <c r="FW71" i="16"/>
  <c r="FT71" i="16"/>
  <c r="FS71" i="16"/>
  <c r="FR71" i="16"/>
  <c r="FQ71" i="16"/>
  <c r="FP71" i="16"/>
  <c r="FO71" i="16"/>
  <c r="FL71" i="16"/>
  <c r="FK71" i="16"/>
  <c r="FJ71" i="16"/>
  <c r="FI71" i="16"/>
  <c r="FH71" i="16"/>
  <c r="FG71" i="16"/>
  <c r="FD71" i="16"/>
  <c r="FC71" i="16"/>
  <c r="FB71" i="16"/>
  <c r="FA71" i="16"/>
  <c r="EZ71" i="16"/>
  <c r="EY71" i="16"/>
  <c r="EV71" i="16"/>
  <c r="EU71" i="16"/>
  <c r="ET71" i="16"/>
  <c r="ES71" i="16"/>
  <c r="ER71" i="16"/>
  <c r="EQ71" i="16"/>
  <c r="EN71" i="16"/>
  <c r="EM71" i="16"/>
  <c r="EL71" i="16"/>
  <c r="EK71" i="16"/>
  <c r="EJ71" i="16"/>
  <c r="EI71" i="16"/>
  <c r="EF71" i="16"/>
  <c r="EE71" i="16"/>
  <c r="ED71" i="16"/>
  <c r="EC71" i="16"/>
  <c r="EB71" i="16"/>
  <c r="EA71" i="16"/>
  <c r="DX71" i="16"/>
  <c r="DW71" i="16"/>
  <c r="DV71" i="16"/>
  <c r="DU71" i="16"/>
  <c r="DT71" i="16"/>
  <c r="DS71" i="16"/>
  <c r="DP71" i="16"/>
  <c r="DO71" i="16"/>
  <c r="DN71" i="16"/>
  <c r="DM71" i="16"/>
  <c r="DL71" i="16"/>
  <c r="DK71" i="16"/>
  <c r="DG71" i="16"/>
  <c r="DE71" i="16"/>
  <c r="DD71" i="16"/>
  <c r="DC71" i="16"/>
  <c r="DA71" i="16"/>
  <c r="CZ71" i="16"/>
  <c r="CY71" i="16"/>
  <c r="CX71" i="16"/>
  <c r="CU71" i="16"/>
  <c r="CT71" i="16"/>
  <c r="CS71" i="16"/>
  <c r="CR71" i="16"/>
  <c r="CO71" i="16"/>
  <c r="CN71" i="16"/>
  <c r="CM71" i="16"/>
  <c r="CL71" i="16"/>
  <c r="CI71" i="16"/>
  <c r="CH71" i="16"/>
  <c r="CG71" i="16"/>
  <c r="CF71" i="16"/>
  <c r="CC71" i="16"/>
  <c r="CB71" i="16"/>
  <c r="CA71" i="16"/>
  <c r="BZ71" i="16"/>
  <c r="BW71" i="16"/>
  <c r="BV71" i="16"/>
  <c r="BU71" i="16"/>
  <c r="BT71" i="16"/>
  <c r="BQ71" i="16"/>
  <c r="BP71" i="16"/>
  <c r="BO71" i="16"/>
  <c r="BN71" i="16"/>
  <c r="BK71" i="16"/>
  <c r="BJ71" i="16"/>
  <c r="BI71" i="16"/>
  <c r="BH71" i="16"/>
  <c r="BE71" i="16"/>
  <c r="BD71" i="16"/>
  <c r="BC71" i="16"/>
  <c r="BB71" i="16"/>
  <c r="AY71" i="16"/>
  <c r="AX71" i="16"/>
  <c r="AW71" i="16"/>
  <c r="AV71" i="16"/>
  <c r="AS71" i="16"/>
  <c r="AR71" i="16"/>
  <c r="AQ71" i="16"/>
  <c r="AP71" i="16"/>
  <c r="AM71" i="16"/>
  <c r="AL71" i="16"/>
  <c r="AK71" i="16"/>
  <c r="AJ71" i="16"/>
  <c r="AG71" i="16"/>
  <c r="AF71" i="16"/>
  <c r="AE71" i="16"/>
  <c r="AD71" i="16"/>
  <c r="AA71" i="16"/>
  <c r="Z71" i="16"/>
  <c r="Y71" i="16"/>
  <c r="X71" i="16"/>
  <c r="U71" i="16"/>
  <c r="T71" i="16"/>
  <c r="S71" i="16"/>
  <c r="R71" i="16"/>
  <c r="O71" i="16"/>
  <c r="N71" i="16"/>
  <c r="M71" i="16"/>
  <c r="L71" i="16"/>
  <c r="I71" i="16"/>
  <c r="H71" i="16"/>
  <c r="G71" i="16"/>
  <c r="F71" i="16"/>
  <c r="OW70" i="16"/>
  <c r="OV70" i="16"/>
  <c r="OU70" i="16"/>
  <c r="OT70" i="16"/>
  <c r="OS70" i="16"/>
  <c r="OR70" i="16"/>
  <c r="OQ70" i="16"/>
  <c r="OP70" i="16"/>
  <c r="OO70" i="16"/>
  <c r="ON70" i="16"/>
  <c r="OK70" i="16"/>
  <c r="OJ70" i="16"/>
  <c r="OI70" i="16"/>
  <c r="OH70" i="16"/>
  <c r="OG70" i="16"/>
  <c r="OF70" i="16"/>
  <c r="OE70" i="16"/>
  <c r="OB70" i="16"/>
  <c r="OA70" i="16"/>
  <c r="NZ70" i="16"/>
  <c r="NY70" i="16"/>
  <c r="NX70" i="16"/>
  <c r="NW70" i="16"/>
  <c r="NV70" i="16"/>
  <c r="NS70" i="16"/>
  <c r="NR70" i="16"/>
  <c r="NQ70" i="16"/>
  <c r="NP70" i="16"/>
  <c r="NO70" i="16"/>
  <c r="NN70" i="16"/>
  <c r="NM70" i="16"/>
  <c r="NJ70" i="16"/>
  <c r="NI70" i="16"/>
  <c r="NH70" i="16"/>
  <c r="NG70" i="16"/>
  <c r="NF70" i="16"/>
  <c r="NE70" i="16"/>
  <c r="ND70" i="16"/>
  <c r="NA70" i="16"/>
  <c r="MZ70" i="16"/>
  <c r="MY70" i="16"/>
  <c r="MX70" i="16"/>
  <c r="MW70" i="16"/>
  <c r="MV70" i="16"/>
  <c r="MU70" i="16"/>
  <c r="MR70" i="16"/>
  <c r="MQ70" i="16"/>
  <c r="MP70" i="16"/>
  <c r="MO70" i="16"/>
  <c r="MN70" i="16"/>
  <c r="MM70" i="16"/>
  <c r="ML70" i="16"/>
  <c r="MI70" i="16"/>
  <c r="MH70" i="16"/>
  <c r="MG70" i="16"/>
  <c r="MF70" i="16"/>
  <c r="ME70" i="16"/>
  <c r="MD70" i="16"/>
  <c r="MC70" i="16"/>
  <c r="LZ70" i="16"/>
  <c r="LY70" i="16"/>
  <c r="LX70" i="16"/>
  <c r="LW70" i="16"/>
  <c r="LV70" i="16"/>
  <c r="LU70" i="16"/>
  <c r="LT70" i="16"/>
  <c r="LQ70" i="16"/>
  <c r="LP70" i="16"/>
  <c r="LO70" i="16"/>
  <c r="LN70" i="16"/>
  <c r="LM70" i="16"/>
  <c r="LL70" i="16"/>
  <c r="LK70" i="16"/>
  <c r="LH70" i="16"/>
  <c r="LG70" i="16"/>
  <c r="LF70" i="16"/>
  <c r="LE70" i="16"/>
  <c r="LD70" i="16"/>
  <c r="LC70" i="16"/>
  <c r="LB70" i="16"/>
  <c r="KY70" i="16"/>
  <c r="KX70" i="16"/>
  <c r="KW70" i="16"/>
  <c r="KV70" i="16"/>
  <c r="KU70" i="16"/>
  <c r="KT70" i="16"/>
  <c r="KS70" i="16"/>
  <c r="KP70" i="16"/>
  <c r="KO70" i="16"/>
  <c r="KN70" i="16"/>
  <c r="KM70" i="16"/>
  <c r="KL70" i="16"/>
  <c r="KK70" i="16"/>
  <c r="KJ70" i="16"/>
  <c r="KG70" i="16"/>
  <c r="KF70" i="16"/>
  <c r="KE70" i="16"/>
  <c r="KD70" i="16"/>
  <c r="KC70" i="16"/>
  <c r="KB70" i="16"/>
  <c r="KA70" i="16"/>
  <c r="JX70" i="16"/>
  <c r="JW70" i="16"/>
  <c r="JV70" i="16"/>
  <c r="JU70" i="16"/>
  <c r="JT70" i="16"/>
  <c r="JS70" i="16"/>
  <c r="JR70" i="16"/>
  <c r="JO70" i="16"/>
  <c r="JN70" i="16"/>
  <c r="JM70" i="16"/>
  <c r="JL70" i="16"/>
  <c r="JK70" i="16"/>
  <c r="JJ70" i="16"/>
  <c r="JI70" i="16"/>
  <c r="JF70" i="16"/>
  <c r="JE70" i="16"/>
  <c r="JD70" i="16"/>
  <c r="JC70" i="16"/>
  <c r="JB70" i="16"/>
  <c r="JA70" i="16"/>
  <c r="IZ70" i="16"/>
  <c r="IQ70" i="16"/>
  <c r="IP70" i="16"/>
  <c r="IO70" i="16"/>
  <c r="IN70" i="16"/>
  <c r="IM70" i="16"/>
  <c r="IL70" i="16"/>
  <c r="IK70" i="16"/>
  <c r="IJ70" i="16"/>
  <c r="II70" i="16"/>
  <c r="IF70" i="16"/>
  <c r="IE70" i="16"/>
  <c r="ID70" i="16"/>
  <c r="IC70" i="16"/>
  <c r="IB70" i="16"/>
  <c r="IA70" i="16"/>
  <c r="HX70" i="16"/>
  <c r="HW70" i="16"/>
  <c r="HV70" i="16"/>
  <c r="HU70" i="16"/>
  <c r="HT70" i="16"/>
  <c r="HS70" i="16"/>
  <c r="HP70" i="16"/>
  <c r="HO70" i="16"/>
  <c r="HN70" i="16"/>
  <c r="HM70" i="16"/>
  <c r="HL70" i="16"/>
  <c r="HK70" i="16"/>
  <c r="HH70" i="16"/>
  <c r="HG70" i="16"/>
  <c r="HF70" i="16"/>
  <c r="HE70" i="16"/>
  <c r="HD70" i="16"/>
  <c r="HC70" i="16"/>
  <c r="GZ70" i="16"/>
  <c r="GY70" i="16"/>
  <c r="GX70" i="16"/>
  <c r="GW70" i="16"/>
  <c r="GV70" i="16"/>
  <c r="GU70" i="16"/>
  <c r="GR70" i="16"/>
  <c r="GQ70" i="16"/>
  <c r="GP70" i="16"/>
  <c r="GO70" i="16"/>
  <c r="GN70" i="16"/>
  <c r="GM70" i="16"/>
  <c r="GJ70" i="16"/>
  <c r="GI70" i="16"/>
  <c r="GH70" i="16"/>
  <c r="GG70" i="16"/>
  <c r="GF70" i="16"/>
  <c r="GE70" i="16"/>
  <c r="GB70" i="16"/>
  <c r="GA70" i="16"/>
  <c r="FZ70" i="16"/>
  <c r="FY70" i="16"/>
  <c r="FX70" i="16"/>
  <c r="FW70" i="16"/>
  <c r="FT70" i="16"/>
  <c r="FS70" i="16"/>
  <c r="FR70" i="16"/>
  <c r="FQ70" i="16"/>
  <c r="FP70" i="16"/>
  <c r="FO70" i="16"/>
  <c r="FL70" i="16"/>
  <c r="FK70" i="16"/>
  <c r="FJ70" i="16"/>
  <c r="FI70" i="16"/>
  <c r="FH70" i="16"/>
  <c r="FG70" i="16"/>
  <c r="FD70" i="16"/>
  <c r="FC70" i="16"/>
  <c r="FB70" i="16"/>
  <c r="FA70" i="16"/>
  <c r="EZ70" i="16"/>
  <c r="EY70" i="16"/>
  <c r="EV70" i="16"/>
  <c r="EU70" i="16"/>
  <c r="ET70" i="16"/>
  <c r="ES70" i="16"/>
  <c r="ER70" i="16"/>
  <c r="EQ70" i="16"/>
  <c r="EN70" i="16"/>
  <c r="EM70" i="16"/>
  <c r="EL70" i="16"/>
  <c r="EK70" i="16"/>
  <c r="EJ70" i="16"/>
  <c r="EI70" i="16"/>
  <c r="EF70" i="16"/>
  <c r="EE70" i="16"/>
  <c r="ED70" i="16"/>
  <c r="EC70" i="16"/>
  <c r="EB70" i="16"/>
  <c r="EA70" i="16"/>
  <c r="DX70" i="16"/>
  <c r="DW70" i="16"/>
  <c r="DV70" i="16"/>
  <c r="DU70" i="16"/>
  <c r="DT70" i="16"/>
  <c r="DS70" i="16"/>
  <c r="DP70" i="16"/>
  <c r="DO70" i="16"/>
  <c r="DN70" i="16"/>
  <c r="DM70" i="16"/>
  <c r="DL70" i="16"/>
  <c r="DK70" i="16"/>
  <c r="DG70" i="16"/>
  <c r="DE70" i="16"/>
  <c r="DD70" i="16"/>
  <c r="DC70" i="16"/>
  <c r="DA70" i="16"/>
  <c r="CZ70" i="16"/>
  <c r="CY70" i="16"/>
  <c r="CX70" i="16"/>
  <c r="CU70" i="16"/>
  <c r="CT70" i="16"/>
  <c r="CS70" i="16"/>
  <c r="CR70" i="16"/>
  <c r="CO70" i="16"/>
  <c r="CN70" i="16"/>
  <c r="CM70" i="16"/>
  <c r="CL70" i="16"/>
  <c r="CI70" i="16"/>
  <c r="CH70" i="16"/>
  <c r="CG70" i="16"/>
  <c r="CF70" i="16"/>
  <c r="CC70" i="16"/>
  <c r="CB70" i="16"/>
  <c r="CA70" i="16"/>
  <c r="BZ70" i="16"/>
  <c r="BW70" i="16"/>
  <c r="BV70" i="16"/>
  <c r="BU70" i="16"/>
  <c r="BT70" i="16"/>
  <c r="BQ70" i="16"/>
  <c r="BP70" i="16"/>
  <c r="BO70" i="16"/>
  <c r="BN70" i="16"/>
  <c r="BK70" i="16"/>
  <c r="BJ70" i="16"/>
  <c r="BI70" i="16"/>
  <c r="BH70" i="16"/>
  <c r="BE70" i="16"/>
  <c r="BD70" i="16"/>
  <c r="BC70" i="16"/>
  <c r="BB70" i="16"/>
  <c r="AY70" i="16"/>
  <c r="AX70" i="16"/>
  <c r="AW70" i="16"/>
  <c r="AV70" i="16"/>
  <c r="AS70" i="16"/>
  <c r="AR70" i="16"/>
  <c r="AQ70" i="16"/>
  <c r="AP70" i="16"/>
  <c r="AM70" i="16"/>
  <c r="AL70" i="16"/>
  <c r="AK70" i="16"/>
  <c r="AJ70" i="16"/>
  <c r="AG70" i="16"/>
  <c r="AF70" i="16"/>
  <c r="AE70" i="16"/>
  <c r="AD70" i="16"/>
  <c r="AA70" i="16"/>
  <c r="Z70" i="16"/>
  <c r="Y70" i="16"/>
  <c r="X70" i="16"/>
  <c r="U70" i="16"/>
  <c r="T70" i="16"/>
  <c r="S70" i="16"/>
  <c r="R70" i="16"/>
  <c r="O70" i="16"/>
  <c r="N70" i="16"/>
  <c r="M70" i="16"/>
  <c r="L70" i="16"/>
  <c r="I70" i="16"/>
  <c r="H70" i="16"/>
  <c r="G70" i="16"/>
  <c r="F70" i="16"/>
  <c r="OW69" i="16"/>
  <c r="OV69" i="16"/>
  <c r="OU69" i="16"/>
  <c r="OT69" i="16"/>
  <c r="OS69" i="16"/>
  <c r="OR69" i="16"/>
  <c r="OQ69" i="16"/>
  <c r="OP69" i="16"/>
  <c r="OO69" i="16"/>
  <c r="ON69" i="16"/>
  <c r="OK69" i="16"/>
  <c r="OJ69" i="16"/>
  <c r="OI69" i="16"/>
  <c r="OH69" i="16"/>
  <c r="OG69" i="16"/>
  <c r="OF69" i="16"/>
  <c r="OE69" i="16"/>
  <c r="OB69" i="16"/>
  <c r="OA69" i="16"/>
  <c r="NZ69" i="16"/>
  <c r="NY69" i="16"/>
  <c r="NX69" i="16"/>
  <c r="NW69" i="16"/>
  <c r="NV69" i="16"/>
  <c r="NS69" i="16"/>
  <c r="NR69" i="16"/>
  <c r="NQ69" i="16"/>
  <c r="NP69" i="16"/>
  <c r="NO69" i="16"/>
  <c r="NN69" i="16"/>
  <c r="NM69" i="16"/>
  <c r="NJ69" i="16"/>
  <c r="NI69" i="16"/>
  <c r="NH69" i="16"/>
  <c r="NG69" i="16"/>
  <c r="NF69" i="16"/>
  <c r="NE69" i="16"/>
  <c r="ND69" i="16"/>
  <c r="NA69" i="16"/>
  <c r="MZ69" i="16"/>
  <c r="MY69" i="16"/>
  <c r="MX69" i="16"/>
  <c r="MW69" i="16"/>
  <c r="MV69" i="16"/>
  <c r="MU69" i="16"/>
  <c r="MR69" i="16"/>
  <c r="MQ69" i="16"/>
  <c r="MP69" i="16"/>
  <c r="MO69" i="16"/>
  <c r="MN69" i="16"/>
  <c r="MM69" i="16"/>
  <c r="ML69" i="16"/>
  <c r="MI69" i="16"/>
  <c r="MH69" i="16"/>
  <c r="MG69" i="16"/>
  <c r="MF69" i="16"/>
  <c r="ME69" i="16"/>
  <c r="MD69" i="16"/>
  <c r="MC69" i="16"/>
  <c r="LZ69" i="16"/>
  <c r="LY69" i="16"/>
  <c r="LX69" i="16"/>
  <c r="LW69" i="16"/>
  <c r="LV69" i="16"/>
  <c r="LU69" i="16"/>
  <c r="LT69" i="16"/>
  <c r="LQ69" i="16"/>
  <c r="LP69" i="16"/>
  <c r="LO69" i="16"/>
  <c r="LN69" i="16"/>
  <c r="LM69" i="16"/>
  <c r="LL69" i="16"/>
  <c r="LK69" i="16"/>
  <c r="LH69" i="16"/>
  <c r="LG69" i="16"/>
  <c r="LF69" i="16"/>
  <c r="LE69" i="16"/>
  <c r="LD69" i="16"/>
  <c r="LC69" i="16"/>
  <c r="LB69" i="16"/>
  <c r="KY69" i="16"/>
  <c r="KX69" i="16"/>
  <c r="KW69" i="16"/>
  <c r="KV69" i="16"/>
  <c r="KU69" i="16"/>
  <c r="KT69" i="16"/>
  <c r="KS69" i="16"/>
  <c r="KP69" i="16"/>
  <c r="KO69" i="16"/>
  <c r="KN69" i="16"/>
  <c r="KM69" i="16"/>
  <c r="KL69" i="16"/>
  <c r="KK69" i="16"/>
  <c r="KJ69" i="16"/>
  <c r="KG69" i="16"/>
  <c r="KF69" i="16"/>
  <c r="KE69" i="16"/>
  <c r="KD69" i="16"/>
  <c r="KC69" i="16"/>
  <c r="KB69" i="16"/>
  <c r="KA69" i="16"/>
  <c r="JX69" i="16"/>
  <c r="JW69" i="16"/>
  <c r="JV69" i="16"/>
  <c r="JU69" i="16"/>
  <c r="JT69" i="16"/>
  <c r="JS69" i="16"/>
  <c r="JR69" i="16"/>
  <c r="JO69" i="16"/>
  <c r="JN69" i="16"/>
  <c r="JM69" i="16"/>
  <c r="JL69" i="16"/>
  <c r="JK69" i="16"/>
  <c r="JJ69" i="16"/>
  <c r="JI69" i="16"/>
  <c r="JF69" i="16"/>
  <c r="JE69" i="16"/>
  <c r="JD69" i="16"/>
  <c r="JC69" i="16"/>
  <c r="JB69" i="16"/>
  <c r="JA69" i="16"/>
  <c r="IZ69" i="16"/>
  <c r="IQ69" i="16"/>
  <c r="IP69" i="16"/>
  <c r="IO69" i="16"/>
  <c r="IN69" i="16"/>
  <c r="IM69" i="16"/>
  <c r="IL69" i="16"/>
  <c r="IK69" i="16"/>
  <c r="IJ69" i="16"/>
  <c r="II69" i="16"/>
  <c r="IF69" i="16"/>
  <c r="IE69" i="16"/>
  <c r="ID69" i="16"/>
  <c r="IC69" i="16"/>
  <c r="IB69" i="16"/>
  <c r="IA69" i="16"/>
  <c r="HX69" i="16"/>
  <c r="HW69" i="16"/>
  <c r="HV69" i="16"/>
  <c r="HU69" i="16"/>
  <c r="HT69" i="16"/>
  <c r="HS69" i="16"/>
  <c r="HP69" i="16"/>
  <c r="HO69" i="16"/>
  <c r="HN69" i="16"/>
  <c r="HM69" i="16"/>
  <c r="HL69" i="16"/>
  <c r="HK69" i="16"/>
  <c r="HH69" i="16"/>
  <c r="HG69" i="16"/>
  <c r="HF69" i="16"/>
  <c r="HE69" i="16"/>
  <c r="HD69" i="16"/>
  <c r="HC69" i="16"/>
  <c r="GZ69" i="16"/>
  <c r="GY69" i="16"/>
  <c r="GX69" i="16"/>
  <c r="GW69" i="16"/>
  <c r="GV69" i="16"/>
  <c r="GU69" i="16"/>
  <c r="GR69" i="16"/>
  <c r="GQ69" i="16"/>
  <c r="GP69" i="16"/>
  <c r="GO69" i="16"/>
  <c r="GN69" i="16"/>
  <c r="GM69" i="16"/>
  <c r="GJ69" i="16"/>
  <c r="GI69" i="16"/>
  <c r="GH69" i="16"/>
  <c r="GG69" i="16"/>
  <c r="GF69" i="16"/>
  <c r="GE69" i="16"/>
  <c r="GB69" i="16"/>
  <c r="GA69" i="16"/>
  <c r="FZ69" i="16"/>
  <c r="FY69" i="16"/>
  <c r="FX69" i="16"/>
  <c r="FW69" i="16"/>
  <c r="FT69" i="16"/>
  <c r="FS69" i="16"/>
  <c r="FR69" i="16"/>
  <c r="FQ69" i="16"/>
  <c r="FP69" i="16"/>
  <c r="FO69" i="16"/>
  <c r="FL69" i="16"/>
  <c r="FK69" i="16"/>
  <c r="FJ69" i="16"/>
  <c r="FI69" i="16"/>
  <c r="FH69" i="16"/>
  <c r="FG69" i="16"/>
  <c r="FD69" i="16"/>
  <c r="FC69" i="16"/>
  <c r="FB69" i="16"/>
  <c r="FA69" i="16"/>
  <c r="EZ69" i="16"/>
  <c r="EY69" i="16"/>
  <c r="EV69" i="16"/>
  <c r="EU69" i="16"/>
  <c r="ET69" i="16"/>
  <c r="ES69" i="16"/>
  <c r="ER69" i="16"/>
  <c r="EQ69" i="16"/>
  <c r="EN69" i="16"/>
  <c r="EM69" i="16"/>
  <c r="EL69" i="16"/>
  <c r="EK69" i="16"/>
  <c r="EJ69" i="16"/>
  <c r="EI69" i="16"/>
  <c r="EF69" i="16"/>
  <c r="EE69" i="16"/>
  <c r="ED69" i="16"/>
  <c r="EC69" i="16"/>
  <c r="EB69" i="16"/>
  <c r="EA69" i="16"/>
  <c r="DX69" i="16"/>
  <c r="DW69" i="16"/>
  <c r="DV69" i="16"/>
  <c r="DU69" i="16"/>
  <c r="DT69" i="16"/>
  <c r="DS69" i="16"/>
  <c r="DP69" i="16"/>
  <c r="DO69" i="16"/>
  <c r="DN69" i="16"/>
  <c r="DM69" i="16"/>
  <c r="DL69" i="16"/>
  <c r="DK69" i="16"/>
  <c r="DG69" i="16"/>
  <c r="DE69" i="16"/>
  <c r="DD69" i="16"/>
  <c r="DC69" i="16"/>
  <c r="DA69" i="16"/>
  <c r="CZ69" i="16"/>
  <c r="CY69" i="16"/>
  <c r="CX69" i="16"/>
  <c r="CU69" i="16"/>
  <c r="CT69" i="16"/>
  <c r="CS69" i="16"/>
  <c r="CR69" i="16"/>
  <c r="CO69" i="16"/>
  <c r="CN69" i="16"/>
  <c r="CM69" i="16"/>
  <c r="CL69" i="16"/>
  <c r="CI69" i="16"/>
  <c r="CH69" i="16"/>
  <c r="CG69" i="16"/>
  <c r="CF69" i="16"/>
  <c r="CC69" i="16"/>
  <c r="CB69" i="16"/>
  <c r="CA69" i="16"/>
  <c r="BZ69" i="16"/>
  <c r="BW69" i="16"/>
  <c r="BV69" i="16"/>
  <c r="BU69" i="16"/>
  <c r="BT69" i="16"/>
  <c r="BQ69" i="16"/>
  <c r="BP69" i="16"/>
  <c r="BO69" i="16"/>
  <c r="BN69" i="16"/>
  <c r="BK69" i="16"/>
  <c r="BJ69" i="16"/>
  <c r="BI69" i="16"/>
  <c r="BH69" i="16"/>
  <c r="BE69" i="16"/>
  <c r="BD69" i="16"/>
  <c r="BC69" i="16"/>
  <c r="BB69" i="16"/>
  <c r="AY69" i="16"/>
  <c r="AX69" i="16"/>
  <c r="AW69" i="16"/>
  <c r="AV69" i="16"/>
  <c r="AS69" i="16"/>
  <c r="AR69" i="16"/>
  <c r="AQ69" i="16"/>
  <c r="AP69" i="16"/>
  <c r="AM69" i="16"/>
  <c r="AL69" i="16"/>
  <c r="AK69" i="16"/>
  <c r="AJ69" i="16"/>
  <c r="AG69" i="16"/>
  <c r="AF69" i="16"/>
  <c r="AE69" i="16"/>
  <c r="AD69" i="16"/>
  <c r="AA69" i="16"/>
  <c r="Z69" i="16"/>
  <c r="Y69" i="16"/>
  <c r="X69" i="16"/>
  <c r="U69" i="16"/>
  <c r="T69" i="16"/>
  <c r="S69" i="16"/>
  <c r="R69" i="16"/>
  <c r="O69" i="16"/>
  <c r="N69" i="16"/>
  <c r="M69" i="16"/>
  <c r="L69" i="16"/>
  <c r="I69" i="16"/>
  <c r="H69" i="16"/>
  <c r="G69" i="16"/>
  <c r="F69" i="16"/>
  <c r="OW68" i="16"/>
  <c r="OV68" i="16"/>
  <c r="OU68" i="16"/>
  <c r="OT68" i="16"/>
  <c r="OS68" i="16"/>
  <c r="OR68" i="16"/>
  <c r="OQ68" i="16"/>
  <c r="OP68" i="16"/>
  <c r="OO68" i="16"/>
  <c r="ON68" i="16"/>
  <c r="OK68" i="16"/>
  <c r="OJ68" i="16"/>
  <c r="OI68" i="16"/>
  <c r="OH68" i="16"/>
  <c r="OG68" i="16"/>
  <c r="OF68" i="16"/>
  <c r="OE68" i="16"/>
  <c r="OB68" i="16"/>
  <c r="OA68" i="16"/>
  <c r="NZ68" i="16"/>
  <c r="NY68" i="16"/>
  <c r="NX68" i="16"/>
  <c r="NW68" i="16"/>
  <c r="NV68" i="16"/>
  <c r="NS68" i="16"/>
  <c r="NR68" i="16"/>
  <c r="NQ68" i="16"/>
  <c r="NP68" i="16"/>
  <c r="NO68" i="16"/>
  <c r="NN68" i="16"/>
  <c r="NM68" i="16"/>
  <c r="NJ68" i="16"/>
  <c r="NI68" i="16"/>
  <c r="NH68" i="16"/>
  <c r="NG68" i="16"/>
  <c r="NF68" i="16"/>
  <c r="NE68" i="16"/>
  <c r="ND68" i="16"/>
  <c r="NA68" i="16"/>
  <c r="MZ68" i="16"/>
  <c r="MY68" i="16"/>
  <c r="MX68" i="16"/>
  <c r="MW68" i="16"/>
  <c r="MV68" i="16"/>
  <c r="MU68" i="16"/>
  <c r="MR68" i="16"/>
  <c r="MQ68" i="16"/>
  <c r="MP68" i="16"/>
  <c r="MO68" i="16"/>
  <c r="MN68" i="16"/>
  <c r="MM68" i="16"/>
  <c r="ML68" i="16"/>
  <c r="MI68" i="16"/>
  <c r="MH68" i="16"/>
  <c r="MG68" i="16"/>
  <c r="MF68" i="16"/>
  <c r="ME68" i="16"/>
  <c r="MD68" i="16"/>
  <c r="MC68" i="16"/>
  <c r="LZ68" i="16"/>
  <c r="LY68" i="16"/>
  <c r="LX68" i="16"/>
  <c r="LW68" i="16"/>
  <c r="LV68" i="16"/>
  <c r="LU68" i="16"/>
  <c r="LT68" i="16"/>
  <c r="LQ68" i="16"/>
  <c r="LP68" i="16"/>
  <c r="LO68" i="16"/>
  <c r="LN68" i="16"/>
  <c r="LM68" i="16"/>
  <c r="LL68" i="16"/>
  <c r="LK68" i="16"/>
  <c r="LH68" i="16"/>
  <c r="LG68" i="16"/>
  <c r="LF68" i="16"/>
  <c r="LE68" i="16"/>
  <c r="LD68" i="16"/>
  <c r="LC68" i="16"/>
  <c r="LB68" i="16"/>
  <c r="KY68" i="16"/>
  <c r="KX68" i="16"/>
  <c r="KW68" i="16"/>
  <c r="KV68" i="16"/>
  <c r="KU68" i="16"/>
  <c r="KT68" i="16"/>
  <c r="KS68" i="16"/>
  <c r="KP68" i="16"/>
  <c r="KO68" i="16"/>
  <c r="KN68" i="16"/>
  <c r="KM68" i="16"/>
  <c r="KL68" i="16"/>
  <c r="KK68" i="16"/>
  <c r="KJ68" i="16"/>
  <c r="KG68" i="16"/>
  <c r="KF68" i="16"/>
  <c r="KE68" i="16"/>
  <c r="KD68" i="16"/>
  <c r="KC68" i="16"/>
  <c r="KB68" i="16"/>
  <c r="KA68" i="16"/>
  <c r="JX68" i="16"/>
  <c r="JW68" i="16"/>
  <c r="JV68" i="16"/>
  <c r="JU68" i="16"/>
  <c r="JT68" i="16"/>
  <c r="JS68" i="16"/>
  <c r="JR68" i="16"/>
  <c r="JO68" i="16"/>
  <c r="JN68" i="16"/>
  <c r="JM68" i="16"/>
  <c r="JL68" i="16"/>
  <c r="JK68" i="16"/>
  <c r="JJ68" i="16"/>
  <c r="JI68" i="16"/>
  <c r="JF68" i="16"/>
  <c r="JE68" i="16"/>
  <c r="JD68" i="16"/>
  <c r="JC68" i="16"/>
  <c r="JB68" i="16"/>
  <c r="JA68" i="16"/>
  <c r="IZ68" i="16"/>
  <c r="IQ68" i="16"/>
  <c r="IP68" i="16"/>
  <c r="IO68" i="16"/>
  <c r="IN68" i="16"/>
  <c r="IM68" i="16"/>
  <c r="IL68" i="16"/>
  <c r="IK68" i="16"/>
  <c r="IJ68" i="16"/>
  <c r="II68" i="16"/>
  <c r="IF68" i="16"/>
  <c r="IE68" i="16"/>
  <c r="ID68" i="16"/>
  <c r="IC68" i="16"/>
  <c r="IB68" i="16"/>
  <c r="IA68" i="16"/>
  <c r="HX68" i="16"/>
  <c r="HW68" i="16"/>
  <c r="HV68" i="16"/>
  <c r="HU68" i="16"/>
  <c r="HT68" i="16"/>
  <c r="HS68" i="16"/>
  <c r="HP68" i="16"/>
  <c r="HO68" i="16"/>
  <c r="HN68" i="16"/>
  <c r="HM68" i="16"/>
  <c r="HL68" i="16"/>
  <c r="HK68" i="16"/>
  <c r="HH68" i="16"/>
  <c r="HG68" i="16"/>
  <c r="HF68" i="16"/>
  <c r="HE68" i="16"/>
  <c r="HD68" i="16"/>
  <c r="HC68" i="16"/>
  <c r="GZ68" i="16"/>
  <c r="GY68" i="16"/>
  <c r="GX68" i="16"/>
  <c r="GW68" i="16"/>
  <c r="GV68" i="16"/>
  <c r="GU68" i="16"/>
  <c r="GR68" i="16"/>
  <c r="GQ68" i="16"/>
  <c r="GP68" i="16"/>
  <c r="GO68" i="16"/>
  <c r="GN68" i="16"/>
  <c r="GM68" i="16"/>
  <c r="GJ68" i="16"/>
  <c r="GI68" i="16"/>
  <c r="GH68" i="16"/>
  <c r="GG68" i="16"/>
  <c r="GF68" i="16"/>
  <c r="GE68" i="16"/>
  <c r="GB68" i="16"/>
  <c r="GA68" i="16"/>
  <c r="FZ68" i="16"/>
  <c r="FY68" i="16"/>
  <c r="FX68" i="16"/>
  <c r="FW68" i="16"/>
  <c r="FT68" i="16"/>
  <c r="FS68" i="16"/>
  <c r="FR68" i="16"/>
  <c r="FQ68" i="16"/>
  <c r="FP68" i="16"/>
  <c r="FO68" i="16"/>
  <c r="FL68" i="16"/>
  <c r="FK68" i="16"/>
  <c r="FJ68" i="16"/>
  <c r="FI68" i="16"/>
  <c r="FH68" i="16"/>
  <c r="FG68" i="16"/>
  <c r="FD68" i="16"/>
  <c r="FC68" i="16"/>
  <c r="FB68" i="16"/>
  <c r="FA68" i="16"/>
  <c r="EZ68" i="16"/>
  <c r="EY68" i="16"/>
  <c r="EV68" i="16"/>
  <c r="EU68" i="16"/>
  <c r="ET68" i="16"/>
  <c r="ES68" i="16"/>
  <c r="ER68" i="16"/>
  <c r="EQ68" i="16"/>
  <c r="EN68" i="16"/>
  <c r="EM68" i="16"/>
  <c r="EL68" i="16"/>
  <c r="EK68" i="16"/>
  <c r="EJ68" i="16"/>
  <c r="EI68" i="16"/>
  <c r="EF68" i="16"/>
  <c r="EE68" i="16"/>
  <c r="ED68" i="16"/>
  <c r="EC68" i="16"/>
  <c r="EB68" i="16"/>
  <c r="EA68" i="16"/>
  <c r="DX68" i="16"/>
  <c r="DW68" i="16"/>
  <c r="DV68" i="16"/>
  <c r="DU68" i="16"/>
  <c r="DT68" i="16"/>
  <c r="DS68" i="16"/>
  <c r="DP68" i="16"/>
  <c r="DO68" i="16"/>
  <c r="DN68" i="16"/>
  <c r="DM68" i="16"/>
  <c r="DL68" i="16"/>
  <c r="DK68" i="16"/>
  <c r="DG68" i="16"/>
  <c r="DE68" i="16"/>
  <c r="DD68" i="16"/>
  <c r="DC68" i="16"/>
  <c r="DA68" i="16"/>
  <c r="CZ68" i="16"/>
  <c r="CY68" i="16"/>
  <c r="CX68" i="16"/>
  <c r="CU68" i="16"/>
  <c r="CT68" i="16"/>
  <c r="CS68" i="16"/>
  <c r="CR68" i="16"/>
  <c r="CO68" i="16"/>
  <c r="CN68" i="16"/>
  <c r="CM68" i="16"/>
  <c r="CL68" i="16"/>
  <c r="CI68" i="16"/>
  <c r="CH68" i="16"/>
  <c r="CG68" i="16"/>
  <c r="CF68" i="16"/>
  <c r="CC68" i="16"/>
  <c r="CB68" i="16"/>
  <c r="CA68" i="16"/>
  <c r="BZ68" i="16"/>
  <c r="BW68" i="16"/>
  <c r="BV68" i="16"/>
  <c r="BU68" i="16"/>
  <c r="BT68" i="16"/>
  <c r="BQ68" i="16"/>
  <c r="BP68" i="16"/>
  <c r="BO68" i="16"/>
  <c r="BN68" i="16"/>
  <c r="BK68" i="16"/>
  <c r="BJ68" i="16"/>
  <c r="BI68" i="16"/>
  <c r="BH68" i="16"/>
  <c r="BE68" i="16"/>
  <c r="BD68" i="16"/>
  <c r="BC68" i="16"/>
  <c r="BB68" i="16"/>
  <c r="AY68" i="16"/>
  <c r="AX68" i="16"/>
  <c r="AW68" i="16"/>
  <c r="AV68" i="16"/>
  <c r="AS68" i="16"/>
  <c r="AR68" i="16"/>
  <c r="AQ68" i="16"/>
  <c r="AP68" i="16"/>
  <c r="AM68" i="16"/>
  <c r="AL68" i="16"/>
  <c r="AK68" i="16"/>
  <c r="AJ68" i="16"/>
  <c r="AG68" i="16"/>
  <c r="AF68" i="16"/>
  <c r="AE68" i="16"/>
  <c r="AD68" i="16"/>
  <c r="AA68" i="16"/>
  <c r="Z68" i="16"/>
  <c r="Y68" i="16"/>
  <c r="X68" i="16"/>
  <c r="U68" i="16"/>
  <c r="T68" i="16"/>
  <c r="S68" i="16"/>
  <c r="R68" i="16"/>
  <c r="O68" i="16"/>
  <c r="N68" i="16"/>
  <c r="M68" i="16"/>
  <c r="L68" i="16"/>
  <c r="I68" i="16"/>
  <c r="H68" i="16"/>
  <c r="G68" i="16"/>
  <c r="F68" i="16"/>
  <c r="OW67" i="16"/>
  <c r="OV67" i="16"/>
  <c r="OU67" i="16"/>
  <c r="OT67" i="16"/>
  <c r="OS67" i="16"/>
  <c r="OR67" i="16"/>
  <c r="OQ67" i="16"/>
  <c r="OP67" i="16"/>
  <c r="OO67" i="16"/>
  <c r="ON67" i="16"/>
  <c r="OK67" i="16"/>
  <c r="OJ67" i="16"/>
  <c r="OI67" i="16"/>
  <c r="OH67" i="16"/>
  <c r="OG67" i="16"/>
  <c r="OF67" i="16"/>
  <c r="OE67" i="16"/>
  <c r="OB67" i="16"/>
  <c r="OA67" i="16"/>
  <c r="NZ67" i="16"/>
  <c r="NY67" i="16"/>
  <c r="NX67" i="16"/>
  <c r="NW67" i="16"/>
  <c r="NV67" i="16"/>
  <c r="NS67" i="16"/>
  <c r="NR67" i="16"/>
  <c r="NQ67" i="16"/>
  <c r="NP67" i="16"/>
  <c r="NO67" i="16"/>
  <c r="NN67" i="16"/>
  <c r="NM67" i="16"/>
  <c r="NJ67" i="16"/>
  <c r="NI67" i="16"/>
  <c r="NH67" i="16"/>
  <c r="NG67" i="16"/>
  <c r="NF67" i="16"/>
  <c r="NE67" i="16"/>
  <c r="ND67" i="16"/>
  <c r="NA67" i="16"/>
  <c r="MZ67" i="16"/>
  <c r="MY67" i="16"/>
  <c r="MX67" i="16"/>
  <c r="MW67" i="16"/>
  <c r="MV67" i="16"/>
  <c r="MU67" i="16"/>
  <c r="MR67" i="16"/>
  <c r="MQ67" i="16"/>
  <c r="MP67" i="16"/>
  <c r="MO67" i="16"/>
  <c r="MN67" i="16"/>
  <c r="MM67" i="16"/>
  <c r="ML67" i="16"/>
  <c r="MI67" i="16"/>
  <c r="MH67" i="16"/>
  <c r="MG67" i="16"/>
  <c r="MF67" i="16"/>
  <c r="ME67" i="16"/>
  <c r="MD67" i="16"/>
  <c r="MC67" i="16"/>
  <c r="LZ67" i="16"/>
  <c r="LY67" i="16"/>
  <c r="LX67" i="16"/>
  <c r="LW67" i="16"/>
  <c r="LV67" i="16"/>
  <c r="LU67" i="16"/>
  <c r="LT67" i="16"/>
  <c r="LQ67" i="16"/>
  <c r="LP67" i="16"/>
  <c r="LO67" i="16"/>
  <c r="LN67" i="16"/>
  <c r="LM67" i="16"/>
  <c r="LL67" i="16"/>
  <c r="LK67" i="16"/>
  <c r="LH67" i="16"/>
  <c r="LG67" i="16"/>
  <c r="LF67" i="16"/>
  <c r="LE67" i="16"/>
  <c r="LD67" i="16"/>
  <c r="LC67" i="16"/>
  <c r="LB67" i="16"/>
  <c r="KY67" i="16"/>
  <c r="KX67" i="16"/>
  <c r="KW67" i="16"/>
  <c r="KV67" i="16"/>
  <c r="KU67" i="16"/>
  <c r="KT67" i="16"/>
  <c r="KS67" i="16"/>
  <c r="KP67" i="16"/>
  <c r="KO67" i="16"/>
  <c r="KN67" i="16"/>
  <c r="KM67" i="16"/>
  <c r="KL67" i="16"/>
  <c r="KK67" i="16"/>
  <c r="KJ67" i="16"/>
  <c r="KG67" i="16"/>
  <c r="KF67" i="16"/>
  <c r="KE67" i="16"/>
  <c r="KD67" i="16"/>
  <c r="KC67" i="16"/>
  <c r="KB67" i="16"/>
  <c r="KA67" i="16"/>
  <c r="JX67" i="16"/>
  <c r="JW67" i="16"/>
  <c r="JV67" i="16"/>
  <c r="JU67" i="16"/>
  <c r="JT67" i="16"/>
  <c r="JS67" i="16"/>
  <c r="JR67" i="16"/>
  <c r="JO67" i="16"/>
  <c r="JN67" i="16"/>
  <c r="JM67" i="16"/>
  <c r="JL67" i="16"/>
  <c r="JK67" i="16"/>
  <c r="JJ67" i="16"/>
  <c r="JI67" i="16"/>
  <c r="JF67" i="16"/>
  <c r="JE67" i="16"/>
  <c r="JD67" i="16"/>
  <c r="JC67" i="16"/>
  <c r="JB67" i="16"/>
  <c r="JA67" i="16"/>
  <c r="IZ67" i="16"/>
  <c r="IQ67" i="16"/>
  <c r="IP67" i="16"/>
  <c r="IO67" i="16"/>
  <c r="IN67" i="16"/>
  <c r="IM67" i="16"/>
  <c r="IL67" i="16"/>
  <c r="IK67" i="16"/>
  <c r="IJ67" i="16"/>
  <c r="II67" i="16"/>
  <c r="IF67" i="16"/>
  <c r="IE67" i="16"/>
  <c r="ID67" i="16"/>
  <c r="IC67" i="16"/>
  <c r="IB67" i="16"/>
  <c r="IA67" i="16"/>
  <c r="HX67" i="16"/>
  <c r="HW67" i="16"/>
  <c r="HV67" i="16"/>
  <c r="HU67" i="16"/>
  <c r="HT67" i="16"/>
  <c r="HS67" i="16"/>
  <c r="HP67" i="16"/>
  <c r="HO67" i="16"/>
  <c r="HN67" i="16"/>
  <c r="HM67" i="16"/>
  <c r="HL67" i="16"/>
  <c r="HK67" i="16"/>
  <c r="HH67" i="16"/>
  <c r="HG67" i="16"/>
  <c r="HF67" i="16"/>
  <c r="HE67" i="16"/>
  <c r="HD67" i="16"/>
  <c r="HC67" i="16"/>
  <c r="GZ67" i="16"/>
  <c r="GY67" i="16"/>
  <c r="GX67" i="16"/>
  <c r="GW67" i="16"/>
  <c r="GV67" i="16"/>
  <c r="GU67" i="16"/>
  <c r="GR67" i="16"/>
  <c r="GQ67" i="16"/>
  <c r="GP67" i="16"/>
  <c r="GO67" i="16"/>
  <c r="GN67" i="16"/>
  <c r="GM67" i="16"/>
  <c r="GJ67" i="16"/>
  <c r="GI67" i="16"/>
  <c r="GH67" i="16"/>
  <c r="GG67" i="16"/>
  <c r="GF67" i="16"/>
  <c r="GE67" i="16"/>
  <c r="GB67" i="16"/>
  <c r="GA67" i="16"/>
  <c r="FZ67" i="16"/>
  <c r="FY67" i="16"/>
  <c r="FX67" i="16"/>
  <c r="FW67" i="16"/>
  <c r="FT67" i="16"/>
  <c r="FS67" i="16"/>
  <c r="FR67" i="16"/>
  <c r="FQ67" i="16"/>
  <c r="FP67" i="16"/>
  <c r="FO67" i="16"/>
  <c r="FL67" i="16"/>
  <c r="FK67" i="16"/>
  <c r="FJ67" i="16"/>
  <c r="FI67" i="16"/>
  <c r="FH67" i="16"/>
  <c r="FG67" i="16"/>
  <c r="FD67" i="16"/>
  <c r="FC67" i="16"/>
  <c r="FB67" i="16"/>
  <c r="FA67" i="16"/>
  <c r="EZ67" i="16"/>
  <c r="EY67" i="16"/>
  <c r="EV67" i="16"/>
  <c r="EU67" i="16"/>
  <c r="ET67" i="16"/>
  <c r="ES67" i="16"/>
  <c r="ER67" i="16"/>
  <c r="EQ67" i="16"/>
  <c r="EN67" i="16"/>
  <c r="EM67" i="16"/>
  <c r="EL67" i="16"/>
  <c r="EK67" i="16"/>
  <c r="EJ67" i="16"/>
  <c r="EI67" i="16"/>
  <c r="EF67" i="16"/>
  <c r="EE67" i="16"/>
  <c r="ED67" i="16"/>
  <c r="EC67" i="16"/>
  <c r="EB67" i="16"/>
  <c r="EA67" i="16"/>
  <c r="DX67" i="16"/>
  <c r="DW67" i="16"/>
  <c r="DV67" i="16"/>
  <c r="DU67" i="16"/>
  <c r="DT67" i="16"/>
  <c r="DS67" i="16"/>
  <c r="DP67" i="16"/>
  <c r="DO67" i="16"/>
  <c r="DN67" i="16"/>
  <c r="DM67" i="16"/>
  <c r="DL67" i="16"/>
  <c r="DK67" i="16"/>
  <c r="DG67" i="16"/>
  <c r="DE67" i="16"/>
  <c r="DD67" i="16"/>
  <c r="DC67" i="16"/>
  <c r="DA67" i="16"/>
  <c r="CZ67" i="16"/>
  <c r="CY67" i="16"/>
  <c r="CX67" i="16"/>
  <c r="CU67" i="16"/>
  <c r="CT67" i="16"/>
  <c r="CS67" i="16"/>
  <c r="CR67" i="16"/>
  <c r="CO67" i="16"/>
  <c r="CN67" i="16"/>
  <c r="CM67" i="16"/>
  <c r="CL67" i="16"/>
  <c r="CI67" i="16"/>
  <c r="CH67" i="16"/>
  <c r="CG67" i="16"/>
  <c r="CF67" i="16"/>
  <c r="CC67" i="16"/>
  <c r="CB67" i="16"/>
  <c r="CA67" i="16"/>
  <c r="BZ67" i="16"/>
  <c r="BW67" i="16"/>
  <c r="BV67" i="16"/>
  <c r="BU67" i="16"/>
  <c r="BT67" i="16"/>
  <c r="BQ67" i="16"/>
  <c r="BP67" i="16"/>
  <c r="BO67" i="16"/>
  <c r="BN67" i="16"/>
  <c r="BK67" i="16"/>
  <c r="BJ67" i="16"/>
  <c r="BI67" i="16"/>
  <c r="BH67" i="16"/>
  <c r="BE67" i="16"/>
  <c r="BD67" i="16"/>
  <c r="BC67" i="16"/>
  <c r="BB67" i="16"/>
  <c r="AY67" i="16"/>
  <c r="AX67" i="16"/>
  <c r="AW67" i="16"/>
  <c r="AV67" i="16"/>
  <c r="AS67" i="16"/>
  <c r="AR67" i="16"/>
  <c r="AQ67" i="16"/>
  <c r="AP67" i="16"/>
  <c r="AM67" i="16"/>
  <c r="AL67" i="16"/>
  <c r="AK67" i="16"/>
  <c r="AJ67" i="16"/>
  <c r="AG67" i="16"/>
  <c r="AF67" i="16"/>
  <c r="AE67" i="16"/>
  <c r="AD67" i="16"/>
  <c r="AA67" i="16"/>
  <c r="Z67" i="16"/>
  <c r="Y67" i="16"/>
  <c r="X67" i="16"/>
  <c r="U67" i="16"/>
  <c r="T67" i="16"/>
  <c r="S67" i="16"/>
  <c r="R67" i="16"/>
  <c r="O67" i="16"/>
  <c r="N67" i="16"/>
  <c r="M67" i="16"/>
  <c r="L67" i="16"/>
  <c r="I67" i="16"/>
  <c r="H67" i="16"/>
  <c r="G67" i="16"/>
  <c r="F67" i="16"/>
  <c r="OW66" i="16"/>
  <c r="OV66" i="16"/>
  <c r="OU66" i="16"/>
  <c r="OT66" i="16"/>
  <c r="OS66" i="16"/>
  <c r="OR66" i="16"/>
  <c r="OQ66" i="16"/>
  <c r="OP66" i="16"/>
  <c r="OO66" i="16"/>
  <c r="ON66" i="16"/>
  <c r="OK66" i="16"/>
  <c r="OJ66" i="16"/>
  <c r="OI66" i="16"/>
  <c r="OH66" i="16"/>
  <c r="OG66" i="16"/>
  <c r="OF66" i="16"/>
  <c r="OE66" i="16"/>
  <c r="OB66" i="16"/>
  <c r="OA66" i="16"/>
  <c r="NZ66" i="16"/>
  <c r="NY66" i="16"/>
  <c r="NX66" i="16"/>
  <c r="NW66" i="16"/>
  <c r="NV66" i="16"/>
  <c r="NS66" i="16"/>
  <c r="NR66" i="16"/>
  <c r="NQ66" i="16"/>
  <c r="NP66" i="16"/>
  <c r="NO66" i="16"/>
  <c r="NN66" i="16"/>
  <c r="NM66" i="16"/>
  <c r="NJ66" i="16"/>
  <c r="NI66" i="16"/>
  <c r="NH66" i="16"/>
  <c r="NG66" i="16"/>
  <c r="NF66" i="16"/>
  <c r="NE66" i="16"/>
  <c r="ND66" i="16"/>
  <c r="NA66" i="16"/>
  <c r="MZ66" i="16"/>
  <c r="MY66" i="16"/>
  <c r="MX66" i="16"/>
  <c r="MW66" i="16"/>
  <c r="MV66" i="16"/>
  <c r="MU66" i="16"/>
  <c r="MR66" i="16"/>
  <c r="MQ66" i="16"/>
  <c r="MP66" i="16"/>
  <c r="MO66" i="16"/>
  <c r="MN66" i="16"/>
  <c r="MM66" i="16"/>
  <c r="ML66" i="16"/>
  <c r="MI66" i="16"/>
  <c r="MH66" i="16"/>
  <c r="MG66" i="16"/>
  <c r="MF66" i="16"/>
  <c r="ME66" i="16"/>
  <c r="MD66" i="16"/>
  <c r="MC66" i="16"/>
  <c r="LZ66" i="16"/>
  <c r="LY66" i="16"/>
  <c r="LX66" i="16"/>
  <c r="LW66" i="16"/>
  <c r="LV66" i="16"/>
  <c r="LU66" i="16"/>
  <c r="LT66" i="16"/>
  <c r="LQ66" i="16"/>
  <c r="LP66" i="16"/>
  <c r="LO66" i="16"/>
  <c r="LN66" i="16"/>
  <c r="LM66" i="16"/>
  <c r="LL66" i="16"/>
  <c r="LK66" i="16"/>
  <c r="LH66" i="16"/>
  <c r="LG66" i="16"/>
  <c r="LF66" i="16"/>
  <c r="LE66" i="16"/>
  <c r="LD66" i="16"/>
  <c r="LC66" i="16"/>
  <c r="LB66" i="16"/>
  <c r="KY66" i="16"/>
  <c r="KX66" i="16"/>
  <c r="KW66" i="16"/>
  <c r="KV66" i="16"/>
  <c r="KU66" i="16"/>
  <c r="KT66" i="16"/>
  <c r="KS66" i="16"/>
  <c r="KP66" i="16"/>
  <c r="KO66" i="16"/>
  <c r="KN66" i="16"/>
  <c r="KM66" i="16"/>
  <c r="KL66" i="16"/>
  <c r="KK66" i="16"/>
  <c r="KJ66" i="16"/>
  <c r="KG66" i="16"/>
  <c r="KF66" i="16"/>
  <c r="KE66" i="16"/>
  <c r="KD66" i="16"/>
  <c r="KC66" i="16"/>
  <c r="KB66" i="16"/>
  <c r="KA66" i="16"/>
  <c r="JX66" i="16"/>
  <c r="JW66" i="16"/>
  <c r="JV66" i="16"/>
  <c r="JU66" i="16"/>
  <c r="JT66" i="16"/>
  <c r="JS66" i="16"/>
  <c r="JR66" i="16"/>
  <c r="JO66" i="16"/>
  <c r="JN66" i="16"/>
  <c r="JM66" i="16"/>
  <c r="JL66" i="16"/>
  <c r="JK66" i="16"/>
  <c r="JJ66" i="16"/>
  <c r="JI66" i="16"/>
  <c r="JF66" i="16"/>
  <c r="JE66" i="16"/>
  <c r="JD66" i="16"/>
  <c r="JC66" i="16"/>
  <c r="JB66" i="16"/>
  <c r="JA66" i="16"/>
  <c r="IZ66" i="16"/>
  <c r="IQ66" i="16"/>
  <c r="IP66" i="16"/>
  <c r="IO66" i="16"/>
  <c r="IN66" i="16"/>
  <c r="IM66" i="16"/>
  <c r="IL66" i="16"/>
  <c r="IK66" i="16"/>
  <c r="IJ66" i="16"/>
  <c r="II66" i="16"/>
  <c r="IF66" i="16"/>
  <c r="IE66" i="16"/>
  <c r="ID66" i="16"/>
  <c r="IC66" i="16"/>
  <c r="IB66" i="16"/>
  <c r="IA66" i="16"/>
  <c r="HX66" i="16"/>
  <c r="HW66" i="16"/>
  <c r="HV66" i="16"/>
  <c r="HU66" i="16"/>
  <c r="HT66" i="16"/>
  <c r="HS66" i="16"/>
  <c r="HP66" i="16"/>
  <c r="HO66" i="16"/>
  <c r="HN66" i="16"/>
  <c r="HM66" i="16"/>
  <c r="HL66" i="16"/>
  <c r="HK66" i="16"/>
  <c r="HH66" i="16"/>
  <c r="HG66" i="16"/>
  <c r="HF66" i="16"/>
  <c r="HE66" i="16"/>
  <c r="HD66" i="16"/>
  <c r="HC66" i="16"/>
  <c r="GZ66" i="16"/>
  <c r="GY66" i="16"/>
  <c r="GX66" i="16"/>
  <c r="GW66" i="16"/>
  <c r="GV66" i="16"/>
  <c r="GU66" i="16"/>
  <c r="GR66" i="16"/>
  <c r="GQ66" i="16"/>
  <c r="GP66" i="16"/>
  <c r="GO66" i="16"/>
  <c r="GN66" i="16"/>
  <c r="GM66" i="16"/>
  <c r="GJ66" i="16"/>
  <c r="GI66" i="16"/>
  <c r="GH66" i="16"/>
  <c r="GG66" i="16"/>
  <c r="GF66" i="16"/>
  <c r="GE66" i="16"/>
  <c r="GB66" i="16"/>
  <c r="GA66" i="16"/>
  <c r="FZ66" i="16"/>
  <c r="FY66" i="16"/>
  <c r="FX66" i="16"/>
  <c r="FW66" i="16"/>
  <c r="FT66" i="16"/>
  <c r="FS66" i="16"/>
  <c r="FR66" i="16"/>
  <c r="FQ66" i="16"/>
  <c r="FP66" i="16"/>
  <c r="FO66" i="16"/>
  <c r="FL66" i="16"/>
  <c r="FK66" i="16"/>
  <c r="FJ66" i="16"/>
  <c r="FI66" i="16"/>
  <c r="FH66" i="16"/>
  <c r="FG66" i="16"/>
  <c r="FD66" i="16"/>
  <c r="FC66" i="16"/>
  <c r="FB66" i="16"/>
  <c r="FA66" i="16"/>
  <c r="EZ66" i="16"/>
  <c r="EY66" i="16"/>
  <c r="EV66" i="16"/>
  <c r="EU66" i="16"/>
  <c r="ET66" i="16"/>
  <c r="ES66" i="16"/>
  <c r="ER66" i="16"/>
  <c r="EQ66" i="16"/>
  <c r="EN66" i="16"/>
  <c r="EM66" i="16"/>
  <c r="EL66" i="16"/>
  <c r="EK66" i="16"/>
  <c r="EJ66" i="16"/>
  <c r="EI66" i="16"/>
  <c r="EF66" i="16"/>
  <c r="EE66" i="16"/>
  <c r="ED66" i="16"/>
  <c r="EC66" i="16"/>
  <c r="EB66" i="16"/>
  <c r="EA66" i="16"/>
  <c r="DX66" i="16"/>
  <c r="DW66" i="16"/>
  <c r="DV66" i="16"/>
  <c r="DU66" i="16"/>
  <c r="DT66" i="16"/>
  <c r="DS66" i="16"/>
  <c r="DP66" i="16"/>
  <c r="DO66" i="16"/>
  <c r="DN66" i="16"/>
  <c r="DM66" i="16"/>
  <c r="DL66" i="16"/>
  <c r="DK66" i="16"/>
  <c r="DG66" i="16"/>
  <c r="DE66" i="16"/>
  <c r="DD66" i="16"/>
  <c r="DC66" i="16"/>
  <c r="DA66" i="16"/>
  <c r="CZ66" i="16"/>
  <c r="CY66" i="16"/>
  <c r="CX66" i="16"/>
  <c r="CU66" i="16"/>
  <c r="CT66" i="16"/>
  <c r="CS66" i="16"/>
  <c r="CR66" i="16"/>
  <c r="CO66" i="16"/>
  <c r="CN66" i="16"/>
  <c r="CM66" i="16"/>
  <c r="CL66" i="16"/>
  <c r="CI66" i="16"/>
  <c r="CH66" i="16"/>
  <c r="CG66" i="16"/>
  <c r="CF66" i="16"/>
  <c r="CC66" i="16"/>
  <c r="CB66" i="16"/>
  <c r="CA66" i="16"/>
  <c r="BZ66" i="16"/>
  <c r="BW66" i="16"/>
  <c r="BV66" i="16"/>
  <c r="BU66" i="16"/>
  <c r="BT66" i="16"/>
  <c r="BQ66" i="16"/>
  <c r="BP66" i="16"/>
  <c r="BO66" i="16"/>
  <c r="BN66" i="16"/>
  <c r="BK66" i="16"/>
  <c r="BJ66" i="16"/>
  <c r="BI66" i="16"/>
  <c r="BH66" i="16"/>
  <c r="BE66" i="16"/>
  <c r="BD66" i="16"/>
  <c r="BC66" i="16"/>
  <c r="BB66" i="16"/>
  <c r="AY66" i="16"/>
  <c r="AX66" i="16"/>
  <c r="AW66" i="16"/>
  <c r="AV66" i="16"/>
  <c r="AS66" i="16"/>
  <c r="AR66" i="16"/>
  <c r="AQ66" i="16"/>
  <c r="AP66" i="16"/>
  <c r="AM66" i="16"/>
  <c r="AL66" i="16"/>
  <c r="AK66" i="16"/>
  <c r="AJ66" i="16"/>
  <c r="AG66" i="16"/>
  <c r="AF66" i="16"/>
  <c r="AE66" i="16"/>
  <c r="AD66" i="16"/>
  <c r="AA66" i="16"/>
  <c r="Z66" i="16"/>
  <c r="Y66" i="16"/>
  <c r="X66" i="16"/>
  <c r="U66" i="16"/>
  <c r="T66" i="16"/>
  <c r="S66" i="16"/>
  <c r="R66" i="16"/>
  <c r="O66" i="16"/>
  <c r="N66" i="16"/>
  <c r="M66" i="16"/>
  <c r="L66" i="16"/>
  <c r="I66" i="16"/>
  <c r="H66" i="16"/>
  <c r="G66" i="16"/>
  <c r="F66" i="16"/>
  <c r="OW65" i="16"/>
  <c r="OV65" i="16"/>
  <c r="OU65" i="16"/>
  <c r="OT65" i="16"/>
  <c r="OS65" i="16"/>
  <c r="OR65" i="16"/>
  <c r="OQ65" i="16"/>
  <c r="OP65" i="16"/>
  <c r="OO65" i="16"/>
  <c r="ON65" i="16"/>
  <c r="OK65" i="16"/>
  <c r="OJ65" i="16"/>
  <c r="OI65" i="16"/>
  <c r="OH65" i="16"/>
  <c r="OG65" i="16"/>
  <c r="OF65" i="16"/>
  <c r="OE65" i="16"/>
  <c r="OB65" i="16"/>
  <c r="OA65" i="16"/>
  <c r="NZ65" i="16"/>
  <c r="NY65" i="16"/>
  <c r="NX65" i="16"/>
  <c r="NW65" i="16"/>
  <c r="NV65" i="16"/>
  <c r="NS65" i="16"/>
  <c r="NR65" i="16"/>
  <c r="NQ65" i="16"/>
  <c r="NP65" i="16"/>
  <c r="NO65" i="16"/>
  <c r="NN65" i="16"/>
  <c r="NM65" i="16"/>
  <c r="NJ65" i="16"/>
  <c r="NI65" i="16"/>
  <c r="NH65" i="16"/>
  <c r="NG65" i="16"/>
  <c r="NF65" i="16"/>
  <c r="NE65" i="16"/>
  <c r="ND65" i="16"/>
  <c r="NA65" i="16"/>
  <c r="MZ65" i="16"/>
  <c r="MY65" i="16"/>
  <c r="MX65" i="16"/>
  <c r="MW65" i="16"/>
  <c r="MV65" i="16"/>
  <c r="MU65" i="16"/>
  <c r="MR65" i="16"/>
  <c r="MQ65" i="16"/>
  <c r="MP65" i="16"/>
  <c r="MO65" i="16"/>
  <c r="MN65" i="16"/>
  <c r="MM65" i="16"/>
  <c r="ML65" i="16"/>
  <c r="MI65" i="16"/>
  <c r="MH65" i="16"/>
  <c r="MG65" i="16"/>
  <c r="MF65" i="16"/>
  <c r="ME65" i="16"/>
  <c r="MD65" i="16"/>
  <c r="MC65" i="16"/>
  <c r="LZ65" i="16"/>
  <c r="LY65" i="16"/>
  <c r="LX65" i="16"/>
  <c r="LW65" i="16"/>
  <c r="LV65" i="16"/>
  <c r="LU65" i="16"/>
  <c r="LT65" i="16"/>
  <c r="LQ65" i="16"/>
  <c r="LP65" i="16"/>
  <c r="LO65" i="16"/>
  <c r="LN65" i="16"/>
  <c r="LM65" i="16"/>
  <c r="LL65" i="16"/>
  <c r="LK65" i="16"/>
  <c r="LH65" i="16"/>
  <c r="LG65" i="16"/>
  <c r="LF65" i="16"/>
  <c r="LE65" i="16"/>
  <c r="LD65" i="16"/>
  <c r="LC65" i="16"/>
  <c r="LB65" i="16"/>
  <c r="KY65" i="16"/>
  <c r="KX65" i="16"/>
  <c r="KW65" i="16"/>
  <c r="KV65" i="16"/>
  <c r="KU65" i="16"/>
  <c r="KT65" i="16"/>
  <c r="KS65" i="16"/>
  <c r="KP65" i="16"/>
  <c r="KO65" i="16"/>
  <c r="KN65" i="16"/>
  <c r="KM65" i="16"/>
  <c r="KL65" i="16"/>
  <c r="KK65" i="16"/>
  <c r="KJ65" i="16"/>
  <c r="KG65" i="16"/>
  <c r="KF65" i="16"/>
  <c r="KE65" i="16"/>
  <c r="KD65" i="16"/>
  <c r="KC65" i="16"/>
  <c r="KB65" i="16"/>
  <c r="KA65" i="16"/>
  <c r="JX65" i="16"/>
  <c r="JW65" i="16"/>
  <c r="JV65" i="16"/>
  <c r="JU65" i="16"/>
  <c r="JT65" i="16"/>
  <c r="JS65" i="16"/>
  <c r="JR65" i="16"/>
  <c r="JO65" i="16"/>
  <c r="JN65" i="16"/>
  <c r="JM65" i="16"/>
  <c r="JL65" i="16"/>
  <c r="JK65" i="16"/>
  <c r="JJ65" i="16"/>
  <c r="JI65" i="16"/>
  <c r="JF65" i="16"/>
  <c r="JE65" i="16"/>
  <c r="JD65" i="16"/>
  <c r="JC65" i="16"/>
  <c r="JB65" i="16"/>
  <c r="JA65" i="16"/>
  <c r="IZ65" i="16"/>
  <c r="IQ65" i="16"/>
  <c r="IP65" i="16"/>
  <c r="IO65" i="16"/>
  <c r="IN65" i="16"/>
  <c r="IM65" i="16"/>
  <c r="IL65" i="16"/>
  <c r="IK65" i="16"/>
  <c r="IJ65" i="16"/>
  <c r="II65" i="16"/>
  <c r="IF65" i="16"/>
  <c r="IE65" i="16"/>
  <c r="ID65" i="16"/>
  <c r="IC65" i="16"/>
  <c r="IB65" i="16"/>
  <c r="IA65" i="16"/>
  <c r="HX65" i="16"/>
  <c r="HW65" i="16"/>
  <c r="HV65" i="16"/>
  <c r="HU65" i="16"/>
  <c r="HT65" i="16"/>
  <c r="HS65" i="16"/>
  <c r="HP65" i="16"/>
  <c r="HO65" i="16"/>
  <c r="HN65" i="16"/>
  <c r="HM65" i="16"/>
  <c r="HL65" i="16"/>
  <c r="HK65" i="16"/>
  <c r="HH65" i="16"/>
  <c r="HG65" i="16"/>
  <c r="HF65" i="16"/>
  <c r="HE65" i="16"/>
  <c r="HD65" i="16"/>
  <c r="HC65" i="16"/>
  <c r="GZ65" i="16"/>
  <c r="GY65" i="16"/>
  <c r="GX65" i="16"/>
  <c r="GW65" i="16"/>
  <c r="GV65" i="16"/>
  <c r="GU65" i="16"/>
  <c r="GR65" i="16"/>
  <c r="GQ65" i="16"/>
  <c r="GP65" i="16"/>
  <c r="GO65" i="16"/>
  <c r="GN65" i="16"/>
  <c r="GM65" i="16"/>
  <c r="GJ65" i="16"/>
  <c r="GI65" i="16"/>
  <c r="GH65" i="16"/>
  <c r="GG65" i="16"/>
  <c r="GF65" i="16"/>
  <c r="GE65" i="16"/>
  <c r="GB65" i="16"/>
  <c r="GA65" i="16"/>
  <c r="FZ65" i="16"/>
  <c r="FY65" i="16"/>
  <c r="FX65" i="16"/>
  <c r="FW65" i="16"/>
  <c r="FT65" i="16"/>
  <c r="FS65" i="16"/>
  <c r="FR65" i="16"/>
  <c r="FQ65" i="16"/>
  <c r="FP65" i="16"/>
  <c r="FO65" i="16"/>
  <c r="FL65" i="16"/>
  <c r="FK65" i="16"/>
  <c r="FJ65" i="16"/>
  <c r="FI65" i="16"/>
  <c r="FH65" i="16"/>
  <c r="FG65" i="16"/>
  <c r="FD65" i="16"/>
  <c r="FC65" i="16"/>
  <c r="FB65" i="16"/>
  <c r="FA65" i="16"/>
  <c r="EZ65" i="16"/>
  <c r="EY65" i="16"/>
  <c r="EV65" i="16"/>
  <c r="EU65" i="16"/>
  <c r="ET65" i="16"/>
  <c r="ES65" i="16"/>
  <c r="ER65" i="16"/>
  <c r="EQ65" i="16"/>
  <c r="EN65" i="16"/>
  <c r="EM65" i="16"/>
  <c r="EL65" i="16"/>
  <c r="EK65" i="16"/>
  <c r="EJ65" i="16"/>
  <c r="EI65" i="16"/>
  <c r="EF65" i="16"/>
  <c r="EE65" i="16"/>
  <c r="ED65" i="16"/>
  <c r="EC65" i="16"/>
  <c r="EB65" i="16"/>
  <c r="EA65" i="16"/>
  <c r="DX65" i="16"/>
  <c r="DW65" i="16"/>
  <c r="DV65" i="16"/>
  <c r="DU65" i="16"/>
  <c r="DT65" i="16"/>
  <c r="DS65" i="16"/>
  <c r="DP65" i="16"/>
  <c r="DO65" i="16"/>
  <c r="DN65" i="16"/>
  <c r="DM65" i="16"/>
  <c r="DL65" i="16"/>
  <c r="DK65" i="16"/>
  <c r="DG65" i="16"/>
  <c r="DE65" i="16"/>
  <c r="DD65" i="16"/>
  <c r="DC65" i="16"/>
  <c r="DA65" i="16"/>
  <c r="CZ65" i="16"/>
  <c r="CY65" i="16"/>
  <c r="CX65" i="16"/>
  <c r="CU65" i="16"/>
  <c r="CT65" i="16"/>
  <c r="CS65" i="16"/>
  <c r="CR65" i="16"/>
  <c r="CO65" i="16"/>
  <c r="CN65" i="16"/>
  <c r="CM65" i="16"/>
  <c r="CL65" i="16"/>
  <c r="CI65" i="16"/>
  <c r="CH65" i="16"/>
  <c r="CG65" i="16"/>
  <c r="CF65" i="16"/>
  <c r="CC65" i="16"/>
  <c r="CB65" i="16"/>
  <c r="CA65" i="16"/>
  <c r="BZ65" i="16"/>
  <c r="BW65" i="16"/>
  <c r="BV65" i="16"/>
  <c r="BU65" i="16"/>
  <c r="BT65" i="16"/>
  <c r="BQ65" i="16"/>
  <c r="BP65" i="16"/>
  <c r="BO65" i="16"/>
  <c r="BN65" i="16"/>
  <c r="BK65" i="16"/>
  <c r="BJ65" i="16"/>
  <c r="BI65" i="16"/>
  <c r="BH65" i="16"/>
  <c r="BE65" i="16"/>
  <c r="BD65" i="16"/>
  <c r="BC65" i="16"/>
  <c r="BB65" i="16"/>
  <c r="AY65" i="16"/>
  <c r="AX65" i="16"/>
  <c r="AW65" i="16"/>
  <c r="AV65" i="16"/>
  <c r="AS65" i="16"/>
  <c r="AR65" i="16"/>
  <c r="AQ65" i="16"/>
  <c r="AP65" i="16"/>
  <c r="AM65" i="16"/>
  <c r="AL65" i="16"/>
  <c r="AK65" i="16"/>
  <c r="AJ65" i="16"/>
  <c r="AG65" i="16"/>
  <c r="AF65" i="16"/>
  <c r="AE65" i="16"/>
  <c r="AD65" i="16"/>
  <c r="AA65" i="16"/>
  <c r="Z65" i="16"/>
  <c r="Y65" i="16"/>
  <c r="X65" i="16"/>
  <c r="U65" i="16"/>
  <c r="T65" i="16"/>
  <c r="S65" i="16"/>
  <c r="R65" i="16"/>
  <c r="O65" i="16"/>
  <c r="N65" i="16"/>
  <c r="M65" i="16"/>
  <c r="L65" i="16"/>
  <c r="I65" i="16"/>
  <c r="H65" i="16"/>
  <c r="G65" i="16"/>
  <c r="F65" i="16"/>
  <c r="OW64" i="16"/>
  <c r="OV64" i="16"/>
  <c r="OU64" i="16"/>
  <c r="OT64" i="16"/>
  <c r="OS64" i="16"/>
  <c r="OR64" i="16"/>
  <c r="OQ64" i="16"/>
  <c r="OP64" i="16"/>
  <c r="OO64" i="16"/>
  <c r="ON64" i="16"/>
  <c r="OK64" i="16"/>
  <c r="OJ64" i="16"/>
  <c r="OI64" i="16"/>
  <c r="OH64" i="16"/>
  <c r="OG64" i="16"/>
  <c r="OF64" i="16"/>
  <c r="OE64" i="16"/>
  <c r="OB64" i="16"/>
  <c r="OA64" i="16"/>
  <c r="NZ64" i="16"/>
  <c r="NY64" i="16"/>
  <c r="NX64" i="16"/>
  <c r="NW64" i="16"/>
  <c r="NV64" i="16"/>
  <c r="NS64" i="16"/>
  <c r="NR64" i="16"/>
  <c r="NQ64" i="16"/>
  <c r="NP64" i="16"/>
  <c r="NO64" i="16"/>
  <c r="NN64" i="16"/>
  <c r="NM64" i="16"/>
  <c r="NJ64" i="16"/>
  <c r="NI64" i="16"/>
  <c r="NH64" i="16"/>
  <c r="NG64" i="16"/>
  <c r="NF64" i="16"/>
  <c r="NE64" i="16"/>
  <c r="ND64" i="16"/>
  <c r="NA64" i="16"/>
  <c r="MZ64" i="16"/>
  <c r="MY64" i="16"/>
  <c r="MX64" i="16"/>
  <c r="MW64" i="16"/>
  <c r="MV64" i="16"/>
  <c r="MU64" i="16"/>
  <c r="MR64" i="16"/>
  <c r="MQ64" i="16"/>
  <c r="MP64" i="16"/>
  <c r="MO64" i="16"/>
  <c r="MN64" i="16"/>
  <c r="MM64" i="16"/>
  <c r="ML64" i="16"/>
  <c r="MI64" i="16"/>
  <c r="MH64" i="16"/>
  <c r="MG64" i="16"/>
  <c r="MF64" i="16"/>
  <c r="ME64" i="16"/>
  <c r="MD64" i="16"/>
  <c r="MC64" i="16"/>
  <c r="LZ64" i="16"/>
  <c r="LY64" i="16"/>
  <c r="LX64" i="16"/>
  <c r="LW64" i="16"/>
  <c r="LV64" i="16"/>
  <c r="LU64" i="16"/>
  <c r="LT64" i="16"/>
  <c r="LQ64" i="16"/>
  <c r="LP64" i="16"/>
  <c r="LO64" i="16"/>
  <c r="LN64" i="16"/>
  <c r="LM64" i="16"/>
  <c r="LL64" i="16"/>
  <c r="LK64" i="16"/>
  <c r="LH64" i="16"/>
  <c r="LG64" i="16"/>
  <c r="LF64" i="16"/>
  <c r="LE64" i="16"/>
  <c r="LD64" i="16"/>
  <c r="LC64" i="16"/>
  <c r="LB64" i="16"/>
  <c r="KY64" i="16"/>
  <c r="KX64" i="16"/>
  <c r="KW64" i="16"/>
  <c r="KV64" i="16"/>
  <c r="KU64" i="16"/>
  <c r="KT64" i="16"/>
  <c r="KS64" i="16"/>
  <c r="KP64" i="16"/>
  <c r="KO64" i="16"/>
  <c r="KN64" i="16"/>
  <c r="KM64" i="16"/>
  <c r="KL64" i="16"/>
  <c r="KK64" i="16"/>
  <c r="KJ64" i="16"/>
  <c r="KG64" i="16"/>
  <c r="KF64" i="16"/>
  <c r="KE64" i="16"/>
  <c r="KD64" i="16"/>
  <c r="KC64" i="16"/>
  <c r="KB64" i="16"/>
  <c r="KA64" i="16"/>
  <c r="JX64" i="16"/>
  <c r="JW64" i="16"/>
  <c r="JV64" i="16"/>
  <c r="JU64" i="16"/>
  <c r="JT64" i="16"/>
  <c r="JS64" i="16"/>
  <c r="JR64" i="16"/>
  <c r="JO64" i="16"/>
  <c r="JN64" i="16"/>
  <c r="JM64" i="16"/>
  <c r="JL64" i="16"/>
  <c r="JK64" i="16"/>
  <c r="JJ64" i="16"/>
  <c r="JI64" i="16"/>
  <c r="JF64" i="16"/>
  <c r="JE64" i="16"/>
  <c r="JD64" i="16"/>
  <c r="JC64" i="16"/>
  <c r="JB64" i="16"/>
  <c r="JA64" i="16"/>
  <c r="IZ64" i="16"/>
  <c r="IQ64" i="16"/>
  <c r="IP64" i="16"/>
  <c r="IO64" i="16"/>
  <c r="IN64" i="16"/>
  <c r="IM64" i="16"/>
  <c r="IL64" i="16"/>
  <c r="IK64" i="16"/>
  <c r="IJ64" i="16"/>
  <c r="II64" i="16"/>
  <c r="IF64" i="16"/>
  <c r="IE64" i="16"/>
  <c r="ID64" i="16"/>
  <c r="IC64" i="16"/>
  <c r="IB64" i="16"/>
  <c r="IA64" i="16"/>
  <c r="HX64" i="16"/>
  <c r="HW64" i="16"/>
  <c r="HV64" i="16"/>
  <c r="HU64" i="16"/>
  <c r="HT64" i="16"/>
  <c r="HS64" i="16"/>
  <c r="HP64" i="16"/>
  <c r="HO64" i="16"/>
  <c r="HN64" i="16"/>
  <c r="HM64" i="16"/>
  <c r="HL64" i="16"/>
  <c r="HK64" i="16"/>
  <c r="HH64" i="16"/>
  <c r="HG64" i="16"/>
  <c r="HF64" i="16"/>
  <c r="HE64" i="16"/>
  <c r="HD64" i="16"/>
  <c r="HC64" i="16"/>
  <c r="GZ64" i="16"/>
  <c r="GY64" i="16"/>
  <c r="GX64" i="16"/>
  <c r="GW64" i="16"/>
  <c r="GV64" i="16"/>
  <c r="GU64" i="16"/>
  <c r="GR64" i="16"/>
  <c r="GQ64" i="16"/>
  <c r="GP64" i="16"/>
  <c r="GO64" i="16"/>
  <c r="GN64" i="16"/>
  <c r="GM64" i="16"/>
  <c r="GJ64" i="16"/>
  <c r="GI64" i="16"/>
  <c r="GH64" i="16"/>
  <c r="GG64" i="16"/>
  <c r="GF64" i="16"/>
  <c r="GE64" i="16"/>
  <c r="GB64" i="16"/>
  <c r="GA64" i="16"/>
  <c r="FZ64" i="16"/>
  <c r="FY64" i="16"/>
  <c r="FX64" i="16"/>
  <c r="FW64" i="16"/>
  <c r="FT64" i="16"/>
  <c r="FS64" i="16"/>
  <c r="FR64" i="16"/>
  <c r="FQ64" i="16"/>
  <c r="FP64" i="16"/>
  <c r="FO64" i="16"/>
  <c r="FL64" i="16"/>
  <c r="FK64" i="16"/>
  <c r="FJ64" i="16"/>
  <c r="FI64" i="16"/>
  <c r="FH64" i="16"/>
  <c r="FG64" i="16"/>
  <c r="FD64" i="16"/>
  <c r="FC64" i="16"/>
  <c r="FB64" i="16"/>
  <c r="FA64" i="16"/>
  <c r="EZ64" i="16"/>
  <c r="EY64" i="16"/>
  <c r="EV64" i="16"/>
  <c r="EU64" i="16"/>
  <c r="ET64" i="16"/>
  <c r="ES64" i="16"/>
  <c r="ER64" i="16"/>
  <c r="EQ64" i="16"/>
  <c r="EN64" i="16"/>
  <c r="EM64" i="16"/>
  <c r="EL64" i="16"/>
  <c r="EK64" i="16"/>
  <c r="EJ64" i="16"/>
  <c r="EI64" i="16"/>
  <c r="EF64" i="16"/>
  <c r="EE64" i="16"/>
  <c r="ED64" i="16"/>
  <c r="EC64" i="16"/>
  <c r="EB64" i="16"/>
  <c r="EA64" i="16"/>
  <c r="DX64" i="16"/>
  <c r="DW64" i="16"/>
  <c r="DV64" i="16"/>
  <c r="DU64" i="16"/>
  <c r="DT64" i="16"/>
  <c r="DS64" i="16"/>
  <c r="DP64" i="16"/>
  <c r="DO64" i="16"/>
  <c r="DN64" i="16"/>
  <c r="DM64" i="16"/>
  <c r="DL64" i="16"/>
  <c r="DK64" i="16"/>
  <c r="DG64" i="16"/>
  <c r="DE64" i="16"/>
  <c r="DD64" i="16"/>
  <c r="DC64" i="16"/>
  <c r="DA64" i="16"/>
  <c r="CZ64" i="16"/>
  <c r="CY64" i="16"/>
  <c r="CX64" i="16"/>
  <c r="CU64" i="16"/>
  <c r="CT64" i="16"/>
  <c r="CS64" i="16"/>
  <c r="CR64" i="16"/>
  <c r="CO64" i="16"/>
  <c r="CN64" i="16"/>
  <c r="CM64" i="16"/>
  <c r="CL64" i="16"/>
  <c r="CI64" i="16"/>
  <c r="CH64" i="16"/>
  <c r="CG64" i="16"/>
  <c r="CF64" i="16"/>
  <c r="CC64" i="16"/>
  <c r="CB64" i="16"/>
  <c r="CA64" i="16"/>
  <c r="BZ64" i="16"/>
  <c r="BW64" i="16"/>
  <c r="BV64" i="16"/>
  <c r="BU64" i="16"/>
  <c r="BT64" i="16"/>
  <c r="BQ64" i="16"/>
  <c r="BP64" i="16"/>
  <c r="BO64" i="16"/>
  <c r="BN64" i="16"/>
  <c r="BK64" i="16"/>
  <c r="BJ64" i="16"/>
  <c r="BI64" i="16"/>
  <c r="BH64" i="16"/>
  <c r="BE64" i="16"/>
  <c r="BD64" i="16"/>
  <c r="BC64" i="16"/>
  <c r="BB64" i="16"/>
  <c r="AY64" i="16"/>
  <c r="AX64" i="16"/>
  <c r="AW64" i="16"/>
  <c r="AV64" i="16"/>
  <c r="AS64" i="16"/>
  <c r="AR64" i="16"/>
  <c r="AQ64" i="16"/>
  <c r="AP64" i="16"/>
  <c r="AM64" i="16"/>
  <c r="AL64" i="16"/>
  <c r="AK64" i="16"/>
  <c r="AJ64" i="16"/>
  <c r="AG64" i="16"/>
  <c r="AF64" i="16"/>
  <c r="AE64" i="16"/>
  <c r="AD64" i="16"/>
  <c r="AA64" i="16"/>
  <c r="Z64" i="16"/>
  <c r="Y64" i="16"/>
  <c r="X64" i="16"/>
  <c r="U64" i="16"/>
  <c r="T64" i="16"/>
  <c r="S64" i="16"/>
  <c r="R64" i="16"/>
  <c r="O64" i="16"/>
  <c r="N64" i="16"/>
  <c r="M64" i="16"/>
  <c r="L64" i="16"/>
  <c r="I64" i="16"/>
  <c r="H64" i="16"/>
  <c r="G64" i="16"/>
  <c r="F64" i="16"/>
  <c r="OW63" i="16"/>
  <c r="OV63" i="16"/>
  <c r="OU63" i="16"/>
  <c r="OT63" i="16"/>
  <c r="OS63" i="16"/>
  <c r="OR63" i="16"/>
  <c r="OQ63" i="16"/>
  <c r="OP63" i="16"/>
  <c r="OO63" i="16"/>
  <c r="ON63" i="16"/>
  <c r="OK63" i="16"/>
  <c r="OJ63" i="16"/>
  <c r="OI63" i="16"/>
  <c r="OH63" i="16"/>
  <c r="OG63" i="16"/>
  <c r="OF63" i="16"/>
  <c r="OE63" i="16"/>
  <c r="OB63" i="16"/>
  <c r="OA63" i="16"/>
  <c r="NZ63" i="16"/>
  <c r="NY63" i="16"/>
  <c r="NX63" i="16"/>
  <c r="NW63" i="16"/>
  <c r="NV63" i="16"/>
  <c r="NS63" i="16"/>
  <c r="NR63" i="16"/>
  <c r="NQ63" i="16"/>
  <c r="NP63" i="16"/>
  <c r="NO63" i="16"/>
  <c r="NN63" i="16"/>
  <c r="NM63" i="16"/>
  <c r="NJ63" i="16"/>
  <c r="NI63" i="16"/>
  <c r="NH63" i="16"/>
  <c r="NG63" i="16"/>
  <c r="NF63" i="16"/>
  <c r="NE63" i="16"/>
  <c r="ND63" i="16"/>
  <c r="NA63" i="16"/>
  <c r="MZ63" i="16"/>
  <c r="MY63" i="16"/>
  <c r="MX63" i="16"/>
  <c r="MW63" i="16"/>
  <c r="MV63" i="16"/>
  <c r="MU63" i="16"/>
  <c r="MR63" i="16"/>
  <c r="MQ63" i="16"/>
  <c r="MP63" i="16"/>
  <c r="MO63" i="16"/>
  <c r="MN63" i="16"/>
  <c r="MM63" i="16"/>
  <c r="ML63" i="16"/>
  <c r="MI63" i="16"/>
  <c r="MH63" i="16"/>
  <c r="MG63" i="16"/>
  <c r="MF63" i="16"/>
  <c r="ME63" i="16"/>
  <c r="MD63" i="16"/>
  <c r="MC63" i="16"/>
  <c r="LZ63" i="16"/>
  <c r="LY63" i="16"/>
  <c r="LX63" i="16"/>
  <c r="LW63" i="16"/>
  <c r="LV63" i="16"/>
  <c r="LU63" i="16"/>
  <c r="LT63" i="16"/>
  <c r="LQ63" i="16"/>
  <c r="LP63" i="16"/>
  <c r="LO63" i="16"/>
  <c r="LN63" i="16"/>
  <c r="LM63" i="16"/>
  <c r="LL63" i="16"/>
  <c r="LK63" i="16"/>
  <c r="LH63" i="16"/>
  <c r="LG63" i="16"/>
  <c r="LF63" i="16"/>
  <c r="LE63" i="16"/>
  <c r="LD63" i="16"/>
  <c r="LC63" i="16"/>
  <c r="LB63" i="16"/>
  <c r="KY63" i="16"/>
  <c r="KX63" i="16"/>
  <c r="KW63" i="16"/>
  <c r="KV63" i="16"/>
  <c r="KU63" i="16"/>
  <c r="KT63" i="16"/>
  <c r="KS63" i="16"/>
  <c r="KP63" i="16"/>
  <c r="KO63" i="16"/>
  <c r="KN63" i="16"/>
  <c r="KM63" i="16"/>
  <c r="KL63" i="16"/>
  <c r="KK63" i="16"/>
  <c r="KJ63" i="16"/>
  <c r="KG63" i="16"/>
  <c r="KF63" i="16"/>
  <c r="KE63" i="16"/>
  <c r="KD63" i="16"/>
  <c r="KC63" i="16"/>
  <c r="KB63" i="16"/>
  <c r="KA63" i="16"/>
  <c r="JX63" i="16"/>
  <c r="JW63" i="16"/>
  <c r="JV63" i="16"/>
  <c r="JU63" i="16"/>
  <c r="JT63" i="16"/>
  <c r="JS63" i="16"/>
  <c r="JR63" i="16"/>
  <c r="JO63" i="16"/>
  <c r="JN63" i="16"/>
  <c r="JM63" i="16"/>
  <c r="JL63" i="16"/>
  <c r="JK63" i="16"/>
  <c r="JJ63" i="16"/>
  <c r="JI63" i="16"/>
  <c r="JF63" i="16"/>
  <c r="JE63" i="16"/>
  <c r="JD63" i="16"/>
  <c r="JC63" i="16"/>
  <c r="JB63" i="16"/>
  <c r="JA63" i="16"/>
  <c r="IZ63" i="16"/>
  <c r="IQ63" i="16"/>
  <c r="IP63" i="16"/>
  <c r="IO63" i="16"/>
  <c r="IN63" i="16"/>
  <c r="IM63" i="16"/>
  <c r="IL63" i="16"/>
  <c r="IK63" i="16"/>
  <c r="IJ63" i="16"/>
  <c r="II63" i="16"/>
  <c r="IF63" i="16"/>
  <c r="IE63" i="16"/>
  <c r="ID63" i="16"/>
  <c r="IC63" i="16"/>
  <c r="IB63" i="16"/>
  <c r="IA63" i="16"/>
  <c r="HX63" i="16"/>
  <c r="HW63" i="16"/>
  <c r="HV63" i="16"/>
  <c r="HU63" i="16"/>
  <c r="HT63" i="16"/>
  <c r="HS63" i="16"/>
  <c r="HP63" i="16"/>
  <c r="HO63" i="16"/>
  <c r="HN63" i="16"/>
  <c r="HM63" i="16"/>
  <c r="HL63" i="16"/>
  <c r="HK63" i="16"/>
  <c r="HH63" i="16"/>
  <c r="HG63" i="16"/>
  <c r="HF63" i="16"/>
  <c r="HE63" i="16"/>
  <c r="HD63" i="16"/>
  <c r="HC63" i="16"/>
  <c r="GZ63" i="16"/>
  <c r="GY63" i="16"/>
  <c r="GX63" i="16"/>
  <c r="GW63" i="16"/>
  <c r="GV63" i="16"/>
  <c r="GU63" i="16"/>
  <c r="GR63" i="16"/>
  <c r="GQ63" i="16"/>
  <c r="GP63" i="16"/>
  <c r="GO63" i="16"/>
  <c r="GN63" i="16"/>
  <c r="GM63" i="16"/>
  <c r="GJ63" i="16"/>
  <c r="GI63" i="16"/>
  <c r="GH63" i="16"/>
  <c r="GG63" i="16"/>
  <c r="GF63" i="16"/>
  <c r="GE63" i="16"/>
  <c r="GB63" i="16"/>
  <c r="GA63" i="16"/>
  <c r="FZ63" i="16"/>
  <c r="FY63" i="16"/>
  <c r="FX63" i="16"/>
  <c r="FW63" i="16"/>
  <c r="FT63" i="16"/>
  <c r="FS63" i="16"/>
  <c r="FR63" i="16"/>
  <c r="FQ63" i="16"/>
  <c r="FP63" i="16"/>
  <c r="FO63" i="16"/>
  <c r="FL63" i="16"/>
  <c r="FK63" i="16"/>
  <c r="FJ63" i="16"/>
  <c r="FI63" i="16"/>
  <c r="FH63" i="16"/>
  <c r="FG63" i="16"/>
  <c r="FD63" i="16"/>
  <c r="FC63" i="16"/>
  <c r="FB63" i="16"/>
  <c r="FA63" i="16"/>
  <c r="EZ63" i="16"/>
  <c r="EY63" i="16"/>
  <c r="EV63" i="16"/>
  <c r="EU63" i="16"/>
  <c r="ET63" i="16"/>
  <c r="ES63" i="16"/>
  <c r="ER63" i="16"/>
  <c r="EQ63" i="16"/>
  <c r="EN63" i="16"/>
  <c r="EM63" i="16"/>
  <c r="EL63" i="16"/>
  <c r="EK63" i="16"/>
  <c r="EJ63" i="16"/>
  <c r="EI63" i="16"/>
  <c r="EF63" i="16"/>
  <c r="EE63" i="16"/>
  <c r="ED63" i="16"/>
  <c r="EC63" i="16"/>
  <c r="EB63" i="16"/>
  <c r="EA63" i="16"/>
  <c r="DX63" i="16"/>
  <c r="DW63" i="16"/>
  <c r="DV63" i="16"/>
  <c r="DU63" i="16"/>
  <c r="DT63" i="16"/>
  <c r="DS63" i="16"/>
  <c r="DP63" i="16"/>
  <c r="DO63" i="16"/>
  <c r="DN63" i="16"/>
  <c r="DM63" i="16"/>
  <c r="DL63" i="16"/>
  <c r="DK63" i="16"/>
  <c r="DG63" i="16"/>
  <c r="DE63" i="16"/>
  <c r="DD63" i="16"/>
  <c r="DC63" i="16"/>
  <c r="DA63" i="16"/>
  <c r="CZ63" i="16"/>
  <c r="CY63" i="16"/>
  <c r="CX63" i="16"/>
  <c r="CU63" i="16"/>
  <c r="CT63" i="16"/>
  <c r="CS63" i="16"/>
  <c r="CR63" i="16"/>
  <c r="CO63" i="16"/>
  <c r="CN63" i="16"/>
  <c r="CM63" i="16"/>
  <c r="CL63" i="16"/>
  <c r="CI63" i="16"/>
  <c r="CH63" i="16"/>
  <c r="CG63" i="16"/>
  <c r="CF63" i="16"/>
  <c r="CC63" i="16"/>
  <c r="CB63" i="16"/>
  <c r="CA63" i="16"/>
  <c r="BZ63" i="16"/>
  <c r="BW63" i="16"/>
  <c r="BV63" i="16"/>
  <c r="BU63" i="16"/>
  <c r="BT63" i="16"/>
  <c r="BQ63" i="16"/>
  <c r="BP63" i="16"/>
  <c r="BO63" i="16"/>
  <c r="BN63" i="16"/>
  <c r="BK63" i="16"/>
  <c r="BJ63" i="16"/>
  <c r="BI63" i="16"/>
  <c r="BH63" i="16"/>
  <c r="BE63" i="16"/>
  <c r="BD63" i="16"/>
  <c r="BC63" i="16"/>
  <c r="BB63" i="16"/>
  <c r="AY63" i="16"/>
  <c r="AX63" i="16"/>
  <c r="AW63" i="16"/>
  <c r="AV63" i="16"/>
  <c r="AS63" i="16"/>
  <c r="AR63" i="16"/>
  <c r="AQ63" i="16"/>
  <c r="AP63" i="16"/>
  <c r="AM63" i="16"/>
  <c r="AL63" i="16"/>
  <c r="AK63" i="16"/>
  <c r="AJ63" i="16"/>
  <c r="AG63" i="16"/>
  <c r="AF63" i="16"/>
  <c r="AE63" i="16"/>
  <c r="AD63" i="16"/>
  <c r="AA63" i="16"/>
  <c r="Z63" i="16"/>
  <c r="Y63" i="16"/>
  <c r="X63" i="16"/>
  <c r="U63" i="16"/>
  <c r="T63" i="16"/>
  <c r="S63" i="16"/>
  <c r="R63" i="16"/>
  <c r="O63" i="16"/>
  <c r="N63" i="16"/>
  <c r="M63" i="16"/>
  <c r="L63" i="16"/>
  <c r="I63" i="16"/>
  <c r="H63" i="16"/>
  <c r="G63" i="16"/>
  <c r="F63" i="16"/>
  <c r="OW62" i="16"/>
  <c r="OV62" i="16"/>
  <c r="OU62" i="16"/>
  <c r="OT62" i="16"/>
  <c r="OS62" i="16"/>
  <c r="OR62" i="16"/>
  <c r="OQ62" i="16"/>
  <c r="OP62" i="16"/>
  <c r="OO62" i="16"/>
  <c r="ON62" i="16"/>
  <c r="OK62" i="16"/>
  <c r="OJ62" i="16"/>
  <c r="OI62" i="16"/>
  <c r="OH62" i="16"/>
  <c r="OG62" i="16"/>
  <c r="OF62" i="16"/>
  <c r="OE62" i="16"/>
  <c r="OB62" i="16"/>
  <c r="OA62" i="16"/>
  <c r="NZ62" i="16"/>
  <c r="NY62" i="16"/>
  <c r="NX62" i="16"/>
  <c r="NW62" i="16"/>
  <c r="NV62" i="16"/>
  <c r="NS62" i="16"/>
  <c r="NR62" i="16"/>
  <c r="NQ62" i="16"/>
  <c r="NP62" i="16"/>
  <c r="NO62" i="16"/>
  <c r="NN62" i="16"/>
  <c r="NM62" i="16"/>
  <c r="NJ62" i="16"/>
  <c r="NI62" i="16"/>
  <c r="NH62" i="16"/>
  <c r="NG62" i="16"/>
  <c r="NF62" i="16"/>
  <c r="NE62" i="16"/>
  <c r="ND62" i="16"/>
  <c r="NA62" i="16"/>
  <c r="MZ62" i="16"/>
  <c r="MY62" i="16"/>
  <c r="MX62" i="16"/>
  <c r="MW62" i="16"/>
  <c r="MV62" i="16"/>
  <c r="MU62" i="16"/>
  <c r="MR62" i="16"/>
  <c r="MQ62" i="16"/>
  <c r="MP62" i="16"/>
  <c r="MO62" i="16"/>
  <c r="MN62" i="16"/>
  <c r="MM62" i="16"/>
  <c r="ML62" i="16"/>
  <c r="MI62" i="16"/>
  <c r="MH62" i="16"/>
  <c r="MG62" i="16"/>
  <c r="MF62" i="16"/>
  <c r="ME62" i="16"/>
  <c r="MD62" i="16"/>
  <c r="MC62" i="16"/>
  <c r="LZ62" i="16"/>
  <c r="LY62" i="16"/>
  <c r="LX62" i="16"/>
  <c r="LW62" i="16"/>
  <c r="LV62" i="16"/>
  <c r="LU62" i="16"/>
  <c r="LT62" i="16"/>
  <c r="LQ62" i="16"/>
  <c r="LP62" i="16"/>
  <c r="LO62" i="16"/>
  <c r="LN62" i="16"/>
  <c r="LM62" i="16"/>
  <c r="LL62" i="16"/>
  <c r="LK62" i="16"/>
  <c r="LH62" i="16"/>
  <c r="LG62" i="16"/>
  <c r="LF62" i="16"/>
  <c r="LE62" i="16"/>
  <c r="LD62" i="16"/>
  <c r="LC62" i="16"/>
  <c r="LB62" i="16"/>
  <c r="KY62" i="16"/>
  <c r="KX62" i="16"/>
  <c r="KW62" i="16"/>
  <c r="KV62" i="16"/>
  <c r="KU62" i="16"/>
  <c r="KT62" i="16"/>
  <c r="KS62" i="16"/>
  <c r="KP62" i="16"/>
  <c r="KO62" i="16"/>
  <c r="KN62" i="16"/>
  <c r="KM62" i="16"/>
  <c r="KL62" i="16"/>
  <c r="KK62" i="16"/>
  <c r="KJ62" i="16"/>
  <c r="KG62" i="16"/>
  <c r="KF62" i="16"/>
  <c r="KE62" i="16"/>
  <c r="KD62" i="16"/>
  <c r="KC62" i="16"/>
  <c r="KB62" i="16"/>
  <c r="KA62" i="16"/>
  <c r="JX62" i="16"/>
  <c r="JW62" i="16"/>
  <c r="JV62" i="16"/>
  <c r="JU62" i="16"/>
  <c r="JT62" i="16"/>
  <c r="JS62" i="16"/>
  <c r="JR62" i="16"/>
  <c r="JO62" i="16"/>
  <c r="JN62" i="16"/>
  <c r="JM62" i="16"/>
  <c r="JL62" i="16"/>
  <c r="JK62" i="16"/>
  <c r="JJ62" i="16"/>
  <c r="JI62" i="16"/>
  <c r="JF62" i="16"/>
  <c r="JE62" i="16"/>
  <c r="JD62" i="16"/>
  <c r="JC62" i="16"/>
  <c r="JB62" i="16"/>
  <c r="JA62" i="16"/>
  <c r="IZ62" i="16"/>
  <c r="IQ62" i="16"/>
  <c r="IP62" i="16"/>
  <c r="IO62" i="16"/>
  <c r="IN62" i="16"/>
  <c r="IM62" i="16"/>
  <c r="IL62" i="16"/>
  <c r="IK62" i="16"/>
  <c r="IJ62" i="16"/>
  <c r="II62" i="16"/>
  <c r="IF62" i="16"/>
  <c r="IE62" i="16"/>
  <c r="ID62" i="16"/>
  <c r="IC62" i="16"/>
  <c r="IB62" i="16"/>
  <c r="IA62" i="16"/>
  <c r="HX62" i="16"/>
  <c r="HW62" i="16"/>
  <c r="HV62" i="16"/>
  <c r="HU62" i="16"/>
  <c r="HT62" i="16"/>
  <c r="HS62" i="16"/>
  <c r="HP62" i="16"/>
  <c r="HO62" i="16"/>
  <c r="HN62" i="16"/>
  <c r="HM62" i="16"/>
  <c r="HL62" i="16"/>
  <c r="HK62" i="16"/>
  <c r="HH62" i="16"/>
  <c r="HG62" i="16"/>
  <c r="HF62" i="16"/>
  <c r="HE62" i="16"/>
  <c r="HD62" i="16"/>
  <c r="HC62" i="16"/>
  <c r="GZ62" i="16"/>
  <c r="GY62" i="16"/>
  <c r="GX62" i="16"/>
  <c r="GW62" i="16"/>
  <c r="GV62" i="16"/>
  <c r="GU62" i="16"/>
  <c r="GR62" i="16"/>
  <c r="GQ62" i="16"/>
  <c r="GP62" i="16"/>
  <c r="GO62" i="16"/>
  <c r="GN62" i="16"/>
  <c r="GM62" i="16"/>
  <c r="GJ62" i="16"/>
  <c r="GI62" i="16"/>
  <c r="GH62" i="16"/>
  <c r="GG62" i="16"/>
  <c r="GF62" i="16"/>
  <c r="GE62" i="16"/>
  <c r="GB62" i="16"/>
  <c r="GA62" i="16"/>
  <c r="FZ62" i="16"/>
  <c r="FY62" i="16"/>
  <c r="FX62" i="16"/>
  <c r="FW62" i="16"/>
  <c r="FT62" i="16"/>
  <c r="FS62" i="16"/>
  <c r="FR62" i="16"/>
  <c r="FQ62" i="16"/>
  <c r="FP62" i="16"/>
  <c r="FO62" i="16"/>
  <c r="FL62" i="16"/>
  <c r="FK62" i="16"/>
  <c r="FJ62" i="16"/>
  <c r="FI62" i="16"/>
  <c r="FH62" i="16"/>
  <c r="FG62" i="16"/>
  <c r="FD62" i="16"/>
  <c r="FC62" i="16"/>
  <c r="FB62" i="16"/>
  <c r="FA62" i="16"/>
  <c r="EZ62" i="16"/>
  <c r="EY62" i="16"/>
  <c r="EV62" i="16"/>
  <c r="EU62" i="16"/>
  <c r="ET62" i="16"/>
  <c r="ES62" i="16"/>
  <c r="ER62" i="16"/>
  <c r="EQ62" i="16"/>
  <c r="EN62" i="16"/>
  <c r="EM62" i="16"/>
  <c r="EL62" i="16"/>
  <c r="EK62" i="16"/>
  <c r="EJ62" i="16"/>
  <c r="EI62" i="16"/>
  <c r="EF62" i="16"/>
  <c r="EE62" i="16"/>
  <c r="ED62" i="16"/>
  <c r="EC62" i="16"/>
  <c r="EB62" i="16"/>
  <c r="EA62" i="16"/>
  <c r="DX62" i="16"/>
  <c r="DW62" i="16"/>
  <c r="DV62" i="16"/>
  <c r="DU62" i="16"/>
  <c r="DT62" i="16"/>
  <c r="DS62" i="16"/>
  <c r="DP62" i="16"/>
  <c r="DO62" i="16"/>
  <c r="DN62" i="16"/>
  <c r="DM62" i="16"/>
  <c r="DL62" i="16"/>
  <c r="DK62" i="16"/>
  <c r="DG62" i="16"/>
  <c r="DE62" i="16"/>
  <c r="DD62" i="16"/>
  <c r="DC62" i="16"/>
  <c r="DA62" i="16"/>
  <c r="CZ62" i="16"/>
  <c r="CY62" i="16"/>
  <c r="CX62" i="16"/>
  <c r="CU62" i="16"/>
  <c r="CT62" i="16"/>
  <c r="CS62" i="16"/>
  <c r="CR62" i="16"/>
  <c r="CO62" i="16"/>
  <c r="CN62" i="16"/>
  <c r="CM62" i="16"/>
  <c r="CL62" i="16"/>
  <c r="CI62" i="16"/>
  <c r="CH62" i="16"/>
  <c r="CG62" i="16"/>
  <c r="CF62" i="16"/>
  <c r="CC62" i="16"/>
  <c r="CB62" i="16"/>
  <c r="CA62" i="16"/>
  <c r="BZ62" i="16"/>
  <c r="BW62" i="16"/>
  <c r="BV62" i="16"/>
  <c r="BU62" i="16"/>
  <c r="BT62" i="16"/>
  <c r="BQ62" i="16"/>
  <c r="BP62" i="16"/>
  <c r="BO62" i="16"/>
  <c r="BN62" i="16"/>
  <c r="BK62" i="16"/>
  <c r="BJ62" i="16"/>
  <c r="BI62" i="16"/>
  <c r="BH62" i="16"/>
  <c r="BE62" i="16"/>
  <c r="BD62" i="16"/>
  <c r="BC62" i="16"/>
  <c r="BB62" i="16"/>
  <c r="AY62" i="16"/>
  <c r="AX62" i="16"/>
  <c r="AW62" i="16"/>
  <c r="AV62" i="16"/>
  <c r="AS62" i="16"/>
  <c r="AR62" i="16"/>
  <c r="AQ62" i="16"/>
  <c r="AP62" i="16"/>
  <c r="AM62" i="16"/>
  <c r="AL62" i="16"/>
  <c r="AK62" i="16"/>
  <c r="AJ62" i="16"/>
  <c r="AG62" i="16"/>
  <c r="AF62" i="16"/>
  <c r="AE62" i="16"/>
  <c r="AD62" i="16"/>
  <c r="AA62" i="16"/>
  <c r="Z62" i="16"/>
  <c r="Y62" i="16"/>
  <c r="X62" i="16"/>
  <c r="U62" i="16"/>
  <c r="T62" i="16"/>
  <c r="S62" i="16"/>
  <c r="R62" i="16"/>
  <c r="O62" i="16"/>
  <c r="N62" i="16"/>
  <c r="M62" i="16"/>
  <c r="L62" i="16"/>
  <c r="I62" i="16"/>
  <c r="H62" i="16"/>
  <c r="G62" i="16"/>
  <c r="F62" i="16"/>
  <c r="OW61" i="16"/>
  <c r="OV61" i="16"/>
  <c r="OU61" i="16"/>
  <c r="OT61" i="16"/>
  <c r="OS61" i="16"/>
  <c r="OR61" i="16"/>
  <c r="OQ61" i="16"/>
  <c r="OP61" i="16"/>
  <c r="OO61" i="16"/>
  <c r="ON61" i="16"/>
  <c r="OK61" i="16"/>
  <c r="OJ61" i="16"/>
  <c r="OI61" i="16"/>
  <c r="OH61" i="16"/>
  <c r="OG61" i="16"/>
  <c r="OF61" i="16"/>
  <c r="OE61" i="16"/>
  <c r="OB61" i="16"/>
  <c r="OA61" i="16"/>
  <c r="NZ61" i="16"/>
  <c r="NY61" i="16"/>
  <c r="NX61" i="16"/>
  <c r="NW61" i="16"/>
  <c r="NV61" i="16"/>
  <c r="NS61" i="16"/>
  <c r="NR61" i="16"/>
  <c r="NQ61" i="16"/>
  <c r="NP61" i="16"/>
  <c r="NO61" i="16"/>
  <c r="NN61" i="16"/>
  <c r="NM61" i="16"/>
  <c r="NJ61" i="16"/>
  <c r="NI61" i="16"/>
  <c r="NH61" i="16"/>
  <c r="NG61" i="16"/>
  <c r="NF61" i="16"/>
  <c r="NE61" i="16"/>
  <c r="ND61" i="16"/>
  <c r="NA61" i="16"/>
  <c r="MZ61" i="16"/>
  <c r="MY61" i="16"/>
  <c r="MX61" i="16"/>
  <c r="MW61" i="16"/>
  <c r="MV61" i="16"/>
  <c r="MU61" i="16"/>
  <c r="MR61" i="16"/>
  <c r="MQ61" i="16"/>
  <c r="MP61" i="16"/>
  <c r="MO61" i="16"/>
  <c r="MN61" i="16"/>
  <c r="MM61" i="16"/>
  <c r="ML61" i="16"/>
  <c r="MI61" i="16"/>
  <c r="MH61" i="16"/>
  <c r="MG61" i="16"/>
  <c r="MF61" i="16"/>
  <c r="ME61" i="16"/>
  <c r="MD61" i="16"/>
  <c r="MC61" i="16"/>
  <c r="LZ61" i="16"/>
  <c r="LY61" i="16"/>
  <c r="LX61" i="16"/>
  <c r="LW61" i="16"/>
  <c r="LV61" i="16"/>
  <c r="LU61" i="16"/>
  <c r="LT61" i="16"/>
  <c r="LQ61" i="16"/>
  <c r="LP61" i="16"/>
  <c r="LO61" i="16"/>
  <c r="LN61" i="16"/>
  <c r="LM61" i="16"/>
  <c r="LL61" i="16"/>
  <c r="LK61" i="16"/>
  <c r="LH61" i="16"/>
  <c r="LG61" i="16"/>
  <c r="LF61" i="16"/>
  <c r="LE61" i="16"/>
  <c r="LD61" i="16"/>
  <c r="LC61" i="16"/>
  <c r="LB61" i="16"/>
  <c r="KY61" i="16"/>
  <c r="KX61" i="16"/>
  <c r="KW61" i="16"/>
  <c r="KV61" i="16"/>
  <c r="KU61" i="16"/>
  <c r="KT61" i="16"/>
  <c r="KS61" i="16"/>
  <c r="KP61" i="16"/>
  <c r="KO61" i="16"/>
  <c r="KN61" i="16"/>
  <c r="KM61" i="16"/>
  <c r="KL61" i="16"/>
  <c r="KK61" i="16"/>
  <c r="KJ61" i="16"/>
  <c r="KG61" i="16"/>
  <c r="KF61" i="16"/>
  <c r="KE61" i="16"/>
  <c r="KD61" i="16"/>
  <c r="KC61" i="16"/>
  <c r="KB61" i="16"/>
  <c r="KA61" i="16"/>
  <c r="JX61" i="16"/>
  <c r="JW61" i="16"/>
  <c r="JV61" i="16"/>
  <c r="JU61" i="16"/>
  <c r="JT61" i="16"/>
  <c r="JS61" i="16"/>
  <c r="JR61" i="16"/>
  <c r="JO61" i="16"/>
  <c r="JN61" i="16"/>
  <c r="JM61" i="16"/>
  <c r="JL61" i="16"/>
  <c r="JK61" i="16"/>
  <c r="JJ61" i="16"/>
  <c r="JI61" i="16"/>
  <c r="JF61" i="16"/>
  <c r="JE61" i="16"/>
  <c r="JD61" i="16"/>
  <c r="JC61" i="16"/>
  <c r="JB61" i="16"/>
  <c r="JA61" i="16"/>
  <c r="IZ61" i="16"/>
  <c r="IQ61" i="16"/>
  <c r="IP61" i="16"/>
  <c r="IO61" i="16"/>
  <c r="IN61" i="16"/>
  <c r="IM61" i="16"/>
  <c r="IL61" i="16"/>
  <c r="IK61" i="16"/>
  <c r="IJ61" i="16"/>
  <c r="II61" i="16"/>
  <c r="IF61" i="16"/>
  <c r="IE61" i="16"/>
  <c r="ID61" i="16"/>
  <c r="IC61" i="16"/>
  <c r="IB61" i="16"/>
  <c r="IA61" i="16"/>
  <c r="HX61" i="16"/>
  <c r="HW61" i="16"/>
  <c r="HV61" i="16"/>
  <c r="HU61" i="16"/>
  <c r="HT61" i="16"/>
  <c r="HS61" i="16"/>
  <c r="HP61" i="16"/>
  <c r="HO61" i="16"/>
  <c r="HN61" i="16"/>
  <c r="HM61" i="16"/>
  <c r="HL61" i="16"/>
  <c r="HK61" i="16"/>
  <c r="HH61" i="16"/>
  <c r="HG61" i="16"/>
  <c r="HF61" i="16"/>
  <c r="HE61" i="16"/>
  <c r="HD61" i="16"/>
  <c r="HC61" i="16"/>
  <c r="GZ61" i="16"/>
  <c r="GY61" i="16"/>
  <c r="GX61" i="16"/>
  <c r="GW61" i="16"/>
  <c r="GV61" i="16"/>
  <c r="GU61" i="16"/>
  <c r="GR61" i="16"/>
  <c r="GQ61" i="16"/>
  <c r="GP61" i="16"/>
  <c r="GO61" i="16"/>
  <c r="GN61" i="16"/>
  <c r="GM61" i="16"/>
  <c r="GJ61" i="16"/>
  <c r="GI61" i="16"/>
  <c r="GH61" i="16"/>
  <c r="GG61" i="16"/>
  <c r="GF61" i="16"/>
  <c r="GE61" i="16"/>
  <c r="GB61" i="16"/>
  <c r="GA61" i="16"/>
  <c r="FZ61" i="16"/>
  <c r="FY61" i="16"/>
  <c r="FX61" i="16"/>
  <c r="FW61" i="16"/>
  <c r="FT61" i="16"/>
  <c r="FS61" i="16"/>
  <c r="FR61" i="16"/>
  <c r="FQ61" i="16"/>
  <c r="FP61" i="16"/>
  <c r="FO61" i="16"/>
  <c r="FL61" i="16"/>
  <c r="FK61" i="16"/>
  <c r="FJ61" i="16"/>
  <c r="FI61" i="16"/>
  <c r="FH61" i="16"/>
  <c r="FG61" i="16"/>
  <c r="FD61" i="16"/>
  <c r="FC61" i="16"/>
  <c r="FB61" i="16"/>
  <c r="FA61" i="16"/>
  <c r="EZ61" i="16"/>
  <c r="EY61" i="16"/>
  <c r="EV61" i="16"/>
  <c r="EU61" i="16"/>
  <c r="ET61" i="16"/>
  <c r="ES61" i="16"/>
  <c r="ER61" i="16"/>
  <c r="EQ61" i="16"/>
  <c r="EN61" i="16"/>
  <c r="EM61" i="16"/>
  <c r="EL61" i="16"/>
  <c r="EK61" i="16"/>
  <c r="EJ61" i="16"/>
  <c r="EI61" i="16"/>
  <c r="EF61" i="16"/>
  <c r="EE61" i="16"/>
  <c r="ED61" i="16"/>
  <c r="EC61" i="16"/>
  <c r="EB61" i="16"/>
  <c r="EA61" i="16"/>
  <c r="DX61" i="16"/>
  <c r="DW61" i="16"/>
  <c r="DV61" i="16"/>
  <c r="DU61" i="16"/>
  <c r="DT61" i="16"/>
  <c r="DS61" i="16"/>
  <c r="DP61" i="16"/>
  <c r="DO61" i="16"/>
  <c r="DN61" i="16"/>
  <c r="DM61" i="16"/>
  <c r="DL61" i="16"/>
  <c r="DK61" i="16"/>
  <c r="DG61" i="16"/>
  <c r="DE61" i="16"/>
  <c r="DD61" i="16"/>
  <c r="DC61" i="16"/>
  <c r="DA61" i="16"/>
  <c r="CZ61" i="16"/>
  <c r="CY61" i="16"/>
  <c r="CX61" i="16"/>
  <c r="CU61" i="16"/>
  <c r="CT61" i="16"/>
  <c r="CS61" i="16"/>
  <c r="CR61" i="16"/>
  <c r="CO61" i="16"/>
  <c r="CN61" i="16"/>
  <c r="CM61" i="16"/>
  <c r="CL61" i="16"/>
  <c r="CI61" i="16"/>
  <c r="CH61" i="16"/>
  <c r="CG61" i="16"/>
  <c r="CF61" i="16"/>
  <c r="CC61" i="16"/>
  <c r="CB61" i="16"/>
  <c r="CA61" i="16"/>
  <c r="BZ61" i="16"/>
  <c r="BW61" i="16"/>
  <c r="BV61" i="16"/>
  <c r="BU61" i="16"/>
  <c r="BT61" i="16"/>
  <c r="BQ61" i="16"/>
  <c r="BP61" i="16"/>
  <c r="BO61" i="16"/>
  <c r="BN61" i="16"/>
  <c r="BK61" i="16"/>
  <c r="BJ61" i="16"/>
  <c r="BI61" i="16"/>
  <c r="BH61" i="16"/>
  <c r="BE61" i="16"/>
  <c r="BD61" i="16"/>
  <c r="BC61" i="16"/>
  <c r="BB61" i="16"/>
  <c r="AY61" i="16"/>
  <c r="AX61" i="16"/>
  <c r="AW61" i="16"/>
  <c r="AV61" i="16"/>
  <c r="AS61" i="16"/>
  <c r="AR61" i="16"/>
  <c r="AQ61" i="16"/>
  <c r="AP61" i="16"/>
  <c r="AM61" i="16"/>
  <c r="AL61" i="16"/>
  <c r="AK61" i="16"/>
  <c r="AJ61" i="16"/>
  <c r="AG61" i="16"/>
  <c r="AF61" i="16"/>
  <c r="AE61" i="16"/>
  <c r="AD61" i="16"/>
  <c r="AA61" i="16"/>
  <c r="Z61" i="16"/>
  <c r="Y61" i="16"/>
  <c r="X61" i="16"/>
  <c r="U61" i="16"/>
  <c r="T61" i="16"/>
  <c r="S61" i="16"/>
  <c r="R61" i="16"/>
  <c r="O61" i="16"/>
  <c r="N61" i="16"/>
  <c r="M61" i="16"/>
  <c r="L61" i="16"/>
  <c r="I61" i="16"/>
  <c r="H61" i="16"/>
  <c r="G61" i="16"/>
  <c r="F61" i="16"/>
  <c r="OW60" i="16"/>
  <c r="OV60" i="16"/>
  <c r="OU60" i="16"/>
  <c r="OT60" i="16"/>
  <c r="OS60" i="16"/>
  <c r="OR60" i="16"/>
  <c r="OQ60" i="16"/>
  <c r="OP60" i="16"/>
  <c r="OO60" i="16"/>
  <c r="ON60" i="16"/>
  <c r="OK60" i="16"/>
  <c r="OJ60" i="16"/>
  <c r="OI60" i="16"/>
  <c r="OH60" i="16"/>
  <c r="OG60" i="16"/>
  <c r="OF60" i="16"/>
  <c r="OE60" i="16"/>
  <c r="OB60" i="16"/>
  <c r="OA60" i="16"/>
  <c r="NZ60" i="16"/>
  <c r="NY60" i="16"/>
  <c r="NX60" i="16"/>
  <c r="NW60" i="16"/>
  <c r="NV60" i="16"/>
  <c r="NS60" i="16"/>
  <c r="NR60" i="16"/>
  <c r="NQ60" i="16"/>
  <c r="NP60" i="16"/>
  <c r="NO60" i="16"/>
  <c r="NN60" i="16"/>
  <c r="NM60" i="16"/>
  <c r="NJ60" i="16"/>
  <c r="NI60" i="16"/>
  <c r="NH60" i="16"/>
  <c r="NG60" i="16"/>
  <c r="NF60" i="16"/>
  <c r="NE60" i="16"/>
  <c r="ND60" i="16"/>
  <c r="NA60" i="16"/>
  <c r="MZ60" i="16"/>
  <c r="MY60" i="16"/>
  <c r="MX60" i="16"/>
  <c r="MW60" i="16"/>
  <c r="MV60" i="16"/>
  <c r="MU60" i="16"/>
  <c r="MR60" i="16"/>
  <c r="MQ60" i="16"/>
  <c r="MP60" i="16"/>
  <c r="MO60" i="16"/>
  <c r="MN60" i="16"/>
  <c r="MM60" i="16"/>
  <c r="ML60" i="16"/>
  <c r="MI60" i="16"/>
  <c r="MH60" i="16"/>
  <c r="MG60" i="16"/>
  <c r="MF60" i="16"/>
  <c r="ME60" i="16"/>
  <c r="MD60" i="16"/>
  <c r="MC60" i="16"/>
  <c r="LZ60" i="16"/>
  <c r="LY60" i="16"/>
  <c r="LX60" i="16"/>
  <c r="LW60" i="16"/>
  <c r="LV60" i="16"/>
  <c r="LU60" i="16"/>
  <c r="LT60" i="16"/>
  <c r="LQ60" i="16"/>
  <c r="LP60" i="16"/>
  <c r="LO60" i="16"/>
  <c r="LN60" i="16"/>
  <c r="LM60" i="16"/>
  <c r="LL60" i="16"/>
  <c r="LK60" i="16"/>
  <c r="LH60" i="16"/>
  <c r="LG60" i="16"/>
  <c r="LF60" i="16"/>
  <c r="LE60" i="16"/>
  <c r="LD60" i="16"/>
  <c r="LC60" i="16"/>
  <c r="LB60" i="16"/>
  <c r="KY60" i="16"/>
  <c r="KX60" i="16"/>
  <c r="KW60" i="16"/>
  <c r="KV60" i="16"/>
  <c r="KU60" i="16"/>
  <c r="KT60" i="16"/>
  <c r="KS60" i="16"/>
  <c r="KP60" i="16"/>
  <c r="KO60" i="16"/>
  <c r="KN60" i="16"/>
  <c r="KM60" i="16"/>
  <c r="KL60" i="16"/>
  <c r="KK60" i="16"/>
  <c r="KJ60" i="16"/>
  <c r="KG60" i="16"/>
  <c r="KF60" i="16"/>
  <c r="KE60" i="16"/>
  <c r="KD60" i="16"/>
  <c r="KC60" i="16"/>
  <c r="KB60" i="16"/>
  <c r="KA60" i="16"/>
  <c r="JX60" i="16"/>
  <c r="JW60" i="16"/>
  <c r="JV60" i="16"/>
  <c r="JU60" i="16"/>
  <c r="JT60" i="16"/>
  <c r="JS60" i="16"/>
  <c r="JR60" i="16"/>
  <c r="JO60" i="16"/>
  <c r="JN60" i="16"/>
  <c r="JM60" i="16"/>
  <c r="JL60" i="16"/>
  <c r="JK60" i="16"/>
  <c r="JJ60" i="16"/>
  <c r="JI60" i="16"/>
  <c r="JF60" i="16"/>
  <c r="JE60" i="16"/>
  <c r="JD60" i="16"/>
  <c r="JC60" i="16"/>
  <c r="JB60" i="16"/>
  <c r="JA60" i="16"/>
  <c r="IZ60" i="16"/>
  <c r="IQ60" i="16"/>
  <c r="IP60" i="16"/>
  <c r="IO60" i="16"/>
  <c r="IN60" i="16"/>
  <c r="IM60" i="16"/>
  <c r="IL60" i="16"/>
  <c r="IK60" i="16"/>
  <c r="IJ60" i="16"/>
  <c r="II60" i="16"/>
  <c r="IF60" i="16"/>
  <c r="IE60" i="16"/>
  <c r="ID60" i="16"/>
  <c r="IC60" i="16"/>
  <c r="IB60" i="16"/>
  <c r="IA60" i="16"/>
  <c r="HX60" i="16"/>
  <c r="HW60" i="16"/>
  <c r="HV60" i="16"/>
  <c r="HU60" i="16"/>
  <c r="HT60" i="16"/>
  <c r="HS60" i="16"/>
  <c r="HP60" i="16"/>
  <c r="HO60" i="16"/>
  <c r="HN60" i="16"/>
  <c r="HM60" i="16"/>
  <c r="HL60" i="16"/>
  <c r="HK60" i="16"/>
  <c r="HH60" i="16"/>
  <c r="HG60" i="16"/>
  <c r="HF60" i="16"/>
  <c r="HE60" i="16"/>
  <c r="HD60" i="16"/>
  <c r="HC60" i="16"/>
  <c r="GZ60" i="16"/>
  <c r="GY60" i="16"/>
  <c r="GX60" i="16"/>
  <c r="GW60" i="16"/>
  <c r="GV60" i="16"/>
  <c r="GU60" i="16"/>
  <c r="GR60" i="16"/>
  <c r="GQ60" i="16"/>
  <c r="GP60" i="16"/>
  <c r="GO60" i="16"/>
  <c r="GN60" i="16"/>
  <c r="GM60" i="16"/>
  <c r="GJ60" i="16"/>
  <c r="GI60" i="16"/>
  <c r="GH60" i="16"/>
  <c r="GG60" i="16"/>
  <c r="GF60" i="16"/>
  <c r="GE60" i="16"/>
  <c r="GB60" i="16"/>
  <c r="GA60" i="16"/>
  <c r="FZ60" i="16"/>
  <c r="FY60" i="16"/>
  <c r="FX60" i="16"/>
  <c r="FW60" i="16"/>
  <c r="FT60" i="16"/>
  <c r="FS60" i="16"/>
  <c r="FR60" i="16"/>
  <c r="FQ60" i="16"/>
  <c r="FP60" i="16"/>
  <c r="FO60" i="16"/>
  <c r="FL60" i="16"/>
  <c r="FK60" i="16"/>
  <c r="FJ60" i="16"/>
  <c r="FI60" i="16"/>
  <c r="FH60" i="16"/>
  <c r="FG60" i="16"/>
  <c r="FD60" i="16"/>
  <c r="FC60" i="16"/>
  <c r="FB60" i="16"/>
  <c r="FA60" i="16"/>
  <c r="EZ60" i="16"/>
  <c r="EY60" i="16"/>
  <c r="EV60" i="16"/>
  <c r="EU60" i="16"/>
  <c r="ET60" i="16"/>
  <c r="ES60" i="16"/>
  <c r="ER60" i="16"/>
  <c r="EQ60" i="16"/>
  <c r="EN60" i="16"/>
  <c r="EM60" i="16"/>
  <c r="EL60" i="16"/>
  <c r="EK60" i="16"/>
  <c r="EJ60" i="16"/>
  <c r="EI60" i="16"/>
  <c r="EF60" i="16"/>
  <c r="EE60" i="16"/>
  <c r="ED60" i="16"/>
  <c r="EC60" i="16"/>
  <c r="EB60" i="16"/>
  <c r="EA60" i="16"/>
  <c r="DX60" i="16"/>
  <c r="DW60" i="16"/>
  <c r="DV60" i="16"/>
  <c r="DU60" i="16"/>
  <c r="DT60" i="16"/>
  <c r="DS60" i="16"/>
  <c r="DP60" i="16"/>
  <c r="DO60" i="16"/>
  <c r="DN60" i="16"/>
  <c r="DM60" i="16"/>
  <c r="DL60" i="16"/>
  <c r="DK60" i="16"/>
  <c r="DG60" i="16"/>
  <c r="DE60" i="16"/>
  <c r="DD60" i="16"/>
  <c r="DC60" i="16"/>
  <c r="DA60" i="16"/>
  <c r="CZ60" i="16"/>
  <c r="CY60" i="16"/>
  <c r="CX60" i="16"/>
  <c r="CU60" i="16"/>
  <c r="CT60" i="16"/>
  <c r="CS60" i="16"/>
  <c r="CR60" i="16"/>
  <c r="CO60" i="16"/>
  <c r="CN60" i="16"/>
  <c r="CM60" i="16"/>
  <c r="CL60" i="16"/>
  <c r="CI60" i="16"/>
  <c r="CH60" i="16"/>
  <c r="CG60" i="16"/>
  <c r="CF60" i="16"/>
  <c r="CC60" i="16"/>
  <c r="CB60" i="16"/>
  <c r="CA60" i="16"/>
  <c r="BZ60" i="16"/>
  <c r="BW60" i="16"/>
  <c r="BV60" i="16"/>
  <c r="BU60" i="16"/>
  <c r="BT60" i="16"/>
  <c r="BQ60" i="16"/>
  <c r="BP60" i="16"/>
  <c r="BO60" i="16"/>
  <c r="BN60" i="16"/>
  <c r="BK60" i="16"/>
  <c r="BJ60" i="16"/>
  <c r="BI60" i="16"/>
  <c r="BH60" i="16"/>
  <c r="BE60" i="16"/>
  <c r="BD60" i="16"/>
  <c r="BC60" i="16"/>
  <c r="BB60" i="16"/>
  <c r="AY60" i="16"/>
  <c r="AX60" i="16"/>
  <c r="AW60" i="16"/>
  <c r="AV60" i="16"/>
  <c r="AS60" i="16"/>
  <c r="AR60" i="16"/>
  <c r="AQ60" i="16"/>
  <c r="AP60" i="16"/>
  <c r="AM60" i="16"/>
  <c r="AL60" i="16"/>
  <c r="AK60" i="16"/>
  <c r="AJ60" i="16"/>
  <c r="AG60" i="16"/>
  <c r="AF60" i="16"/>
  <c r="AE60" i="16"/>
  <c r="AD60" i="16"/>
  <c r="AA60" i="16"/>
  <c r="Z60" i="16"/>
  <c r="Y60" i="16"/>
  <c r="X60" i="16"/>
  <c r="U60" i="16"/>
  <c r="T60" i="16"/>
  <c r="S60" i="16"/>
  <c r="R60" i="16"/>
  <c r="O60" i="16"/>
  <c r="N60" i="16"/>
  <c r="M60" i="16"/>
  <c r="L60" i="16"/>
  <c r="I60" i="16"/>
  <c r="H60" i="16"/>
  <c r="G60" i="16"/>
  <c r="F60" i="16"/>
  <c r="OW59" i="16"/>
  <c r="OV59" i="16"/>
  <c r="OU59" i="16"/>
  <c r="OT59" i="16"/>
  <c r="OS59" i="16"/>
  <c r="OR59" i="16"/>
  <c r="OQ59" i="16"/>
  <c r="OP59" i="16"/>
  <c r="OO59" i="16"/>
  <c r="ON59" i="16"/>
  <c r="OK59" i="16"/>
  <c r="OJ59" i="16"/>
  <c r="OI59" i="16"/>
  <c r="OH59" i="16"/>
  <c r="OG59" i="16"/>
  <c r="OF59" i="16"/>
  <c r="OE59" i="16"/>
  <c r="OB59" i="16"/>
  <c r="OA59" i="16"/>
  <c r="NZ59" i="16"/>
  <c r="NY59" i="16"/>
  <c r="NX59" i="16"/>
  <c r="NW59" i="16"/>
  <c r="NV59" i="16"/>
  <c r="NS59" i="16"/>
  <c r="NR59" i="16"/>
  <c r="NQ59" i="16"/>
  <c r="NP59" i="16"/>
  <c r="NO59" i="16"/>
  <c r="NN59" i="16"/>
  <c r="NM59" i="16"/>
  <c r="NJ59" i="16"/>
  <c r="NI59" i="16"/>
  <c r="NH59" i="16"/>
  <c r="NG59" i="16"/>
  <c r="NF59" i="16"/>
  <c r="NE59" i="16"/>
  <c r="ND59" i="16"/>
  <c r="NA59" i="16"/>
  <c r="MZ59" i="16"/>
  <c r="MY59" i="16"/>
  <c r="MX59" i="16"/>
  <c r="MW59" i="16"/>
  <c r="MV59" i="16"/>
  <c r="MU59" i="16"/>
  <c r="MR59" i="16"/>
  <c r="MQ59" i="16"/>
  <c r="MP59" i="16"/>
  <c r="MO59" i="16"/>
  <c r="MN59" i="16"/>
  <c r="MM59" i="16"/>
  <c r="ML59" i="16"/>
  <c r="MI59" i="16"/>
  <c r="MH59" i="16"/>
  <c r="MG59" i="16"/>
  <c r="MF59" i="16"/>
  <c r="ME59" i="16"/>
  <c r="MD59" i="16"/>
  <c r="MC59" i="16"/>
  <c r="LZ59" i="16"/>
  <c r="LY59" i="16"/>
  <c r="LX59" i="16"/>
  <c r="LW59" i="16"/>
  <c r="LV59" i="16"/>
  <c r="LU59" i="16"/>
  <c r="LT59" i="16"/>
  <c r="LQ59" i="16"/>
  <c r="LP59" i="16"/>
  <c r="LO59" i="16"/>
  <c r="LN59" i="16"/>
  <c r="LM59" i="16"/>
  <c r="LL59" i="16"/>
  <c r="LK59" i="16"/>
  <c r="LH59" i="16"/>
  <c r="LG59" i="16"/>
  <c r="LF59" i="16"/>
  <c r="LE59" i="16"/>
  <c r="LD59" i="16"/>
  <c r="LC59" i="16"/>
  <c r="LB59" i="16"/>
  <c r="KY59" i="16"/>
  <c r="KX59" i="16"/>
  <c r="KW59" i="16"/>
  <c r="KV59" i="16"/>
  <c r="KU59" i="16"/>
  <c r="KT59" i="16"/>
  <c r="KS59" i="16"/>
  <c r="KP59" i="16"/>
  <c r="KO59" i="16"/>
  <c r="KN59" i="16"/>
  <c r="KM59" i="16"/>
  <c r="KL59" i="16"/>
  <c r="KK59" i="16"/>
  <c r="KJ59" i="16"/>
  <c r="KG59" i="16"/>
  <c r="KF59" i="16"/>
  <c r="KE59" i="16"/>
  <c r="KD59" i="16"/>
  <c r="KC59" i="16"/>
  <c r="KB59" i="16"/>
  <c r="KA59" i="16"/>
  <c r="JX59" i="16"/>
  <c r="JW59" i="16"/>
  <c r="JV59" i="16"/>
  <c r="JU59" i="16"/>
  <c r="JT59" i="16"/>
  <c r="JS59" i="16"/>
  <c r="JR59" i="16"/>
  <c r="JO59" i="16"/>
  <c r="JN59" i="16"/>
  <c r="JM59" i="16"/>
  <c r="JL59" i="16"/>
  <c r="JK59" i="16"/>
  <c r="JJ59" i="16"/>
  <c r="JI59" i="16"/>
  <c r="JF59" i="16"/>
  <c r="JE59" i="16"/>
  <c r="JD59" i="16"/>
  <c r="JC59" i="16"/>
  <c r="JB59" i="16"/>
  <c r="JA59" i="16"/>
  <c r="IZ59" i="16"/>
  <c r="IQ59" i="16"/>
  <c r="IP59" i="16"/>
  <c r="IO59" i="16"/>
  <c r="IN59" i="16"/>
  <c r="IM59" i="16"/>
  <c r="IL59" i="16"/>
  <c r="IK59" i="16"/>
  <c r="IJ59" i="16"/>
  <c r="II59" i="16"/>
  <c r="IF59" i="16"/>
  <c r="IE59" i="16"/>
  <c r="ID59" i="16"/>
  <c r="IC59" i="16"/>
  <c r="IB59" i="16"/>
  <c r="IA59" i="16"/>
  <c r="HX59" i="16"/>
  <c r="HW59" i="16"/>
  <c r="HV59" i="16"/>
  <c r="HU59" i="16"/>
  <c r="HT59" i="16"/>
  <c r="HS59" i="16"/>
  <c r="HP59" i="16"/>
  <c r="HO59" i="16"/>
  <c r="HN59" i="16"/>
  <c r="HM59" i="16"/>
  <c r="HL59" i="16"/>
  <c r="HK59" i="16"/>
  <c r="HH59" i="16"/>
  <c r="HG59" i="16"/>
  <c r="HF59" i="16"/>
  <c r="HE59" i="16"/>
  <c r="HD59" i="16"/>
  <c r="HC59" i="16"/>
  <c r="GZ59" i="16"/>
  <c r="GY59" i="16"/>
  <c r="GX59" i="16"/>
  <c r="GW59" i="16"/>
  <c r="GV59" i="16"/>
  <c r="GU59" i="16"/>
  <c r="GR59" i="16"/>
  <c r="GQ59" i="16"/>
  <c r="GP59" i="16"/>
  <c r="GO59" i="16"/>
  <c r="GN59" i="16"/>
  <c r="GM59" i="16"/>
  <c r="GJ59" i="16"/>
  <c r="GI59" i="16"/>
  <c r="GH59" i="16"/>
  <c r="GG59" i="16"/>
  <c r="GF59" i="16"/>
  <c r="GE59" i="16"/>
  <c r="GB59" i="16"/>
  <c r="GA59" i="16"/>
  <c r="FZ59" i="16"/>
  <c r="FY59" i="16"/>
  <c r="FX59" i="16"/>
  <c r="FW59" i="16"/>
  <c r="FT59" i="16"/>
  <c r="FS59" i="16"/>
  <c r="FR59" i="16"/>
  <c r="FQ59" i="16"/>
  <c r="FP59" i="16"/>
  <c r="FO59" i="16"/>
  <c r="FL59" i="16"/>
  <c r="FK59" i="16"/>
  <c r="FJ59" i="16"/>
  <c r="FI59" i="16"/>
  <c r="FH59" i="16"/>
  <c r="FG59" i="16"/>
  <c r="FD59" i="16"/>
  <c r="FC59" i="16"/>
  <c r="FB59" i="16"/>
  <c r="FA59" i="16"/>
  <c r="EZ59" i="16"/>
  <c r="EY59" i="16"/>
  <c r="EV59" i="16"/>
  <c r="EU59" i="16"/>
  <c r="ET59" i="16"/>
  <c r="ES59" i="16"/>
  <c r="ER59" i="16"/>
  <c r="EQ59" i="16"/>
  <c r="EN59" i="16"/>
  <c r="EM59" i="16"/>
  <c r="EL59" i="16"/>
  <c r="EK59" i="16"/>
  <c r="EJ59" i="16"/>
  <c r="EI59" i="16"/>
  <c r="EF59" i="16"/>
  <c r="EE59" i="16"/>
  <c r="ED59" i="16"/>
  <c r="EC59" i="16"/>
  <c r="EB59" i="16"/>
  <c r="EA59" i="16"/>
  <c r="DX59" i="16"/>
  <c r="DW59" i="16"/>
  <c r="DV59" i="16"/>
  <c r="DU59" i="16"/>
  <c r="DT59" i="16"/>
  <c r="DS59" i="16"/>
  <c r="DP59" i="16"/>
  <c r="DO59" i="16"/>
  <c r="DN59" i="16"/>
  <c r="DM59" i="16"/>
  <c r="DL59" i="16"/>
  <c r="DK59" i="16"/>
  <c r="DG59" i="16"/>
  <c r="DE59" i="16"/>
  <c r="DD59" i="16"/>
  <c r="DC59" i="16"/>
  <c r="DA59" i="16"/>
  <c r="CZ59" i="16"/>
  <c r="CY59" i="16"/>
  <c r="CX59" i="16"/>
  <c r="CU59" i="16"/>
  <c r="CT59" i="16"/>
  <c r="CS59" i="16"/>
  <c r="CR59" i="16"/>
  <c r="CO59" i="16"/>
  <c r="CN59" i="16"/>
  <c r="CM59" i="16"/>
  <c r="CL59" i="16"/>
  <c r="CI59" i="16"/>
  <c r="CH59" i="16"/>
  <c r="CG59" i="16"/>
  <c r="CF59" i="16"/>
  <c r="CC59" i="16"/>
  <c r="CB59" i="16"/>
  <c r="CA59" i="16"/>
  <c r="BZ59" i="16"/>
  <c r="BW59" i="16"/>
  <c r="BV59" i="16"/>
  <c r="BU59" i="16"/>
  <c r="BT59" i="16"/>
  <c r="BQ59" i="16"/>
  <c r="BP59" i="16"/>
  <c r="BO59" i="16"/>
  <c r="BN59" i="16"/>
  <c r="BK59" i="16"/>
  <c r="BJ59" i="16"/>
  <c r="BI59" i="16"/>
  <c r="BH59" i="16"/>
  <c r="BE59" i="16"/>
  <c r="BD59" i="16"/>
  <c r="BC59" i="16"/>
  <c r="BB59" i="16"/>
  <c r="AY59" i="16"/>
  <c r="AX59" i="16"/>
  <c r="AW59" i="16"/>
  <c r="AV59" i="16"/>
  <c r="AS59" i="16"/>
  <c r="AR59" i="16"/>
  <c r="AQ59" i="16"/>
  <c r="AP59" i="16"/>
  <c r="AM59" i="16"/>
  <c r="AL59" i="16"/>
  <c r="AK59" i="16"/>
  <c r="AJ59" i="16"/>
  <c r="AG59" i="16"/>
  <c r="AF59" i="16"/>
  <c r="AE59" i="16"/>
  <c r="AD59" i="16"/>
  <c r="AA59" i="16"/>
  <c r="Z59" i="16"/>
  <c r="Y59" i="16"/>
  <c r="X59" i="16"/>
  <c r="U59" i="16"/>
  <c r="T59" i="16"/>
  <c r="S59" i="16"/>
  <c r="R59" i="16"/>
  <c r="O59" i="16"/>
  <c r="N59" i="16"/>
  <c r="M59" i="16"/>
  <c r="L59" i="16"/>
  <c r="I59" i="16"/>
  <c r="H59" i="16"/>
  <c r="G59" i="16"/>
  <c r="F59" i="16"/>
  <c r="OW58" i="16"/>
  <c r="OV58" i="16"/>
  <c r="OU58" i="16"/>
  <c r="OT58" i="16"/>
  <c r="OS58" i="16"/>
  <c r="OR58" i="16"/>
  <c r="OQ58" i="16"/>
  <c r="OP58" i="16"/>
  <c r="OO58" i="16"/>
  <c r="ON58" i="16"/>
  <c r="OK58" i="16"/>
  <c r="OJ58" i="16"/>
  <c r="OI58" i="16"/>
  <c r="OH58" i="16"/>
  <c r="OG58" i="16"/>
  <c r="OF58" i="16"/>
  <c r="OE58" i="16"/>
  <c r="OB58" i="16"/>
  <c r="OA58" i="16"/>
  <c r="NZ58" i="16"/>
  <c r="NY58" i="16"/>
  <c r="NX58" i="16"/>
  <c r="NW58" i="16"/>
  <c r="NV58" i="16"/>
  <c r="NS58" i="16"/>
  <c r="NR58" i="16"/>
  <c r="NQ58" i="16"/>
  <c r="NP58" i="16"/>
  <c r="NO58" i="16"/>
  <c r="NN58" i="16"/>
  <c r="NM58" i="16"/>
  <c r="NJ58" i="16"/>
  <c r="NI58" i="16"/>
  <c r="NH58" i="16"/>
  <c r="NG58" i="16"/>
  <c r="NF58" i="16"/>
  <c r="NE58" i="16"/>
  <c r="ND58" i="16"/>
  <c r="NA58" i="16"/>
  <c r="MZ58" i="16"/>
  <c r="MY58" i="16"/>
  <c r="MX58" i="16"/>
  <c r="MW58" i="16"/>
  <c r="MV58" i="16"/>
  <c r="MU58" i="16"/>
  <c r="MR58" i="16"/>
  <c r="MQ58" i="16"/>
  <c r="MP58" i="16"/>
  <c r="MO58" i="16"/>
  <c r="MN58" i="16"/>
  <c r="MM58" i="16"/>
  <c r="ML58" i="16"/>
  <c r="MI58" i="16"/>
  <c r="MH58" i="16"/>
  <c r="MG58" i="16"/>
  <c r="MF58" i="16"/>
  <c r="ME58" i="16"/>
  <c r="MD58" i="16"/>
  <c r="MC58" i="16"/>
  <c r="LZ58" i="16"/>
  <c r="LY58" i="16"/>
  <c r="LX58" i="16"/>
  <c r="LW58" i="16"/>
  <c r="LV58" i="16"/>
  <c r="LU58" i="16"/>
  <c r="LT58" i="16"/>
  <c r="LQ58" i="16"/>
  <c r="LP58" i="16"/>
  <c r="LO58" i="16"/>
  <c r="LN58" i="16"/>
  <c r="LM58" i="16"/>
  <c r="LL58" i="16"/>
  <c r="LK58" i="16"/>
  <c r="LH58" i="16"/>
  <c r="LG58" i="16"/>
  <c r="LF58" i="16"/>
  <c r="LE58" i="16"/>
  <c r="LD58" i="16"/>
  <c r="LC58" i="16"/>
  <c r="LB58" i="16"/>
  <c r="KY58" i="16"/>
  <c r="KX58" i="16"/>
  <c r="KW58" i="16"/>
  <c r="KV58" i="16"/>
  <c r="KU58" i="16"/>
  <c r="KT58" i="16"/>
  <c r="KS58" i="16"/>
  <c r="KP58" i="16"/>
  <c r="KO58" i="16"/>
  <c r="KN58" i="16"/>
  <c r="KM58" i="16"/>
  <c r="KL58" i="16"/>
  <c r="KK58" i="16"/>
  <c r="KJ58" i="16"/>
  <c r="KG58" i="16"/>
  <c r="KF58" i="16"/>
  <c r="KE58" i="16"/>
  <c r="KD58" i="16"/>
  <c r="KC58" i="16"/>
  <c r="KB58" i="16"/>
  <c r="KA58" i="16"/>
  <c r="JX58" i="16"/>
  <c r="JW58" i="16"/>
  <c r="JV58" i="16"/>
  <c r="JU58" i="16"/>
  <c r="JT58" i="16"/>
  <c r="JS58" i="16"/>
  <c r="JR58" i="16"/>
  <c r="JO58" i="16"/>
  <c r="JN58" i="16"/>
  <c r="JM58" i="16"/>
  <c r="JL58" i="16"/>
  <c r="JK58" i="16"/>
  <c r="JJ58" i="16"/>
  <c r="JI58" i="16"/>
  <c r="JF58" i="16"/>
  <c r="JE58" i="16"/>
  <c r="JD58" i="16"/>
  <c r="JC58" i="16"/>
  <c r="JB58" i="16"/>
  <c r="JA58" i="16"/>
  <c r="IZ58" i="16"/>
  <c r="IQ58" i="16"/>
  <c r="IP58" i="16"/>
  <c r="IO58" i="16"/>
  <c r="IN58" i="16"/>
  <c r="IM58" i="16"/>
  <c r="IL58" i="16"/>
  <c r="IK58" i="16"/>
  <c r="IJ58" i="16"/>
  <c r="II58" i="16"/>
  <c r="IF58" i="16"/>
  <c r="IE58" i="16"/>
  <c r="ID58" i="16"/>
  <c r="IC58" i="16"/>
  <c r="IB58" i="16"/>
  <c r="IA58" i="16"/>
  <c r="HX58" i="16"/>
  <c r="HW58" i="16"/>
  <c r="HV58" i="16"/>
  <c r="HU58" i="16"/>
  <c r="HT58" i="16"/>
  <c r="HS58" i="16"/>
  <c r="HP58" i="16"/>
  <c r="HO58" i="16"/>
  <c r="HN58" i="16"/>
  <c r="HM58" i="16"/>
  <c r="HL58" i="16"/>
  <c r="HK58" i="16"/>
  <c r="HH58" i="16"/>
  <c r="HG58" i="16"/>
  <c r="HF58" i="16"/>
  <c r="HE58" i="16"/>
  <c r="HD58" i="16"/>
  <c r="HC58" i="16"/>
  <c r="GZ58" i="16"/>
  <c r="GY58" i="16"/>
  <c r="GX58" i="16"/>
  <c r="GW58" i="16"/>
  <c r="GV58" i="16"/>
  <c r="GU58" i="16"/>
  <c r="GR58" i="16"/>
  <c r="GQ58" i="16"/>
  <c r="GP58" i="16"/>
  <c r="GO58" i="16"/>
  <c r="GN58" i="16"/>
  <c r="GM58" i="16"/>
  <c r="GJ58" i="16"/>
  <c r="GI58" i="16"/>
  <c r="GH58" i="16"/>
  <c r="GG58" i="16"/>
  <c r="GF58" i="16"/>
  <c r="GE58" i="16"/>
  <c r="GB58" i="16"/>
  <c r="GA58" i="16"/>
  <c r="FZ58" i="16"/>
  <c r="FY58" i="16"/>
  <c r="FX58" i="16"/>
  <c r="FW58" i="16"/>
  <c r="FT58" i="16"/>
  <c r="FS58" i="16"/>
  <c r="FR58" i="16"/>
  <c r="FQ58" i="16"/>
  <c r="FP58" i="16"/>
  <c r="FO58" i="16"/>
  <c r="FL58" i="16"/>
  <c r="FK58" i="16"/>
  <c r="FJ58" i="16"/>
  <c r="FI58" i="16"/>
  <c r="FH58" i="16"/>
  <c r="FG58" i="16"/>
  <c r="FD58" i="16"/>
  <c r="FC58" i="16"/>
  <c r="FB58" i="16"/>
  <c r="FA58" i="16"/>
  <c r="EZ58" i="16"/>
  <c r="EY58" i="16"/>
  <c r="EV58" i="16"/>
  <c r="EU58" i="16"/>
  <c r="ET58" i="16"/>
  <c r="ES58" i="16"/>
  <c r="ER58" i="16"/>
  <c r="EQ58" i="16"/>
  <c r="EN58" i="16"/>
  <c r="EM58" i="16"/>
  <c r="EL58" i="16"/>
  <c r="EK58" i="16"/>
  <c r="EJ58" i="16"/>
  <c r="EI58" i="16"/>
  <c r="EF58" i="16"/>
  <c r="EE58" i="16"/>
  <c r="ED58" i="16"/>
  <c r="EC58" i="16"/>
  <c r="EB58" i="16"/>
  <c r="EA58" i="16"/>
  <c r="DX58" i="16"/>
  <c r="DW58" i="16"/>
  <c r="DV58" i="16"/>
  <c r="DU58" i="16"/>
  <c r="DT58" i="16"/>
  <c r="DS58" i="16"/>
  <c r="DP58" i="16"/>
  <c r="DO58" i="16"/>
  <c r="DN58" i="16"/>
  <c r="DM58" i="16"/>
  <c r="DL58" i="16"/>
  <c r="DK58" i="16"/>
  <c r="DG58" i="16"/>
  <c r="DE58" i="16"/>
  <c r="DD58" i="16"/>
  <c r="DC58" i="16"/>
  <c r="DA58" i="16"/>
  <c r="CZ58" i="16"/>
  <c r="CY58" i="16"/>
  <c r="CX58" i="16"/>
  <c r="CU58" i="16"/>
  <c r="CT58" i="16"/>
  <c r="CS58" i="16"/>
  <c r="CR58" i="16"/>
  <c r="CO58" i="16"/>
  <c r="CN58" i="16"/>
  <c r="CM58" i="16"/>
  <c r="CL58" i="16"/>
  <c r="CI58" i="16"/>
  <c r="CH58" i="16"/>
  <c r="CG58" i="16"/>
  <c r="CF58" i="16"/>
  <c r="CC58" i="16"/>
  <c r="CB58" i="16"/>
  <c r="CA58" i="16"/>
  <c r="BZ58" i="16"/>
  <c r="BW58" i="16"/>
  <c r="BV58" i="16"/>
  <c r="BU58" i="16"/>
  <c r="BT58" i="16"/>
  <c r="BQ58" i="16"/>
  <c r="BP58" i="16"/>
  <c r="BO58" i="16"/>
  <c r="BN58" i="16"/>
  <c r="BK58" i="16"/>
  <c r="BJ58" i="16"/>
  <c r="BI58" i="16"/>
  <c r="BH58" i="16"/>
  <c r="BE58" i="16"/>
  <c r="BD58" i="16"/>
  <c r="BC58" i="16"/>
  <c r="BB58" i="16"/>
  <c r="AY58" i="16"/>
  <c r="AX58" i="16"/>
  <c r="AW58" i="16"/>
  <c r="AV58" i="16"/>
  <c r="AS58" i="16"/>
  <c r="AR58" i="16"/>
  <c r="AQ58" i="16"/>
  <c r="AP58" i="16"/>
  <c r="AM58" i="16"/>
  <c r="AL58" i="16"/>
  <c r="AK58" i="16"/>
  <c r="AJ58" i="16"/>
  <c r="AG58" i="16"/>
  <c r="AF58" i="16"/>
  <c r="AE58" i="16"/>
  <c r="AD58" i="16"/>
  <c r="AA58" i="16"/>
  <c r="Z58" i="16"/>
  <c r="Y58" i="16"/>
  <c r="X58" i="16"/>
  <c r="U58" i="16"/>
  <c r="T58" i="16"/>
  <c r="S58" i="16"/>
  <c r="R58" i="16"/>
  <c r="O58" i="16"/>
  <c r="N58" i="16"/>
  <c r="M58" i="16"/>
  <c r="L58" i="16"/>
  <c r="I58" i="16"/>
  <c r="H58" i="16"/>
  <c r="G58" i="16"/>
  <c r="F58" i="16"/>
  <c r="OW57" i="16"/>
  <c r="OV57" i="16"/>
  <c r="OU57" i="16"/>
  <c r="OT57" i="16"/>
  <c r="OS57" i="16"/>
  <c r="OR57" i="16"/>
  <c r="OQ57" i="16"/>
  <c r="OP57" i="16"/>
  <c r="OO57" i="16"/>
  <c r="ON57" i="16"/>
  <c r="OK57" i="16"/>
  <c r="OJ57" i="16"/>
  <c r="OI57" i="16"/>
  <c r="OH57" i="16"/>
  <c r="OG57" i="16"/>
  <c r="OF57" i="16"/>
  <c r="OE57" i="16"/>
  <c r="OB57" i="16"/>
  <c r="OA57" i="16"/>
  <c r="NZ57" i="16"/>
  <c r="NY57" i="16"/>
  <c r="NX57" i="16"/>
  <c r="NW57" i="16"/>
  <c r="NV57" i="16"/>
  <c r="NS57" i="16"/>
  <c r="NR57" i="16"/>
  <c r="NQ57" i="16"/>
  <c r="NP57" i="16"/>
  <c r="NO57" i="16"/>
  <c r="NN57" i="16"/>
  <c r="NM57" i="16"/>
  <c r="NJ57" i="16"/>
  <c r="NI57" i="16"/>
  <c r="NH57" i="16"/>
  <c r="NG57" i="16"/>
  <c r="NF57" i="16"/>
  <c r="NE57" i="16"/>
  <c r="ND57" i="16"/>
  <c r="NA57" i="16"/>
  <c r="MZ57" i="16"/>
  <c r="MY57" i="16"/>
  <c r="MX57" i="16"/>
  <c r="MW57" i="16"/>
  <c r="MV57" i="16"/>
  <c r="MU57" i="16"/>
  <c r="MR57" i="16"/>
  <c r="MQ57" i="16"/>
  <c r="MP57" i="16"/>
  <c r="MO57" i="16"/>
  <c r="MN57" i="16"/>
  <c r="MM57" i="16"/>
  <c r="ML57" i="16"/>
  <c r="MI57" i="16"/>
  <c r="MH57" i="16"/>
  <c r="MG57" i="16"/>
  <c r="MF57" i="16"/>
  <c r="ME57" i="16"/>
  <c r="MD57" i="16"/>
  <c r="MC57" i="16"/>
  <c r="LZ57" i="16"/>
  <c r="LY57" i="16"/>
  <c r="LX57" i="16"/>
  <c r="LW57" i="16"/>
  <c r="LV57" i="16"/>
  <c r="LU57" i="16"/>
  <c r="LT57" i="16"/>
  <c r="LQ57" i="16"/>
  <c r="LP57" i="16"/>
  <c r="LO57" i="16"/>
  <c r="LN57" i="16"/>
  <c r="LM57" i="16"/>
  <c r="LL57" i="16"/>
  <c r="LK57" i="16"/>
  <c r="LH57" i="16"/>
  <c r="LG57" i="16"/>
  <c r="LF57" i="16"/>
  <c r="LE57" i="16"/>
  <c r="LD57" i="16"/>
  <c r="LC57" i="16"/>
  <c r="LB57" i="16"/>
  <c r="KY57" i="16"/>
  <c r="KX57" i="16"/>
  <c r="KW57" i="16"/>
  <c r="KV57" i="16"/>
  <c r="KU57" i="16"/>
  <c r="KT57" i="16"/>
  <c r="KS57" i="16"/>
  <c r="KP57" i="16"/>
  <c r="KO57" i="16"/>
  <c r="KN57" i="16"/>
  <c r="KM57" i="16"/>
  <c r="KL57" i="16"/>
  <c r="KK57" i="16"/>
  <c r="KJ57" i="16"/>
  <c r="KG57" i="16"/>
  <c r="KF57" i="16"/>
  <c r="KE57" i="16"/>
  <c r="KD57" i="16"/>
  <c r="KC57" i="16"/>
  <c r="KB57" i="16"/>
  <c r="KA57" i="16"/>
  <c r="JX57" i="16"/>
  <c r="JW57" i="16"/>
  <c r="JV57" i="16"/>
  <c r="JU57" i="16"/>
  <c r="JT57" i="16"/>
  <c r="JS57" i="16"/>
  <c r="JR57" i="16"/>
  <c r="JO57" i="16"/>
  <c r="JN57" i="16"/>
  <c r="JM57" i="16"/>
  <c r="JL57" i="16"/>
  <c r="JK57" i="16"/>
  <c r="JJ57" i="16"/>
  <c r="JI57" i="16"/>
  <c r="JF57" i="16"/>
  <c r="JE57" i="16"/>
  <c r="JD57" i="16"/>
  <c r="JC57" i="16"/>
  <c r="JB57" i="16"/>
  <c r="JA57" i="16"/>
  <c r="IZ57" i="16"/>
  <c r="IQ57" i="16"/>
  <c r="IP57" i="16"/>
  <c r="IO57" i="16"/>
  <c r="IN57" i="16"/>
  <c r="IM57" i="16"/>
  <c r="IL57" i="16"/>
  <c r="IK57" i="16"/>
  <c r="IJ57" i="16"/>
  <c r="II57" i="16"/>
  <c r="IF57" i="16"/>
  <c r="IE57" i="16"/>
  <c r="ID57" i="16"/>
  <c r="IC57" i="16"/>
  <c r="IB57" i="16"/>
  <c r="IA57" i="16"/>
  <c r="HX57" i="16"/>
  <c r="HW57" i="16"/>
  <c r="HV57" i="16"/>
  <c r="HU57" i="16"/>
  <c r="HT57" i="16"/>
  <c r="HS57" i="16"/>
  <c r="HP57" i="16"/>
  <c r="HO57" i="16"/>
  <c r="HN57" i="16"/>
  <c r="HM57" i="16"/>
  <c r="HL57" i="16"/>
  <c r="HK57" i="16"/>
  <c r="HH57" i="16"/>
  <c r="HG57" i="16"/>
  <c r="HF57" i="16"/>
  <c r="HE57" i="16"/>
  <c r="HD57" i="16"/>
  <c r="HC57" i="16"/>
  <c r="GZ57" i="16"/>
  <c r="GY57" i="16"/>
  <c r="GX57" i="16"/>
  <c r="GW57" i="16"/>
  <c r="GV57" i="16"/>
  <c r="GU57" i="16"/>
  <c r="GR57" i="16"/>
  <c r="GQ57" i="16"/>
  <c r="GP57" i="16"/>
  <c r="GO57" i="16"/>
  <c r="GN57" i="16"/>
  <c r="GM57" i="16"/>
  <c r="GJ57" i="16"/>
  <c r="GI57" i="16"/>
  <c r="GH57" i="16"/>
  <c r="GG57" i="16"/>
  <c r="GF57" i="16"/>
  <c r="GE57" i="16"/>
  <c r="GB57" i="16"/>
  <c r="GA57" i="16"/>
  <c r="FZ57" i="16"/>
  <c r="FY57" i="16"/>
  <c r="FX57" i="16"/>
  <c r="FW57" i="16"/>
  <c r="FT57" i="16"/>
  <c r="FS57" i="16"/>
  <c r="FR57" i="16"/>
  <c r="FQ57" i="16"/>
  <c r="FP57" i="16"/>
  <c r="FO57" i="16"/>
  <c r="FL57" i="16"/>
  <c r="FK57" i="16"/>
  <c r="FJ57" i="16"/>
  <c r="FI57" i="16"/>
  <c r="FH57" i="16"/>
  <c r="FG57" i="16"/>
  <c r="FD57" i="16"/>
  <c r="FC57" i="16"/>
  <c r="FB57" i="16"/>
  <c r="FA57" i="16"/>
  <c r="EZ57" i="16"/>
  <c r="EY57" i="16"/>
  <c r="EV57" i="16"/>
  <c r="EU57" i="16"/>
  <c r="ET57" i="16"/>
  <c r="ES57" i="16"/>
  <c r="ER57" i="16"/>
  <c r="EQ57" i="16"/>
  <c r="EN57" i="16"/>
  <c r="EM57" i="16"/>
  <c r="EL57" i="16"/>
  <c r="EK57" i="16"/>
  <c r="EJ57" i="16"/>
  <c r="EI57" i="16"/>
  <c r="EF57" i="16"/>
  <c r="EE57" i="16"/>
  <c r="ED57" i="16"/>
  <c r="EC57" i="16"/>
  <c r="EB57" i="16"/>
  <c r="EA57" i="16"/>
  <c r="DX57" i="16"/>
  <c r="DW57" i="16"/>
  <c r="DV57" i="16"/>
  <c r="DU57" i="16"/>
  <c r="DT57" i="16"/>
  <c r="DS57" i="16"/>
  <c r="DP57" i="16"/>
  <c r="DO57" i="16"/>
  <c r="DN57" i="16"/>
  <c r="DM57" i="16"/>
  <c r="DL57" i="16"/>
  <c r="DK57" i="16"/>
  <c r="DG57" i="16"/>
  <c r="DE57" i="16"/>
  <c r="DD57" i="16"/>
  <c r="DC57" i="16"/>
  <c r="DA57" i="16"/>
  <c r="CZ57" i="16"/>
  <c r="CY57" i="16"/>
  <c r="CX57" i="16"/>
  <c r="CU57" i="16"/>
  <c r="CT57" i="16"/>
  <c r="CS57" i="16"/>
  <c r="CR57" i="16"/>
  <c r="CO57" i="16"/>
  <c r="CN57" i="16"/>
  <c r="CM57" i="16"/>
  <c r="CL57" i="16"/>
  <c r="CI57" i="16"/>
  <c r="CH57" i="16"/>
  <c r="CG57" i="16"/>
  <c r="CF57" i="16"/>
  <c r="CC57" i="16"/>
  <c r="CB57" i="16"/>
  <c r="CA57" i="16"/>
  <c r="BZ57" i="16"/>
  <c r="BW57" i="16"/>
  <c r="BV57" i="16"/>
  <c r="BU57" i="16"/>
  <c r="BT57" i="16"/>
  <c r="BQ57" i="16"/>
  <c r="BP57" i="16"/>
  <c r="BO57" i="16"/>
  <c r="BN57" i="16"/>
  <c r="BK57" i="16"/>
  <c r="BJ57" i="16"/>
  <c r="BI57" i="16"/>
  <c r="BH57" i="16"/>
  <c r="BE57" i="16"/>
  <c r="BD57" i="16"/>
  <c r="BC57" i="16"/>
  <c r="BB57" i="16"/>
  <c r="AY57" i="16"/>
  <c r="AX57" i="16"/>
  <c r="AW57" i="16"/>
  <c r="AV57" i="16"/>
  <c r="AS57" i="16"/>
  <c r="AR57" i="16"/>
  <c r="AQ57" i="16"/>
  <c r="AP57" i="16"/>
  <c r="AM57" i="16"/>
  <c r="AL57" i="16"/>
  <c r="AK57" i="16"/>
  <c r="AJ57" i="16"/>
  <c r="AG57" i="16"/>
  <c r="AF57" i="16"/>
  <c r="AE57" i="16"/>
  <c r="AD57" i="16"/>
  <c r="AA57" i="16"/>
  <c r="Z57" i="16"/>
  <c r="Y57" i="16"/>
  <c r="X57" i="16"/>
  <c r="U57" i="16"/>
  <c r="T57" i="16"/>
  <c r="S57" i="16"/>
  <c r="R57" i="16"/>
  <c r="O57" i="16"/>
  <c r="N57" i="16"/>
  <c r="M57" i="16"/>
  <c r="L57" i="16"/>
  <c r="I57" i="16"/>
  <c r="H57" i="16"/>
  <c r="G57" i="16"/>
  <c r="F57" i="16"/>
  <c r="OW56" i="16"/>
  <c r="OV56" i="16"/>
  <c r="OU56" i="16"/>
  <c r="OT56" i="16"/>
  <c r="OS56" i="16"/>
  <c r="OR56" i="16"/>
  <c r="OQ56" i="16"/>
  <c r="OP56" i="16"/>
  <c r="OO56" i="16"/>
  <c r="ON56" i="16"/>
  <c r="OK56" i="16"/>
  <c r="OJ56" i="16"/>
  <c r="OI56" i="16"/>
  <c r="OH56" i="16"/>
  <c r="OG56" i="16"/>
  <c r="OF56" i="16"/>
  <c r="OE56" i="16"/>
  <c r="OB56" i="16"/>
  <c r="OA56" i="16"/>
  <c r="NZ56" i="16"/>
  <c r="NY56" i="16"/>
  <c r="NX56" i="16"/>
  <c r="NW56" i="16"/>
  <c r="NV56" i="16"/>
  <c r="NS56" i="16"/>
  <c r="NR56" i="16"/>
  <c r="NQ56" i="16"/>
  <c r="NP56" i="16"/>
  <c r="NO56" i="16"/>
  <c r="NN56" i="16"/>
  <c r="NM56" i="16"/>
  <c r="NJ56" i="16"/>
  <c r="NI56" i="16"/>
  <c r="NH56" i="16"/>
  <c r="NG56" i="16"/>
  <c r="NF56" i="16"/>
  <c r="NE56" i="16"/>
  <c r="ND56" i="16"/>
  <c r="NA56" i="16"/>
  <c r="MZ56" i="16"/>
  <c r="MY56" i="16"/>
  <c r="MX56" i="16"/>
  <c r="MW56" i="16"/>
  <c r="MV56" i="16"/>
  <c r="MU56" i="16"/>
  <c r="MR56" i="16"/>
  <c r="MQ56" i="16"/>
  <c r="MP56" i="16"/>
  <c r="MO56" i="16"/>
  <c r="MN56" i="16"/>
  <c r="MM56" i="16"/>
  <c r="ML56" i="16"/>
  <c r="MI56" i="16"/>
  <c r="MH56" i="16"/>
  <c r="MG56" i="16"/>
  <c r="MF56" i="16"/>
  <c r="ME56" i="16"/>
  <c r="MD56" i="16"/>
  <c r="MC56" i="16"/>
  <c r="LZ56" i="16"/>
  <c r="LY56" i="16"/>
  <c r="LX56" i="16"/>
  <c r="LW56" i="16"/>
  <c r="LV56" i="16"/>
  <c r="LU56" i="16"/>
  <c r="LT56" i="16"/>
  <c r="LQ56" i="16"/>
  <c r="LP56" i="16"/>
  <c r="LO56" i="16"/>
  <c r="LN56" i="16"/>
  <c r="LM56" i="16"/>
  <c r="LL56" i="16"/>
  <c r="LK56" i="16"/>
  <c r="LH56" i="16"/>
  <c r="LG56" i="16"/>
  <c r="LF56" i="16"/>
  <c r="LE56" i="16"/>
  <c r="LD56" i="16"/>
  <c r="LC56" i="16"/>
  <c r="LB56" i="16"/>
  <c r="KY56" i="16"/>
  <c r="KX56" i="16"/>
  <c r="KW56" i="16"/>
  <c r="KV56" i="16"/>
  <c r="KU56" i="16"/>
  <c r="KT56" i="16"/>
  <c r="KS56" i="16"/>
  <c r="KP56" i="16"/>
  <c r="KO56" i="16"/>
  <c r="KN56" i="16"/>
  <c r="KM56" i="16"/>
  <c r="KL56" i="16"/>
  <c r="KK56" i="16"/>
  <c r="KJ56" i="16"/>
  <c r="KG56" i="16"/>
  <c r="KF56" i="16"/>
  <c r="KE56" i="16"/>
  <c r="KD56" i="16"/>
  <c r="KC56" i="16"/>
  <c r="KB56" i="16"/>
  <c r="KA56" i="16"/>
  <c r="JX56" i="16"/>
  <c r="JW56" i="16"/>
  <c r="JV56" i="16"/>
  <c r="JU56" i="16"/>
  <c r="JT56" i="16"/>
  <c r="JS56" i="16"/>
  <c r="JR56" i="16"/>
  <c r="JO56" i="16"/>
  <c r="JN56" i="16"/>
  <c r="JM56" i="16"/>
  <c r="JL56" i="16"/>
  <c r="JK56" i="16"/>
  <c r="JJ56" i="16"/>
  <c r="JI56" i="16"/>
  <c r="JF56" i="16"/>
  <c r="JE56" i="16"/>
  <c r="JD56" i="16"/>
  <c r="JC56" i="16"/>
  <c r="JB56" i="16"/>
  <c r="JA56" i="16"/>
  <c r="IZ56" i="16"/>
  <c r="IQ56" i="16"/>
  <c r="IP56" i="16"/>
  <c r="IO56" i="16"/>
  <c r="IN56" i="16"/>
  <c r="IM56" i="16"/>
  <c r="IL56" i="16"/>
  <c r="IK56" i="16"/>
  <c r="IJ56" i="16"/>
  <c r="II56" i="16"/>
  <c r="IF56" i="16"/>
  <c r="IE56" i="16"/>
  <c r="ID56" i="16"/>
  <c r="IC56" i="16"/>
  <c r="IB56" i="16"/>
  <c r="IA56" i="16"/>
  <c r="HX56" i="16"/>
  <c r="HW56" i="16"/>
  <c r="HV56" i="16"/>
  <c r="HU56" i="16"/>
  <c r="HT56" i="16"/>
  <c r="HS56" i="16"/>
  <c r="HP56" i="16"/>
  <c r="HO56" i="16"/>
  <c r="HN56" i="16"/>
  <c r="HM56" i="16"/>
  <c r="HL56" i="16"/>
  <c r="HK56" i="16"/>
  <c r="HH56" i="16"/>
  <c r="HG56" i="16"/>
  <c r="HF56" i="16"/>
  <c r="HE56" i="16"/>
  <c r="HD56" i="16"/>
  <c r="HC56" i="16"/>
  <c r="GZ56" i="16"/>
  <c r="GY56" i="16"/>
  <c r="GX56" i="16"/>
  <c r="GW56" i="16"/>
  <c r="GV56" i="16"/>
  <c r="GU56" i="16"/>
  <c r="GR56" i="16"/>
  <c r="GQ56" i="16"/>
  <c r="GP56" i="16"/>
  <c r="GO56" i="16"/>
  <c r="GN56" i="16"/>
  <c r="GM56" i="16"/>
  <c r="GJ56" i="16"/>
  <c r="GI56" i="16"/>
  <c r="GH56" i="16"/>
  <c r="GG56" i="16"/>
  <c r="GF56" i="16"/>
  <c r="GE56" i="16"/>
  <c r="GB56" i="16"/>
  <c r="GA56" i="16"/>
  <c r="FZ56" i="16"/>
  <c r="FY56" i="16"/>
  <c r="FX56" i="16"/>
  <c r="FW56" i="16"/>
  <c r="FT56" i="16"/>
  <c r="FS56" i="16"/>
  <c r="FR56" i="16"/>
  <c r="FQ56" i="16"/>
  <c r="FP56" i="16"/>
  <c r="FO56" i="16"/>
  <c r="FL56" i="16"/>
  <c r="FK56" i="16"/>
  <c r="FJ56" i="16"/>
  <c r="FI56" i="16"/>
  <c r="FH56" i="16"/>
  <c r="FG56" i="16"/>
  <c r="FD56" i="16"/>
  <c r="FC56" i="16"/>
  <c r="FB56" i="16"/>
  <c r="FA56" i="16"/>
  <c r="EZ56" i="16"/>
  <c r="EY56" i="16"/>
  <c r="EV56" i="16"/>
  <c r="EU56" i="16"/>
  <c r="ET56" i="16"/>
  <c r="ES56" i="16"/>
  <c r="ER56" i="16"/>
  <c r="EQ56" i="16"/>
  <c r="EN56" i="16"/>
  <c r="EM56" i="16"/>
  <c r="EL56" i="16"/>
  <c r="EK56" i="16"/>
  <c r="EJ56" i="16"/>
  <c r="EI56" i="16"/>
  <c r="EF56" i="16"/>
  <c r="EE56" i="16"/>
  <c r="ED56" i="16"/>
  <c r="EC56" i="16"/>
  <c r="EB56" i="16"/>
  <c r="EA56" i="16"/>
  <c r="DX56" i="16"/>
  <c r="DW56" i="16"/>
  <c r="DV56" i="16"/>
  <c r="DU56" i="16"/>
  <c r="DT56" i="16"/>
  <c r="DS56" i="16"/>
  <c r="DP56" i="16"/>
  <c r="DO56" i="16"/>
  <c r="DN56" i="16"/>
  <c r="DM56" i="16"/>
  <c r="DL56" i="16"/>
  <c r="DK56" i="16"/>
  <c r="DG56" i="16"/>
  <c r="DE56" i="16"/>
  <c r="DD56" i="16"/>
  <c r="DC56" i="16"/>
  <c r="DA56" i="16"/>
  <c r="CZ56" i="16"/>
  <c r="CY56" i="16"/>
  <c r="CX56" i="16"/>
  <c r="CU56" i="16"/>
  <c r="CT56" i="16"/>
  <c r="CS56" i="16"/>
  <c r="CR56" i="16"/>
  <c r="CO56" i="16"/>
  <c r="CN56" i="16"/>
  <c r="CM56" i="16"/>
  <c r="CL56" i="16"/>
  <c r="CI56" i="16"/>
  <c r="CH56" i="16"/>
  <c r="CG56" i="16"/>
  <c r="CF56" i="16"/>
  <c r="CC56" i="16"/>
  <c r="CB56" i="16"/>
  <c r="CA56" i="16"/>
  <c r="BZ56" i="16"/>
  <c r="BW56" i="16"/>
  <c r="BV56" i="16"/>
  <c r="BU56" i="16"/>
  <c r="BT56" i="16"/>
  <c r="BQ56" i="16"/>
  <c r="BP56" i="16"/>
  <c r="BO56" i="16"/>
  <c r="BN56" i="16"/>
  <c r="BK56" i="16"/>
  <c r="BJ56" i="16"/>
  <c r="BI56" i="16"/>
  <c r="BH56" i="16"/>
  <c r="BE56" i="16"/>
  <c r="BD56" i="16"/>
  <c r="BC56" i="16"/>
  <c r="BB56" i="16"/>
  <c r="AY56" i="16"/>
  <c r="AX56" i="16"/>
  <c r="AW56" i="16"/>
  <c r="AV56" i="16"/>
  <c r="AS56" i="16"/>
  <c r="AR56" i="16"/>
  <c r="AQ56" i="16"/>
  <c r="AP56" i="16"/>
  <c r="AM56" i="16"/>
  <c r="AL56" i="16"/>
  <c r="AK56" i="16"/>
  <c r="AJ56" i="16"/>
  <c r="AG56" i="16"/>
  <c r="AF56" i="16"/>
  <c r="AE56" i="16"/>
  <c r="AD56" i="16"/>
  <c r="AA56" i="16"/>
  <c r="Z56" i="16"/>
  <c r="Y56" i="16"/>
  <c r="X56" i="16"/>
  <c r="U56" i="16"/>
  <c r="T56" i="16"/>
  <c r="S56" i="16"/>
  <c r="R56" i="16"/>
  <c r="O56" i="16"/>
  <c r="N56" i="16"/>
  <c r="M56" i="16"/>
  <c r="L56" i="16"/>
  <c r="I56" i="16"/>
  <c r="H56" i="16"/>
  <c r="G56" i="16"/>
  <c r="F56" i="16"/>
  <c r="OW55" i="16"/>
  <c r="OV55" i="16"/>
  <c r="OU55" i="16"/>
  <c r="OT55" i="16"/>
  <c r="OS55" i="16"/>
  <c r="OR55" i="16"/>
  <c r="OQ55" i="16"/>
  <c r="OP55" i="16"/>
  <c r="OO55" i="16"/>
  <c r="ON55" i="16"/>
  <c r="OK55" i="16"/>
  <c r="OJ55" i="16"/>
  <c r="OI55" i="16"/>
  <c r="OH55" i="16"/>
  <c r="OG55" i="16"/>
  <c r="OF55" i="16"/>
  <c r="OE55" i="16"/>
  <c r="OB55" i="16"/>
  <c r="OA55" i="16"/>
  <c r="NZ55" i="16"/>
  <c r="NY55" i="16"/>
  <c r="NX55" i="16"/>
  <c r="NW55" i="16"/>
  <c r="NV55" i="16"/>
  <c r="NS55" i="16"/>
  <c r="NR55" i="16"/>
  <c r="NQ55" i="16"/>
  <c r="NP55" i="16"/>
  <c r="NO55" i="16"/>
  <c r="NN55" i="16"/>
  <c r="NM55" i="16"/>
  <c r="NJ55" i="16"/>
  <c r="NI55" i="16"/>
  <c r="NH55" i="16"/>
  <c r="NG55" i="16"/>
  <c r="NF55" i="16"/>
  <c r="NE55" i="16"/>
  <c r="ND55" i="16"/>
  <c r="NA55" i="16"/>
  <c r="MZ55" i="16"/>
  <c r="MY55" i="16"/>
  <c r="MX55" i="16"/>
  <c r="MW55" i="16"/>
  <c r="MV55" i="16"/>
  <c r="MU55" i="16"/>
  <c r="MR55" i="16"/>
  <c r="MQ55" i="16"/>
  <c r="MP55" i="16"/>
  <c r="MO55" i="16"/>
  <c r="MN55" i="16"/>
  <c r="MM55" i="16"/>
  <c r="ML55" i="16"/>
  <c r="MI55" i="16"/>
  <c r="MH55" i="16"/>
  <c r="MG55" i="16"/>
  <c r="MF55" i="16"/>
  <c r="ME55" i="16"/>
  <c r="MD55" i="16"/>
  <c r="MC55" i="16"/>
  <c r="LZ55" i="16"/>
  <c r="LY55" i="16"/>
  <c r="LX55" i="16"/>
  <c r="LW55" i="16"/>
  <c r="LV55" i="16"/>
  <c r="LU55" i="16"/>
  <c r="LT55" i="16"/>
  <c r="LQ55" i="16"/>
  <c r="LP55" i="16"/>
  <c r="LO55" i="16"/>
  <c r="LN55" i="16"/>
  <c r="LM55" i="16"/>
  <c r="LL55" i="16"/>
  <c r="LK55" i="16"/>
  <c r="LH55" i="16"/>
  <c r="LG55" i="16"/>
  <c r="LF55" i="16"/>
  <c r="LE55" i="16"/>
  <c r="LD55" i="16"/>
  <c r="LC55" i="16"/>
  <c r="LB55" i="16"/>
  <c r="KY55" i="16"/>
  <c r="KX55" i="16"/>
  <c r="KW55" i="16"/>
  <c r="KV55" i="16"/>
  <c r="KU55" i="16"/>
  <c r="KT55" i="16"/>
  <c r="KS55" i="16"/>
  <c r="KP55" i="16"/>
  <c r="KO55" i="16"/>
  <c r="KN55" i="16"/>
  <c r="KM55" i="16"/>
  <c r="KL55" i="16"/>
  <c r="KK55" i="16"/>
  <c r="KJ55" i="16"/>
  <c r="KG55" i="16"/>
  <c r="KF55" i="16"/>
  <c r="KE55" i="16"/>
  <c r="KD55" i="16"/>
  <c r="KC55" i="16"/>
  <c r="KB55" i="16"/>
  <c r="KA55" i="16"/>
  <c r="JX55" i="16"/>
  <c r="JW55" i="16"/>
  <c r="JV55" i="16"/>
  <c r="JU55" i="16"/>
  <c r="JT55" i="16"/>
  <c r="JS55" i="16"/>
  <c r="JR55" i="16"/>
  <c r="JO55" i="16"/>
  <c r="JN55" i="16"/>
  <c r="JM55" i="16"/>
  <c r="JL55" i="16"/>
  <c r="JK55" i="16"/>
  <c r="JJ55" i="16"/>
  <c r="JI55" i="16"/>
  <c r="JF55" i="16"/>
  <c r="JE55" i="16"/>
  <c r="JD55" i="16"/>
  <c r="JC55" i="16"/>
  <c r="JB55" i="16"/>
  <c r="JA55" i="16"/>
  <c r="IZ55" i="16"/>
  <c r="IQ55" i="16"/>
  <c r="IP55" i="16"/>
  <c r="IO55" i="16"/>
  <c r="IN55" i="16"/>
  <c r="IM55" i="16"/>
  <c r="IL55" i="16"/>
  <c r="IK55" i="16"/>
  <c r="IJ55" i="16"/>
  <c r="II55" i="16"/>
  <c r="IF55" i="16"/>
  <c r="IE55" i="16"/>
  <c r="ID55" i="16"/>
  <c r="IC55" i="16"/>
  <c r="IB55" i="16"/>
  <c r="IA55" i="16"/>
  <c r="HX55" i="16"/>
  <c r="HW55" i="16"/>
  <c r="HV55" i="16"/>
  <c r="HU55" i="16"/>
  <c r="HT55" i="16"/>
  <c r="HS55" i="16"/>
  <c r="HP55" i="16"/>
  <c r="HO55" i="16"/>
  <c r="HN55" i="16"/>
  <c r="HM55" i="16"/>
  <c r="HL55" i="16"/>
  <c r="HK55" i="16"/>
  <c r="HH55" i="16"/>
  <c r="HG55" i="16"/>
  <c r="HF55" i="16"/>
  <c r="HE55" i="16"/>
  <c r="HD55" i="16"/>
  <c r="HC55" i="16"/>
  <c r="GZ55" i="16"/>
  <c r="GY55" i="16"/>
  <c r="GX55" i="16"/>
  <c r="GW55" i="16"/>
  <c r="GV55" i="16"/>
  <c r="GU55" i="16"/>
  <c r="GR55" i="16"/>
  <c r="GQ55" i="16"/>
  <c r="GP55" i="16"/>
  <c r="GO55" i="16"/>
  <c r="GN55" i="16"/>
  <c r="GM55" i="16"/>
  <c r="GJ55" i="16"/>
  <c r="GI55" i="16"/>
  <c r="GH55" i="16"/>
  <c r="GG55" i="16"/>
  <c r="GF55" i="16"/>
  <c r="GE55" i="16"/>
  <c r="GB55" i="16"/>
  <c r="GA55" i="16"/>
  <c r="FZ55" i="16"/>
  <c r="FY55" i="16"/>
  <c r="FX55" i="16"/>
  <c r="FW55" i="16"/>
  <c r="FT55" i="16"/>
  <c r="FS55" i="16"/>
  <c r="FR55" i="16"/>
  <c r="FQ55" i="16"/>
  <c r="FP55" i="16"/>
  <c r="FO55" i="16"/>
  <c r="FL55" i="16"/>
  <c r="FK55" i="16"/>
  <c r="FJ55" i="16"/>
  <c r="FI55" i="16"/>
  <c r="FH55" i="16"/>
  <c r="FG55" i="16"/>
  <c r="FD55" i="16"/>
  <c r="FC55" i="16"/>
  <c r="FB55" i="16"/>
  <c r="FA55" i="16"/>
  <c r="EZ55" i="16"/>
  <c r="EY55" i="16"/>
  <c r="EV55" i="16"/>
  <c r="EU55" i="16"/>
  <c r="ET55" i="16"/>
  <c r="ES55" i="16"/>
  <c r="ER55" i="16"/>
  <c r="EQ55" i="16"/>
  <c r="EN55" i="16"/>
  <c r="EM55" i="16"/>
  <c r="EL55" i="16"/>
  <c r="EK55" i="16"/>
  <c r="EJ55" i="16"/>
  <c r="EI55" i="16"/>
  <c r="EF55" i="16"/>
  <c r="EE55" i="16"/>
  <c r="ED55" i="16"/>
  <c r="EC55" i="16"/>
  <c r="EB55" i="16"/>
  <c r="EA55" i="16"/>
  <c r="DX55" i="16"/>
  <c r="DW55" i="16"/>
  <c r="DV55" i="16"/>
  <c r="DU55" i="16"/>
  <c r="DT55" i="16"/>
  <c r="DS55" i="16"/>
  <c r="DP55" i="16"/>
  <c r="DO55" i="16"/>
  <c r="DN55" i="16"/>
  <c r="DM55" i="16"/>
  <c r="DL55" i="16"/>
  <c r="DK55" i="16"/>
  <c r="DG55" i="16"/>
  <c r="DE55" i="16"/>
  <c r="DD55" i="16"/>
  <c r="DC55" i="16"/>
  <c r="DA55" i="16"/>
  <c r="CZ55" i="16"/>
  <c r="CY55" i="16"/>
  <c r="CX55" i="16"/>
  <c r="CU55" i="16"/>
  <c r="CT55" i="16"/>
  <c r="CS55" i="16"/>
  <c r="CR55" i="16"/>
  <c r="CO55" i="16"/>
  <c r="CN55" i="16"/>
  <c r="CM55" i="16"/>
  <c r="CL55" i="16"/>
  <c r="CI55" i="16"/>
  <c r="CH55" i="16"/>
  <c r="CG55" i="16"/>
  <c r="CF55" i="16"/>
  <c r="CC55" i="16"/>
  <c r="CB55" i="16"/>
  <c r="CA55" i="16"/>
  <c r="BZ55" i="16"/>
  <c r="BW55" i="16"/>
  <c r="BV55" i="16"/>
  <c r="BU55" i="16"/>
  <c r="BT55" i="16"/>
  <c r="BQ55" i="16"/>
  <c r="BP55" i="16"/>
  <c r="BO55" i="16"/>
  <c r="BN55" i="16"/>
  <c r="BK55" i="16"/>
  <c r="BJ55" i="16"/>
  <c r="BI55" i="16"/>
  <c r="BH55" i="16"/>
  <c r="BE55" i="16"/>
  <c r="BD55" i="16"/>
  <c r="BC55" i="16"/>
  <c r="BB55" i="16"/>
  <c r="AY55" i="16"/>
  <c r="AX55" i="16"/>
  <c r="AW55" i="16"/>
  <c r="AV55" i="16"/>
  <c r="AS55" i="16"/>
  <c r="AR55" i="16"/>
  <c r="AQ55" i="16"/>
  <c r="AP55" i="16"/>
  <c r="AM55" i="16"/>
  <c r="AL55" i="16"/>
  <c r="AK55" i="16"/>
  <c r="AJ55" i="16"/>
  <c r="AG55" i="16"/>
  <c r="AF55" i="16"/>
  <c r="AE55" i="16"/>
  <c r="AD55" i="16"/>
  <c r="AA55" i="16"/>
  <c r="Z55" i="16"/>
  <c r="Y55" i="16"/>
  <c r="X55" i="16"/>
  <c r="U55" i="16"/>
  <c r="T55" i="16"/>
  <c r="S55" i="16"/>
  <c r="R55" i="16"/>
  <c r="O55" i="16"/>
  <c r="N55" i="16"/>
  <c r="M55" i="16"/>
  <c r="L55" i="16"/>
  <c r="I55" i="16"/>
  <c r="H55" i="16"/>
  <c r="G55" i="16"/>
  <c r="F55" i="16"/>
  <c r="OW54" i="16"/>
  <c r="OV54" i="16"/>
  <c r="OU54" i="16"/>
  <c r="OT54" i="16"/>
  <c r="OS54" i="16"/>
  <c r="OR54" i="16"/>
  <c r="OQ54" i="16"/>
  <c r="OP54" i="16"/>
  <c r="OO54" i="16"/>
  <c r="ON54" i="16"/>
  <c r="OK54" i="16"/>
  <c r="OJ54" i="16"/>
  <c r="OI54" i="16"/>
  <c r="OH54" i="16"/>
  <c r="OG54" i="16"/>
  <c r="OF54" i="16"/>
  <c r="OE54" i="16"/>
  <c r="OB54" i="16"/>
  <c r="OA54" i="16"/>
  <c r="NZ54" i="16"/>
  <c r="NY54" i="16"/>
  <c r="NX54" i="16"/>
  <c r="NW54" i="16"/>
  <c r="NV54" i="16"/>
  <c r="NS54" i="16"/>
  <c r="NR54" i="16"/>
  <c r="NQ54" i="16"/>
  <c r="NP54" i="16"/>
  <c r="NO54" i="16"/>
  <c r="NN54" i="16"/>
  <c r="NM54" i="16"/>
  <c r="NJ54" i="16"/>
  <c r="NI54" i="16"/>
  <c r="NH54" i="16"/>
  <c r="NG54" i="16"/>
  <c r="NF54" i="16"/>
  <c r="NE54" i="16"/>
  <c r="ND54" i="16"/>
  <c r="NA54" i="16"/>
  <c r="MZ54" i="16"/>
  <c r="MY54" i="16"/>
  <c r="MX54" i="16"/>
  <c r="MW54" i="16"/>
  <c r="MV54" i="16"/>
  <c r="MU54" i="16"/>
  <c r="MR54" i="16"/>
  <c r="MQ54" i="16"/>
  <c r="MP54" i="16"/>
  <c r="MO54" i="16"/>
  <c r="MN54" i="16"/>
  <c r="MM54" i="16"/>
  <c r="ML54" i="16"/>
  <c r="MI54" i="16"/>
  <c r="MH54" i="16"/>
  <c r="MG54" i="16"/>
  <c r="MF54" i="16"/>
  <c r="ME54" i="16"/>
  <c r="MD54" i="16"/>
  <c r="MC54" i="16"/>
  <c r="LZ54" i="16"/>
  <c r="LY54" i="16"/>
  <c r="LX54" i="16"/>
  <c r="LW54" i="16"/>
  <c r="LV54" i="16"/>
  <c r="LU54" i="16"/>
  <c r="LT54" i="16"/>
  <c r="LQ54" i="16"/>
  <c r="LP54" i="16"/>
  <c r="LO54" i="16"/>
  <c r="LN54" i="16"/>
  <c r="LM54" i="16"/>
  <c r="LL54" i="16"/>
  <c r="LK54" i="16"/>
  <c r="LH54" i="16"/>
  <c r="LG54" i="16"/>
  <c r="LF54" i="16"/>
  <c r="LE54" i="16"/>
  <c r="LD54" i="16"/>
  <c r="LC54" i="16"/>
  <c r="LB54" i="16"/>
  <c r="KY54" i="16"/>
  <c r="KX54" i="16"/>
  <c r="KW54" i="16"/>
  <c r="KV54" i="16"/>
  <c r="KU54" i="16"/>
  <c r="KT54" i="16"/>
  <c r="KS54" i="16"/>
  <c r="KP54" i="16"/>
  <c r="KO54" i="16"/>
  <c r="KN54" i="16"/>
  <c r="KM54" i="16"/>
  <c r="KL54" i="16"/>
  <c r="KK54" i="16"/>
  <c r="KJ54" i="16"/>
  <c r="KG54" i="16"/>
  <c r="KF54" i="16"/>
  <c r="KE54" i="16"/>
  <c r="KD54" i="16"/>
  <c r="KC54" i="16"/>
  <c r="KB54" i="16"/>
  <c r="KA54" i="16"/>
  <c r="JX54" i="16"/>
  <c r="JW54" i="16"/>
  <c r="JV54" i="16"/>
  <c r="JU54" i="16"/>
  <c r="JT54" i="16"/>
  <c r="JS54" i="16"/>
  <c r="JR54" i="16"/>
  <c r="JO54" i="16"/>
  <c r="JN54" i="16"/>
  <c r="JM54" i="16"/>
  <c r="JL54" i="16"/>
  <c r="JK54" i="16"/>
  <c r="JJ54" i="16"/>
  <c r="JI54" i="16"/>
  <c r="JF54" i="16"/>
  <c r="JE54" i="16"/>
  <c r="JD54" i="16"/>
  <c r="JC54" i="16"/>
  <c r="JB54" i="16"/>
  <c r="JA54" i="16"/>
  <c r="IZ54" i="16"/>
  <c r="IQ54" i="16"/>
  <c r="IP54" i="16"/>
  <c r="IO54" i="16"/>
  <c r="IN54" i="16"/>
  <c r="IM54" i="16"/>
  <c r="IL54" i="16"/>
  <c r="IK54" i="16"/>
  <c r="IJ54" i="16"/>
  <c r="II54" i="16"/>
  <c r="IF54" i="16"/>
  <c r="IE54" i="16"/>
  <c r="ID54" i="16"/>
  <c r="IC54" i="16"/>
  <c r="IB54" i="16"/>
  <c r="IA54" i="16"/>
  <c r="HX54" i="16"/>
  <c r="HW54" i="16"/>
  <c r="HV54" i="16"/>
  <c r="HU54" i="16"/>
  <c r="HT54" i="16"/>
  <c r="HS54" i="16"/>
  <c r="HP54" i="16"/>
  <c r="HO54" i="16"/>
  <c r="HN54" i="16"/>
  <c r="HM54" i="16"/>
  <c r="HL54" i="16"/>
  <c r="HK54" i="16"/>
  <c r="HH54" i="16"/>
  <c r="HG54" i="16"/>
  <c r="HF54" i="16"/>
  <c r="HE54" i="16"/>
  <c r="HD54" i="16"/>
  <c r="HC54" i="16"/>
  <c r="GZ54" i="16"/>
  <c r="GY54" i="16"/>
  <c r="GX54" i="16"/>
  <c r="GW54" i="16"/>
  <c r="GV54" i="16"/>
  <c r="GU54" i="16"/>
  <c r="GR54" i="16"/>
  <c r="GQ54" i="16"/>
  <c r="GP54" i="16"/>
  <c r="GO54" i="16"/>
  <c r="GN54" i="16"/>
  <c r="GM54" i="16"/>
  <c r="GJ54" i="16"/>
  <c r="GI54" i="16"/>
  <c r="GH54" i="16"/>
  <c r="GG54" i="16"/>
  <c r="GF54" i="16"/>
  <c r="GE54" i="16"/>
  <c r="GB54" i="16"/>
  <c r="GA54" i="16"/>
  <c r="FZ54" i="16"/>
  <c r="FY54" i="16"/>
  <c r="FX54" i="16"/>
  <c r="FW54" i="16"/>
  <c r="FT54" i="16"/>
  <c r="FS54" i="16"/>
  <c r="FR54" i="16"/>
  <c r="FQ54" i="16"/>
  <c r="FP54" i="16"/>
  <c r="FO54" i="16"/>
  <c r="FL54" i="16"/>
  <c r="FK54" i="16"/>
  <c r="FJ54" i="16"/>
  <c r="FI54" i="16"/>
  <c r="FH54" i="16"/>
  <c r="FG54" i="16"/>
  <c r="FD54" i="16"/>
  <c r="FC54" i="16"/>
  <c r="FB54" i="16"/>
  <c r="FA54" i="16"/>
  <c r="EZ54" i="16"/>
  <c r="EY54" i="16"/>
  <c r="EV54" i="16"/>
  <c r="EU54" i="16"/>
  <c r="ET54" i="16"/>
  <c r="ES54" i="16"/>
  <c r="ER54" i="16"/>
  <c r="EQ54" i="16"/>
  <c r="EN54" i="16"/>
  <c r="EM54" i="16"/>
  <c r="EL54" i="16"/>
  <c r="EK54" i="16"/>
  <c r="EJ54" i="16"/>
  <c r="EI54" i="16"/>
  <c r="EF54" i="16"/>
  <c r="EE54" i="16"/>
  <c r="ED54" i="16"/>
  <c r="EC54" i="16"/>
  <c r="EB54" i="16"/>
  <c r="EA54" i="16"/>
  <c r="DX54" i="16"/>
  <c r="DW54" i="16"/>
  <c r="DV54" i="16"/>
  <c r="DU54" i="16"/>
  <c r="DT54" i="16"/>
  <c r="DS54" i="16"/>
  <c r="DP54" i="16"/>
  <c r="DO54" i="16"/>
  <c r="DN54" i="16"/>
  <c r="DM54" i="16"/>
  <c r="DL54" i="16"/>
  <c r="DK54" i="16"/>
  <c r="DG54" i="16"/>
  <c r="DE54" i="16"/>
  <c r="DD54" i="16"/>
  <c r="DC54" i="16"/>
  <c r="DA54" i="16"/>
  <c r="CZ54" i="16"/>
  <c r="CY54" i="16"/>
  <c r="CX54" i="16"/>
  <c r="CU54" i="16"/>
  <c r="CT54" i="16"/>
  <c r="CS54" i="16"/>
  <c r="CR54" i="16"/>
  <c r="CO54" i="16"/>
  <c r="CN54" i="16"/>
  <c r="CM54" i="16"/>
  <c r="CL54" i="16"/>
  <c r="CI54" i="16"/>
  <c r="CH54" i="16"/>
  <c r="CG54" i="16"/>
  <c r="CF54" i="16"/>
  <c r="CC54" i="16"/>
  <c r="CB54" i="16"/>
  <c r="CA54" i="16"/>
  <c r="BZ54" i="16"/>
  <c r="BW54" i="16"/>
  <c r="BV54" i="16"/>
  <c r="BU54" i="16"/>
  <c r="BT54" i="16"/>
  <c r="BQ54" i="16"/>
  <c r="BP54" i="16"/>
  <c r="BO54" i="16"/>
  <c r="BN54" i="16"/>
  <c r="BK54" i="16"/>
  <c r="BJ54" i="16"/>
  <c r="BI54" i="16"/>
  <c r="BH54" i="16"/>
  <c r="BE54" i="16"/>
  <c r="BD54" i="16"/>
  <c r="BC54" i="16"/>
  <c r="BB54" i="16"/>
  <c r="AY54" i="16"/>
  <c r="AX54" i="16"/>
  <c r="AW54" i="16"/>
  <c r="AV54" i="16"/>
  <c r="AS54" i="16"/>
  <c r="AR54" i="16"/>
  <c r="AQ54" i="16"/>
  <c r="AP54" i="16"/>
  <c r="AM54" i="16"/>
  <c r="AL54" i="16"/>
  <c r="AK54" i="16"/>
  <c r="AJ54" i="16"/>
  <c r="AG54" i="16"/>
  <c r="AF54" i="16"/>
  <c r="AE54" i="16"/>
  <c r="AD54" i="16"/>
  <c r="AA54" i="16"/>
  <c r="Z54" i="16"/>
  <c r="Y54" i="16"/>
  <c r="X54" i="16"/>
  <c r="U54" i="16"/>
  <c r="T54" i="16"/>
  <c r="S54" i="16"/>
  <c r="R54" i="16"/>
  <c r="O54" i="16"/>
  <c r="N54" i="16"/>
  <c r="M54" i="16"/>
  <c r="L54" i="16"/>
  <c r="I54" i="16"/>
  <c r="H54" i="16"/>
  <c r="G54" i="16"/>
  <c r="F54" i="16"/>
  <c r="OW53" i="16"/>
  <c r="OV53" i="16"/>
  <c r="OU53" i="16"/>
  <c r="OT53" i="16"/>
  <c r="OS53" i="16"/>
  <c r="OR53" i="16"/>
  <c r="OQ53" i="16"/>
  <c r="OP53" i="16"/>
  <c r="OO53" i="16"/>
  <c r="ON53" i="16"/>
  <c r="OK53" i="16"/>
  <c r="OJ53" i="16"/>
  <c r="OI53" i="16"/>
  <c r="OH53" i="16"/>
  <c r="OG53" i="16"/>
  <c r="OF53" i="16"/>
  <c r="OE53" i="16"/>
  <c r="OB53" i="16"/>
  <c r="OA53" i="16"/>
  <c r="NZ53" i="16"/>
  <c r="NY53" i="16"/>
  <c r="NX53" i="16"/>
  <c r="NW53" i="16"/>
  <c r="NV53" i="16"/>
  <c r="NS53" i="16"/>
  <c r="NR53" i="16"/>
  <c r="NQ53" i="16"/>
  <c r="NP53" i="16"/>
  <c r="NO53" i="16"/>
  <c r="NN53" i="16"/>
  <c r="NM53" i="16"/>
  <c r="NJ53" i="16"/>
  <c r="NI53" i="16"/>
  <c r="NH53" i="16"/>
  <c r="NG53" i="16"/>
  <c r="NF53" i="16"/>
  <c r="NE53" i="16"/>
  <c r="ND53" i="16"/>
  <c r="NA53" i="16"/>
  <c r="MZ53" i="16"/>
  <c r="MY53" i="16"/>
  <c r="MX53" i="16"/>
  <c r="MW53" i="16"/>
  <c r="MV53" i="16"/>
  <c r="MU53" i="16"/>
  <c r="MR53" i="16"/>
  <c r="MQ53" i="16"/>
  <c r="MP53" i="16"/>
  <c r="MO53" i="16"/>
  <c r="MN53" i="16"/>
  <c r="MM53" i="16"/>
  <c r="ML53" i="16"/>
  <c r="MI53" i="16"/>
  <c r="MH53" i="16"/>
  <c r="MG53" i="16"/>
  <c r="MF53" i="16"/>
  <c r="ME53" i="16"/>
  <c r="MD53" i="16"/>
  <c r="MC53" i="16"/>
  <c r="LZ53" i="16"/>
  <c r="LY53" i="16"/>
  <c r="LX53" i="16"/>
  <c r="LW53" i="16"/>
  <c r="LV53" i="16"/>
  <c r="LU53" i="16"/>
  <c r="LT53" i="16"/>
  <c r="LQ53" i="16"/>
  <c r="LP53" i="16"/>
  <c r="LO53" i="16"/>
  <c r="LN53" i="16"/>
  <c r="LM53" i="16"/>
  <c r="LL53" i="16"/>
  <c r="LK53" i="16"/>
  <c r="LH53" i="16"/>
  <c r="LG53" i="16"/>
  <c r="LF53" i="16"/>
  <c r="LE53" i="16"/>
  <c r="LD53" i="16"/>
  <c r="LC53" i="16"/>
  <c r="LB53" i="16"/>
  <c r="KY53" i="16"/>
  <c r="KX53" i="16"/>
  <c r="KW53" i="16"/>
  <c r="KV53" i="16"/>
  <c r="KU53" i="16"/>
  <c r="KT53" i="16"/>
  <c r="KS53" i="16"/>
  <c r="KP53" i="16"/>
  <c r="KO53" i="16"/>
  <c r="KN53" i="16"/>
  <c r="KM53" i="16"/>
  <c r="KL53" i="16"/>
  <c r="KK53" i="16"/>
  <c r="KJ53" i="16"/>
  <c r="KG53" i="16"/>
  <c r="KF53" i="16"/>
  <c r="KE53" i="16"/>
  <c r="KD53" i="16"/>
  <c r="KC53" i="16"/>
  <c r="KB53" i="16"/>
  <c r="KA53" i="16"/>
  <c r="JX53" i="16"/>
  <c r="JW53" i="16"/>
  <c r="JV53" i="16"/>
  <c r="JU53" i="16"/>
  <c r="JT53" i="16"/>
  <c r="JS53" i="16"/>
  <c r="JR53" i="16"/>
  <c r="JO53" i="16"/>
  <c r="JN53" i="16"/>
  <c r="JM53" i="16"/>
  <c r="JL53" i="16"/>
  <c r="JK53" i="16"/>
  <c r="JJ53" i="16"/>
  <c r="JI53" i="16"/>
  <c r="JF53" i="16"/>
  <c r="JE53" i="16"/>
  <c r="JD53" i="16"/>
  <c r="JC53" i="16"/>
  <c r="JB53" i="16"/>
  <c r="JA53" i="16"/>
  <c r="IZ53" i="16"/>
  <c r="IQ53" i="16"/>
  <c r="IP53" i="16"/>
  <c r="IO53" i="16"/>
  <c r="IN53" i="16"/>
  <c r="IM53" i="16"/>
  <c r="IL53" i="16"/>
  <c r="IK53" i="16"/>
  <c r="IJ53" i="16"/>
  <c r="II53" i="16"/>
  <c r="IF53" i="16"/>
  <c r="IE53" i="16"/>
  <c r="ID53" i="16"/>
  <c r="IC53" i="16"/>
  <c r="IB53" i="16"/>
  <c r="IA53" i="16"/>
  <c r="HX53" i="16"/>
  <c r="HW53" i="16"/>
  <c r="HV53" i="16"/>
  <c r="HU53" i="16"/>
  <c r="HT53" i="16"/>
  <c r="HS53" i="16"/>
  <c r="HP53" i="16"/>
  <c r="HO53" i="16"/>
  <c r="HN53" i="16"/>
  <c r="HM53" i="16"/>
  <c r="HL53" i="16"/>
  <c r="HK53" i="16"/>
  <c r="HH53" i="16"/>
  <c r="HG53" i="16"/>
  <c r="HF53" i="16"/>
  <c r="HE53" i="16"/>
  <c r="HD53" i="16"/>
  <c r="HC53" i="16"/>
  <c r="GZ53" i="16"/>
  <c r="GY53" i="16"/>
  <c r="GX53" i="16"/>
  <c r="GW53" i="16"/>
  <c r="GV53" i="16"/>
  <c r="GU53" i="16"/>
  <c r="GR53" i="16"/>
  <c r="GQ53" i="16"/>
  <c r="GP53" i="16"/>
  <c r="GO53" i="16"/>
  <c r="GN53" i="16"/>
  <c r="GM53" i="16"/>
  <c r="GJ53" i="16"/>
  <c r="GI53" i="16"/>
  <c r="GH53" i="16"/>
  <c r="GG53" i="16"/>
  <c r="GF53" i="16"/>
  <c r="GE53" i="16"/>
  <c r="GB53" i="16"/>
  <c r="GA53" i="16"/>
  <c r="FZ53" i="16"/>
  <c r="FY53" i="16"/>
  <c r="FX53" i="16"/>
  <c r="FW53" i="16"/>
  <c r="FT53" i="16"/>
  <c r="FS53" i="16"/>
  <c r="FR53" i="16"/>
  <c r="FQ53" i="16"/>
  <c r="FP53" i="16"/>
  <c r="FO53" i="16"/>
  <c r="FL53" i="16"/>
  <c r="FK53" i="16"/>
  <c r="FJ53" i="16"/>
  <c r="FI53" i="16"/>
  <c r="FH53" i="16"/>
  <c r="FG53" i="16"/>
  <c r="FD53" i="16"/>
  <c r="FC53" i="16"/>
  <c r="FB53" i="16"/>
  <c r="FA53" i="16"/>
  <c r="EZ53" i="16"/>
  <c r="EY53" i="16"/>
  <c r="EV53" i="16"/>
  <c r="EU53" i="16"/>
  <c r="ET53" i="16"/>
  <c r="ES53" i="16"/>
  <c r="ER53" i="16"/>
  <c r="EQ53" i="16"/>
  <c r="EN53" i="16"/>
  <c r="EM53" i="16"/>
  <c r="EL53" i="16"/>
  <c r="EK53" i="16"/>
  <c r="EJ53" i="16"/>
  <c r="EI53" i="16"/>
  <c r="EF53" i="16"/>
  <c r="EE53" i="16"/>
  <c r="ED53" i="16"/>
  <c r="EC53" i="16"/>
  <c r="EB53" i="16"/>
  <c r="EA53" i="16"/>
  <c r="DX53" i="16"/>
  <c r="DW53" i="16"/>
  <c r="DV53" i="16"/>
  <c r="DU53" i="16"/>
  <c r="DT53" i="16"/>
  <c r="DS53" i="16"/>
  <c r="DP53" i="16"/>
  <c r="DO53" i="16"/>
  <c r="DN53" i="16"/>
  <c r="DM53" i="16"/>
  <c r="DL53" i="16"/>
  <c r="DK53" i="16"/>
  <c r="DG53" i="16"/>
  <c r="DE53" i="16"/>
  <c r="DD53" i="16"/>
  <c r="DC53" i="16"/>
  <c r="DA53" i="16"/>
  <c r="CZ53" i="16"/>
  <c r="CY53" i="16"/>
  <c r="CX53" i="16"/>
  <c r="CU53" i="16"/>
  <c r="CT53" i="16"/>
  <c r="CS53" i="16"/>
  <c r="CR53" i="16"/>
  <c r="CO53" i="16"/>
  <c r="CN53" i="16"/>
  <c r="CM53" i="16"/>
  <c r="CL53" i="16"/>
  <c r="CI53" i="16"/>
  <c r="CH53" i="16"/>
  <c r="CG53" i="16"/>
  <c r="CF53" i="16"/>
  <c r="CC53" i="16"/>
  <c r="CB53" i="16"/>
  <c r="CA53" i="16"/>
  <c r="BZ53" i="16"/>
  <c r="BW53" i="16"/>
  <c r="BV53" i="16"/>
  <c r="BU53" i="16"/>
  <c r="BT53" i="16"/>
  <c r="BQ53" i="16"/>
  <c r="BP53" i="16"/>
  <c r="BO53" i="16"/>
  <c r="BN53" i="16"/>
  <c r="BK53" i="16"/>
  <c r="BJ53" i="16"/>
  <c r="BI53" i="16"/>
  <c r="BH53" i="16"/>
  <c r="BE53" i="16"/>
  <c r="BD53" i="16"/>
  <c r="BC53" i="16"/>
  <c r="BB53" i="16"/>
  <c r="AY53" i="16"/>
  <c r="AX53" i="16"/>
  <c r="AW53" i="16"/>
  <c r="AV53" i="16"/>
  <c r="AS53" i="16"/>
  <c r="AR53" i="16"/>
  <c r="AQ53" i="16"/>
  <c r="AP53" i="16"/>
  <c r="AM53" i="16"/>
  <c r="AL53" i="16"/>
  <c r="AK53" i="16"/>
  <c r="AJ53" i="16"/>
  <c r="AG53" i="16"/>
  <c r="AF53" i="16"/>
  <c r="AE53" i="16"/>
  <c r="AD53" i="16"/>
  <c r="AA53" i="16"/>
  <c r="Z53" i="16"/>
  <c r="Y53" i="16"/>
  <c r="X53" i="16"/>
  <c r="U53" i="16"/>
  <c r="T53" i="16"/>
  <c r="S53" i="16"/>
  <c r="R53" i="16"/>
  <c r="O53" i="16"/>
  <c r="N53" i="16"/>
  <c r="M53" i="16"/>
  <c r="L53" i="16"/>
  <c r="I53" i="16"/>
  <c r="H53" i="16"/>
  <c r="G53" i="16"/>
  <c r="F53" i="16"/>
  <c r="OW52" i="16"/>
  <c r="OV52" i="16"/>
  <c r="OU52" i="16"/>
  <c r="OT52" i="16"/>
  <c r="OS52" i="16"/>
  <c r="OR52" i="16"/>
  <c r="OQ52" i="16"/>
  <c r="OP52" i="16"/>
  <c r="OO52" i="16"/>
  <c r="ON52" i="16"/>
  <c r="OK52" i="16"/>
  <c r="OJ52" i="16"/>
  <c r="OI52" i="16"/>
  <c r="OH52" i="16"/>
  <c r="OG52" i="16"/>
  <c r="OF52" i="16"/>
  <c r="OE52" i="16"/>
  <c r="OB52" i="16"/>
  <c r="OA52" i="16"/>
  <c r="NZ52" i="16"/>
  <c r="NY52" i="16"/>
  <c r="NX52" i="16"/>
  <c r="NW52" i="16"/>
  <c r="NV52" i="16"/>
  <c r="NS52" i="16"/>
  <c r="NR52" i="16"/>
  <c r="NQ52" i="16"/>
  <c r="NP52" i="16"/>
  <c r="NO52" i="16"/>
  <c r="NN52" i="16"/>
  <c r="NM52" i="16"/>
  <c r="NJ52" i="16"/>
  <c r="NI52" i="16"/>
  <c r="NH52" i="16"/>
  <c r="NG52" i="16"/>
  <c r="NF52" i="16"/>
  <c r="NE52" i="16"/>
  <c r="ND52" i="16"/>
  <c r="NA52" i="16"/>
  <c r="MZ52" i="16"/>
  <c r="MY52" i="16"/>
  <c r="MX52" i="16"/>
  <c r="MW52" i="16"/>
  <c r="MV52" i="16"/>
  <c r="MU52" i="16"/>
  <c r="MR52" i="16"/>
  <c r="MQ52" i="16"/>
  <c r="MP52" i="16"/>
  <c r="MO52" i="16"/>
  <c r="MN52" i="16"/>
  <c r="MM52" i="16"/>
  <c r="ML52" i="16"/>
  <c r="MI52" i="16"/>
  <c r="MH52" i="16"/>
  <c r="MG52" i="16"/>
  <c r="MF52" i="16"/>
  <c r="ME52" i="16"/>
  <c r="MD52" i="16"/>
  <c r="MC52" i="16"/>
  <c r="LZ52" i="16"/>
  <c r="LY52" i="16"/>
  <c r="LX52" i="16"/>
  <c r="LW52" i="16"/>
  <c r="LV52" i="16"/>
  <c r="LU52" i="16"/>
  <c r="LT52" i="16"/>
  <c r="LQ52" i="16"/>
  <c r="LP52" i="16"/>
  <c r="LO52" i="16"/>
  <c r="LN52" i="16"/>
  <c r="LM52" i="16"/>
  <c r="LL52" i="16"/>
  <c r="LK52" i="16"/>
  <c r="LH52" i="16"/>
  <c r="LG52" i="16"/>
  <c r="LF52" i="16"/>
  <c r="LE52" i="16"/>
  <c r="LD52" i="16"/>
  <c r="LC52" i="16"/>
  <c r="LB52" i="16"/>
  <c r="KY52" i="16"/>
  <c r="KX52" i="16"/>
  <c r="KW52" i="16"/>
  <c r="KV52" i="16"/>
  <c r="KU52" i="16"/>
  <c r="KT52" i="16"/>
  <c r="KS52" i="16"/>
  <c r="KP52" i="16"/>
  <c r="KO52" i="16"/>
  <c r="KN52" i="16"/>
  <c r="KM52" i="16"/>
  <c r="KL52" i="16"/>
  <c r="KK52" i="16"/>
  <c r="KJ52" i="16"/>
  <c r="KG52" i="16"/>
  <c r="KF52" i="16"/>
  <c r="KE52" i="16"/>
  <c r="KD52" i="16"/>
  <c r="KC52" i="16"/>
  <c r="KB52" i="16"/>
  <c r="KA52" i="16"/>
  <c r="JX52" i="16"/>
  <c r="JW52" i="16"/>
  <c r="JV52" i="16"/>
  <c r="JU52" i="16"/>
  <c r="JT52" i="16"/>
  <c r="JS52" i="16"/>
  <c r="JR52" i="16"/>
  <c r="JO52" i="16"/>
  <c r="JN52" i="16"/>
  <c r="JM52" i="16"/>
  <c r="JL52" i="16"/>
  <c r="JK52" i="16"/>
  <c r="JJ52" i="16"/>
  <c r="JI52" i="16"/>
  <c r="JF52" i="16"/>
  <c r="JE52" i="16"/>
  <c r="JD52" i="16"/>
  <c r="JC52" i="16"/>
  <c r="JB52" i="16"/>
  <c r="JA52" i="16"/>
  <c r="IZ52" i="16"/>
  <c r="IQ52" i="16"/>
  <c r="IP52" i="16"/>
  <c r="IO52" i="16"/>
  <c r="IN52" i="16"/>
  <c r="IM52" i="16"/>
  <c r="IL52" i="16"/>
  <c r="IK52" i="16"/>
  <c r="IJ52" i="16"/>
  <c r="II52" i="16"/>
  <c r="IF52" i="16"/>
  <c r="IE52" i="16"/>
  <c r="ID52" i="16"/>
  <c r="IC52" i="16"/>
  <c r="IB52" i="16"/>
  <c r="IA52" i="16"/>
  <c r="HX52" i="16"/>
  <c r="HW52" i="16"/>
  <c r="HV52" i="16"/>
  <c r="HU52" i="16"/>
  <c r="HT52" i="16"/>
  <c r="HS52" i="16"/>
  <c r="HP52" i="16"/>
  <c r="HO52" i="16"/>
  <c r="HN52" i="16"/>
  <c r="HM52" i="16"/>
  <c r="HL52" i="16"/>
  <c r="HK52" i="16"/>
  <c r="HH52" i="16"/>
  <c r="HG52" i="16"/>
  <c r="HF52" i="16"/>
  <c r="HE52" i="16"/>
  <c r="HD52" i="16"/>
  <c r="HC52" i="16"/>
  <c r="GZ52" i="16"/>
  <c r="GY52" i="16"/>
  <c r="GX52" i="16"/>
  <c r="GW52" i="16"/>
  <c r="GV52" i="16"/>
  <c r="GU52" i="16"/>
  <c r="GR52" i="16"/>
  <c r="GQ52" i="16"/>
  <c r="GP52" i="16"/>
  <c r="GO52" i="16"/>
  <c r="GN52" i="16"/>
  <c r="GM52" i="16"/>
  <c r="GJ52" i="16"/>
  <c r="GI52" i="16"/>
  <c r="GH52" i="16"/>
  <c r="GG52" i="16"/>
  <c r="GF52" i="16"/>
  <c r="GE52" i="16"/>
  <c r="GB52" i="16"/>
  <c r="GA52" i="16"/>
  <c r="FZ52" i="16"/>
  <c r="FY52" i="16"/>
  <c r="FX52" i="16"/>
  <c r="FW52" i="16"/>
  <c r="FT52" i="16"/>
  <c r="FS52" i="16"/>
  <c r="FR52" i="16"/>
  <c r="FQ52" i="16"/>
  <c r="FP52" i="16"/>
  <c r="FO52" i="16"/>
  <c r="FL52" i="16"/>
  <c r="FK52" i="16"/>
  <c r="FJ52" i="16"/>
  <c r="FI52" i="16"/>
  <c r="FH52" i="16"/>
  <c r="FG52" i="16"/>
  <c r="FD52" i="16"/>
  <c r="FC52" i="16"/>
  <c r="FB52" i="16"/>
  <c r="FA52" i="16"/>
  <c r="EZ52" i="16"/>
  <c r="EY52" i="16"/>
  <c r="EV52" i="16"/>
  <c r="EU52" i="16"/>
  <c r="ET52" i="16"/>
  <c r="ES52" i="16"/>
  <c r="ER52" i="16"/>
  <c r="EQ52" i="16"/>
  <c r="EN52" i="16"/>
  <c r="EM52" i="16"/>
  <c r="EL52" i="16"/>
  <c r="EK52" i="16"/>
  <c r="EJ52" i="16"/>
  <c r="EI52" i="16"/>
  <c r="EF52" i="16"/>
  <c r="EE52" i="16"/>
  <c r="ED52" i="16"/>
  <c r="EC52" i="16"/>
  <c r="EB52" i="16"/>
  <c r="EA52" i="16"/>
  <c r="DX52" i="16"/>
  <c r="DW52" i="16"/>
  <c r="DV52" i="16"/>
  <c r="DU52" i="16"/>
  <c r="DT52" i="16"/>
  <c r="DS52" i="16"/>
  <c r="DP52" i="16"/>
  <c r="DO52" i="16"/>
  <c r="DN52" i="16"/>
  <c r="DM52" i="16"/>
  <c r="DL52" i="16"/>
  <c r="DK52" i="16"/>
  <c r="DG52" i="16"/>
  <c r="DE52" i="16"/>
  <c r="DD52" i="16"/>
  <c r="DC52" i="16"/>
  <c r="DA52" i="16"/>
  <c r="CZ52" i="16"/>
  <c r="CY52" i="16"/>
  <c r="CX52" i="16"/>
  <c r="CU52" i="16"/>
  <c r="CT52" i="16"/>
  <c r="CS52" i="16"/>
  <c r="CR52" i="16"/>
  <c r="CO52" i="16"/>
  <c r="CN52" i="16"/>
  <c r="CM52" i="16"/>
  <c r="CL52" i="16"/>
  <c r="CI52" i="16"/>
  <c r="CH52" i="16"/>
  <c r="CG52" i="16"/>
  <c r="CF52" i="16"/>
  <c r="CC52" i="16"/>
  <c r="CB52" i="16"/>
  <c r="CA52" i="16"/>
  <c r="BZ52" i="16"/>
  <c r="BW52" i="16"/>
  <c r="BV52" i="16"/>
  <c r="BU52" i="16"/>
  <c r="BT52" i="16"/>
  <c r="BQ52" i="16"/>
  <c r="BP52" i="16"/>
  <c r="BO52" i="16"/>
  <c r="BN52" i="16"/>
  <c r="BK52" i="16"/>
  <c r="BJ52" i="16"/>
  <c r="BI52" i="16"/>
  <c r="BH52" i="16"/>
  <c r="BE52" i="16"/>
  <c r="BD52" i="16"/>
  <c r="BC52" i="16"/>
  <c r="BB52" i="16"/>
  <c r="AY52" i="16"/>
  <c r="AX52" i="16"/>
  <c r="AW52" i="16"/>
  <c r="AV52" i="16"/>
  <c r="AS52" i="16"/>
  <c r="AR52" i="16"/>
  <c r="AQ52" i="16"/>
  <c r="AP52" i="16"/>
  <c r="AM52" i="16"/>
  <c r="AL52" i="16"/>
  <c r="AK52" i="16"/>
  <c r="AJ52" i="16"/>
  <c r="AG52" i="16"/>
  <c r="AF52" i="16"/>
  <c r="AE52" i="16"/>
  <c r="AD52" i="16"/>
  <c r="AA52" i="16"/>
  <c r="Z52" i="16"/>
  <c r="Y52" i="16"/>
  <c r="X52" i="16"/>
  <c r="U52" i="16"/>
  <c r="T52" i="16"/>
  <c r="S52" i="16"/>
  <c r="R52" i="16"/>
  <c r="O52" i="16"/>
  <c r="N52" i="16"/>
  <c r="M52" i="16"/>
  <c r="L52" i="16"/>
  <c r="I52" i="16"/>
  <c r="H52" i="16"/>
  <c r="G52" i="16"/>
  <c r="F52" i="16"/>
  <c r="OW51" i="16"/>
  <c r="OV51" i="16"/>
  <c r="OU51" i="16"/>
  <c r="OT51" i="16"/>
  <c r="OS51" i="16"/>
  <c r="OR51" i="16"/>
  <c r="OQ51" i="16"/>
  <c r="OP51" i="16"/>
  <c r="OO51" i="16"/>
  <c r="ON51" i="16"/>
  <c r="OK51" i="16"/>
  <c r="OJ51" i="16"/>
  <c r="OI51" i="16"/>
  <c r="OH51" i="16"/>
  <c r="OG51" i="16"/>
  <c r="OF51" i="16"/>
  <c r="OE51" i="16"/>
  <c r="OB51" i="16"/>
  <c r="OA51" i="16"/>
  <c r="NZ51" i="16"/>
  <c r="NY51" i="16"/>
  <c r="NX51" i="16"/>
  <c r="NW51" i="16"/>
  <c r="NV51" i="16"/>
  <c r="NS51" i="16"/>
  <c r="NR51" i="16"/>
  <c r="NQ51" i="16"/>
  <c r="NP51" i="16"/>
  <c r="NO51" i="16"/>
  <c r="NN51" i="16"/>
  <c r="NM51" i="16"/>
  <c r="NJ51" i="16"/>
  <c r="NI51" i="16"/>
  <c r="NH51" i="16"/>
  <c r="NG51" i="16"/>
  <c r="NF51" i="16"/>
  <c r="NE51" i="16"/>
  <c r="ND51" i="16"/>
  <c r="NA51" i="16"/>
  <c r="MZ51" i="16"/>
  <c r="MY51" i="16"/>
  <c r="MX51" i="16"/>
  <c r="MW51" i="16"/>
  <c r="MV51" i="16"/>
  <c r="MU51" i="16"/>
  <c r="MR51" i="16"/>
  <c r="MQ51" i="16"/>
  <c r="MP51" i="16"/>
  <c r="MO51" i="16"/>
  <c r="MN51" i="16"/>
  <c r="MM51" i="16"/>
  <c r="ML51" i="16"/>
  <c r="MI51" i="16"/>
  <c r="MH51" i="16"/>
  <c r="MG51" i="16"/>
  <c r="MF51" i="16"/>
  <c r="ME51" i="16"/>
  <c r="MD51" i="16"/>
  <c r="MC51" i="16"/>
  <c r="LZ51" i="16"/>
  <c r="LY51" i="16"/>
  <c r="LX51" i="16"/>
  <c r="LW51" i="16"/>
  <c r="LV51" i="16"/>
  <c r="LU51" i="16"/>
  <c r="LT51" i="16"/>
  <c r="LQ51" i="16"/>
  <c r="LP51" i="16"/>
  <c r="LO51" i="16"/>
  <c r="LN51" i="16"/>
  <c r="LM51" i="16"/>
  <c r="LL51" i="16"/>
  <c r="LK51" i="16"/>
  <c r="LH51" i="16"/>
  <c r="LG51" i="16"/>
  <c r="LF51" i="16"/>
  <c r="LE51" i="16"/>
  <c r="LD51" i="16"/>
  <c r="LC51" i="16"/>
  <c r="LB51" i="16"/>
  <c r="KY51" i="16"/>
  <c r="KX51" i="16"/>
  <c r="KW51" i="16"/>
  <c r="KV51" i="16"/>
  <c r="KU51" i="16"/>
  <c r="KT51" i="16"/>
  <c r="KS51" i="16"/>
  <c r="KP51" i="16"/>
  <c r="KO51" i="16"/>
  <c r="KN51" i="16"/>
  <c r="KM51" i="16"/>
  <c r="KL51" i="16"/>
  <c r="KK51" i="16"/>
  <c r="KJ51" i="16"/>
  <c r="KG51" i="16"/>
  <c r="KF51" i="16"/>
  <c r="KE51" i="16"/>
  <c r="KD51" i="16"/>
  <c r="KC51" i="16"/>
  <c r="KB51" i="16"/>
  <c r="KA51" i="16"/>
  <c r="JX51" i="16"/>
  <c r="JW51" i="16"/>
  <c r="JV51" i="16"/>
  <c r="JU51" i="16"/>
  <c r="JT51" i="16"/>
  <c r="JS51" i="16"/>
  <c r="JR51" i="16"/>
  <c r="JO51" i="16"/>
  <c r="JN51" i="16"/>
  <c r="JM51" i="16"/>
  <c r="JL51" i="16"/>
  <c r="JK51" i="16"/>
  <c r="JJ51" i="16"/>
  <c r="JI51" i="16"/>
  <c r="JF51" i="16"/>
  <c r="JE51" i="16"/>
  <c r="JD51" i="16"/>
  <c r="JC51" i="16"/>
  <c r="JB51" i="16"/>
  <c r="JA51" i="16"/>
  <c r="IZ51" i="16"/>
  <c r="IQ51" i="16"/>
  <c r="IP51" i="16"/>
  <c r="IO51" i="16"/>
  <c r="IN51" i="16"/>
  <c r="IM51" i="16"/>
  <c r="IL51" i="16"/>
  <c r="IK51" i="16"/>
  <c r="IJ51" i="16"/>
  <c r="II51" i="16"/>
  <c r="IF51" i="16"/>
  <c r="IE51" i="16"/>
  <c r="ID51" i="16"/>
  <c r="IC51" i="16"/>
  <c r="IB51" i="16"/>
  <c r="IA51" i="16"/>
  <c r="HX51" i="16"/>
  <c r="HW51" i="16"/>
  <c r="HV51" i="16"/>
  <c r="HU51" i="16"/>
  <c r="HT51" i="16"/>
  <c r="HS51" i="16"/>
  <c r="HP51" i="16"/>
  <c r="HO51" i="16"/>
  <c r="HN51" i="16"/>
  <c r="HM51" i="16"/>
  <c r="HL51" i="16"/>
  <c r="HK51" i="16"/>
  <c r="HH51" i="16"/>
  <c r="HG51" i="16"/>
  <c r="HF51" i="16"/>
  <c r="HE51" i="16"/>
  <c r="HD51" i="16"/>
  <c r="HC51" i="16"/>
  <c r="GZ51" i="16"/>
  <c r="GY51" i="16"/>
  <c r="GX51" i="16"/>
  <c r="GW51" i="16"/>
  <c r="GV51" i="16"/>
  <c r="GU51" i="16"/>
  <c r="GR51" i="16"/>
  <c r="GQ51" i="16"/>
  <c r="GP51" i="16"/>
  <c r="GO51" i="16"/>
  <c r="GN51" i="16"/>
  <c r="GM51" i="16"/>
  <c r="GJ51" i="16"/>
  <c r="GI51" i="16"/>
  <c r="GH51" i="16"/>
  <c r="GG51" i="16"/>
  <c r="GF51" i="16"/>
  <c r="GE51" i="16"/>
  <c r="GB51" i="16"/>
  <c r="GA51" i="16"/>
  <c r="FZ51" i="16"/>
  <c r="FY51" i="16"/>
  <c r="FX51" i="16"/>
  <c r="FW51" i="16"/>
  <c r="FT51" i="16"/>
  <c r="FS51" i="16"/>
  <c r="FR51" i="16"/>
  <c r="FQ51" i="16"/>
  <c r="FP51" i="16"/>
  <c r="FO51" i="16"/>
  <c r="FL51" i="16"/>
  <c r="FK51" i="16"/>
  <c r="FJ51" i="16"/>
  <c r="FI51" i="16"/>
  <c r="FH51" i="16"/>
  <c r="FG51" i="16"/>
  <c r="FD51" i="16"/>
  <c r="FC51" i="16"/>
  <c r="FB51" i="16"/>
  <c r="FA51" i="16"/>
  <c r="EZ51" i="16"/>
  <c r="EY51" i="16"/>
  <c r="EV51" i="16"/>
  <c r="EU51" i="16"/>
  <c r="ET51" i="16"/>
  <c r="ES51" i="16"/>
  <c r="ER51" i="16"/>
  <c r="EQ51" i="16"/>
  <c r="EN51" i="16"/>
  <c r="EM51" i="16"/>
  <c r="EL51" i="16"/>
  <c r="EK51" i="16"/>
  <c r="EJ51" i="16"/>
  <c r="EI51" i="16"/>
  <c r="EF51" i="16"/>
  <c r="EE51" i="16"/>
  <c r="ED51" i="16"/>
  <c r="EC51" i="16"/>
  <c r="EB51" i="16"/>
  <c r="EA51" i="16"/>
  <c r="DX51" i="16"/>
  <c r="DW51" i="16"/>
  <c r="DV51" i="16"/>
  <c r="DU51" i="16"/>
  <c r="DT51" i="16"/>
  <c r="DS51" i="16"/>
  <c r="DP51" i="16"/>
  <c r="DO51" i="16"/>
  <c r="DN51" i="16"/>
  <c r="DM51" i="16"/>
  <c r="DL51" i="16"/>
  <c r="DK51" i="16"/>
  <c r="DG51" i="16"/>
  <c r="DE51" i="16"/>
  <c r="DD51" i="16"/>
  <c r="DC51" i="16"/>
  <c r="DA51" i="16"/>
  <c r="CZ51" i="16"/>
  <c r="CY51" i="16"/>
  <c r="CX51" i="16"/>
  <c r="CU51" i="16"/>
  <c r="CT51" i="16"/>
  <c r="CS51" i="16"/>
  <c r="CR51" i="16"/>
  <c r="CO51" i="16"/>
  <c r="CN51" i="16"/>
  <c r="CM51" i="16"/>
  <c r="CL51" i="16"/>
  <c r="CI51" i="16"/>
  <c r="CH51" i="16"/>
  <c r="CG51" i="16"/>
  <c r="CF51" i="16"/>
  <c r="CC51" i="16"/>
  <c r="CB51" i="16"/>
  <c r="CA51" i="16"/>
  <c r="BZ51" i="16"/>
  <c r="BW51" i="16"/>
  <c r="BV51" i="16"/>
  <c r="BU51" i="16"/>
  <c r="BT51" i="16"/>
  <c r="BQ51" i="16"/>
  <c r="BP51" i="16"/>
  <c r="BO51" i="16"/>
  <c r="BN51" i="16"/>
  <c r="BK51" i="16"/>
  <c r="BJ51" i="16"/>
  <c r="BI51" i="16"/>
  <c r="BH51" i="16"/>
  <c r="BE51" i="16"/>
  <c r="BD51" i="16"/>
  <c r="BC51" i="16"/>
  <c r="BB51" i="16"/>
  <c r="AY51" i="16"/>
  <c r="AX51" i="16"/>
  <c r="AW51" i="16"/>
  <c r="AV51" i="16"/>
  <c r="AS51" i="16"/>
  <c r="AR51" i="16"/>
  <c r="AQ51" i="16"/>
  <c r="AP51" i="16"/>
  <c r="AM51" i="16"/>
  <c r="AL51" i="16"/>
  <c r="AK51" i="16"/>
  <c r="AJ51" i="16"/>
  <c r="AG51" i="16"/>
  <c r="AF51" i="16"/>
  <c r="AE51" i="16"/>
  <c r="AD51" i="16"/>
  <c r="AA51" i="16"/>
  <c r="Z51" i="16"/>
  <c r="Y51" i="16"/>
  <c r="X51" i="16"/>
  <c r="U51" i="16"/>
  <c r="T51" i="16"/>
  <c r="S51" i="16"/>
  <c r="R51" i="16"/>
  <c r="O51" i="16"/>
  <c r="N51" i="16"/>
  <c r="M51" i="16"/>
  <c r="L51" i="16"/>
  <c r="I51" i="16"/>
  <c r="H51" i="16"/>
  <c r="G51" i="16"/>
  <c r="F51" i="16"/>
  <c r="OW50" i="16"/>
  <c r="OV50" i="16"/>
  <c r="OU50" i="16"/>
  <c r="OT50" i="16"/>
  <c r="OS50" i="16"/>
  <c r="OR50" i="16"/>
  <c r="OQ50" i="16"/>
  <c r="OP50" i="16"/>
  <c r="OO50" i="16"/>
  <c r="ON50" i="16"/>
  <c r="OK50" i="16"/>
  <c r="OJ50" i="16"/>
  <c r="OI50" i="16"/>
  <c r="OH50" i="16"/>
  <c r="OG50" i="16"/>
  <c r="OF50" i="16"/>
  <c r="OE50" i="16"/>
  <c r="OB50" i="16"/>
  <c r="OA50" i="16"/>
  <c r="NZ50" i="16"/>
  <c r="NY50" i="16"/>
  <c r="NX50" i="16"/>
  <c r="NW50" i="16"/>
  <c r="NV50" i="16"/>
  <c r="NS50" i="16"/>
  <c r="NR50" i="16"/>
  <c r="NQ50" i="16"/>
  <c r="NP50" i="16"/>
  <c r="NO50" i="16"/>
  <c r="NN50" i="16"/>
  <c r="NM50" i="16"/>
  <c r="NJ50" i="16"/>
  <c r="NI50" i="16"/>
  <c r="NH50" i="16"/>
  <c r="NG50" i="16"/>
  <c r="NF50" i="16"/>
  <c r="NE50" i="16"/>
  <c r="ND50" i="16"/>
  <c r="NA50" i="16"/>
  <c r="MZ50" i="16"/>
  <c r="MY50" i="16"/>
  <c r="MX50" i="16"/>
  <c r="MW50" i="16"/>
  <c r="MV50" i="16"/>
  <c r="MU50" i="16"/>
  <c r="MR50" i="16"/>
  <c r="MQ50" i="16"/>
  <c r="MP50" i="16"/>
  <c r="MO50" i="16"/>
  <c r="MN50" i="16"/>
  <c r="MM50" i="16"/>
  <c r="ML50" i="16"/>
  <c r="MI50" i="16"/>
  <c r="MH50" i="16"/>
  <c r="MG50" i="16"/>
  <c r="MF50" i="16"/>
  <c r="ME50" i="16"/>
  <c r="MD50" i="16"/>
  <c r="MC50" i="16"/>
  <c r="LZ50" i="16"/>
  <c r="LY50" i="16"/>
  <c r="LX50" i="16"/>
  <c r="LW50" i="16"/>
  <c r="LV50" i="16"/>
  <c r="LU50" i="16"/>
  <c r="LT50" i="16"/>
  <c r="LQ50" i="16"/>
  <c r="LP50" i="16"/>
  <c r="LO50" i="16"/>
  <c r="LN50" i="16"/>
  <c r="LM50" i="16"/>
  <c r="LL50" i="16"/>
  <c r="LK50" i="16"/>
  <c r="LH50" i="16"/>
  <c r="LG50" i="16"/>
  <c r="LF50" i="16"/>
  <c r="LE50" i="16"/>
  <c r="LD50" i="16"/>
  <c r="LC50" i="16"/>
  <c r="LB50" i="16"/>
  <c r="KY50" i="16"/>
  <c r="KX50" i="16"/>
  <c r="KW50" i="16"/>
  <c r="KV50" i="16"/>
  <c r="KU50" i="16"/>
  <c r="KT50" i="16"/>
  <c r="KS50" i="16"/>
  <c r="KP50" i="16"/>
  <c r="KO50" i="16"/>
  <c r="KN50" i="16"/>
  <c r="KM50" i="16"/>
  <c r="KL50" i="16"/>
  <c r="KK50" i="16"/>
  <c r="KJ50" i="16"/>
  <c r="KG50" i="16"/>
  <c r="KF50" i="16"/>
  <c r="KE50" i="16"/>
  <c r="KD50" i="16"/>
  <c r="KC50" i="16"/>
  <c r="KB50" i="16"/>
  <c r="KA50" i="16"/>
  <c r="JX50" i="16"/>
  <c r="JW50" i="16"/>
  <c r="JV50" i="16"/>
  <c r="JU50" i="16"/>
  <c r="JT50" i="16"/>
  <c r="JS50" i="16"/>
  <c r="JR50" i="16"/>
  <c r="JO50" i="16"/>
  <c r="JN50" i="16"/>
  <c r="JM50" i="16"/>
  <c r="JL50" i="16"/>
  <c r="JK50" i="16"/>
  <c r="JJ50" i="16"/>
  <c r="JI50" i="16"/>
  <c r="JF50" i="16"/>
  <c r="JE50" i="16"/>
  <c r="JD50" i="16"/>
  <c r="JC50" i="16"/>
  <c r="JB50" i="16"/>
  <c r="JA50" i="16"/>
  <c r="IZ50" i="16"/>
  <c r="IQ50" i="16"/>
  <c r="IP50" i="16"/>
  <c r="IO50" i="16"/>
  <c r="IN50" i="16"/>
  <c r="IM50" i="16"/>
  <c r="IL50" i="16"/>
  <c r="IK50" i="16"/>
  <c r="IJ50" i="16"/>
  <c r="II50" i="16"/>
  <c r="IF50" i="16"/>
  <c r="IE50" i="16"/>
  <c r="ID50" i="16"/>
  <c r="IC50" i="16"/>
  <c r="IB50" i="16"/>
  <c r="IA50" i="16"/>
  <c r="HX50" i="16"/>
  <c r="HW50" i="16"/>
  <c r="HV50" i="16"/>
  <c r="HU50" i="16"/>
  <c r="HT50" i="16"/>
  <c r="HS50" i="16"/>
  <c r="HP50" i="16"/>
  <c r="HO50" i="16"/>
  <c r="HN50" i="16"/>
  <c r="HM50" i="16"/>
  <c r="HL50" i="16"/>
  <c r="HK50" i="16"/>
  <c r="HH50" i="16"/>
  <c r="HG50" i="16"/>
  <c r="HF50" i="16"/>
  <c r="HE50" i="16"/>
  <c r="HD50" i="16"/>
  <c r="HC50" i="16"/>
  <c r="GZ50" i="16"/>
  <c r="GY50" i="16"/>
  <c r="GX50" i="16"/>
  <c r="GW50" i="16"/>
  <c r="GV50" i="16"/>
  <c r="GU50" i="16"/>
  <c r="GR50" i="16"/>
  <c r="GQ50" i="16"/>
  <c r="GP50" i="16"/>
  <c r="GO50" i="16"/>
  <c r="GN50" i="16"/>
  <c r="GM50" i="16"/>
  <c r="GJ50" i="16"/>
  <c r="GI50" i="16"/>
  <c r="GH50" i="16"/>
  <c r="GG50" i="16"/>
  <c r="GF50" i="16"/>
  <c r="GE50" i="16"/>
  <c r="GB50" i="16"/>
  <c r="GA50" i="16"/>
  <c r="FZ50" i="16"/>
  <c r="FY50" i="16"/>
  <c r="FX50" i="16"/>
  <c r="FW50" i="16"/>
  <c r="FT50" i="16"/>
  <c r="FS50" i="16"/>
  <c r="FR50" i="16"/>
  <c r="FQ50" i="16"/>
  <c r="FP50" i="16"/>
  <c r="FO50" i="16"/>
  <c r="FL50" i="16"/>
  <c r="FK50" i="16"/>
  <c r="FJ50" i="16"/>
  <c r="FI50" i="16"/>
  <c r="FH50" i="16"/>
  <c r="FG50" i="16"/>
  <c r="FD50" i="16"/>
  <c r="FC50" i="16"/>
  <c r="FB50" i="16"/>
  <c r="FA50" i="16"/>
  <c r="EZ50" i="16"/>
  <c r="EY50" i="16"/>
  <c r="EV50" i="16"/>
  <c r="EU50" i="16"/>
  <c r="ET50" i="16"/>
  <c r="ES50" i="16"/>
  <c r="ER50" i="16"/>
  <c r="EQ50" i="16"/>
  <c r="EN50" i="16"/>
  <c r="EM50" i="16"/>
  <c r="EL50" i="16"/>
  <c r="EK50" i="16"/>
  <c r="EJ50" i="16"/>
  <c r="EI50" i="16"/>
  <c r="EF50" i="16"/>
  <c r="EE50" i="16"/>
  <c r="ED50" i="16"/>
  <c r="EC50" i="16"/>
  <c r="EB50" i="16"/>
  <c r="EA50" i="16"/>
  <c r="DX50" i="16"/>
  <c r="DW50" i="16"/>
  <c r="DV50" i="16"/>
  <c r="DU50" i="16"/>
  <c r="DT50" i="16"/>
  <c r="DS50" i="16"/>
  <c r="DP50" i="16"/>
  <c r="DO50" i="16"/>
  <c r="DN50" i="16"/>
  <c r="DM50" i="16"/>
  <c r="DL50" i="16"/>
  <c r="DK50" i="16"/>
  <c r="DG50" i="16"/>
  <c r="DE50" i="16"/>
  <c r="DD50" i="16"/>
  <c r="DC50" i="16"/>
  <c r="DA50" i="16"/>
  <c r="CZ50" i="16"/>
  <c r="CY50" i="16"/>
  <c r="CX50" i="16"/>
  <c r="CU50" i="16"/>
  <c r="CT50" i="16"/>
  <c r="CS50" i="16"/>
  <c r="CR50" i="16"/>
  <c r="CO50" i="16"/>
  <c r="CN50" i="16"/>
  <c r="CM50" i="16"/>
  <c r="CL50" i="16"/>
  <c r="CI50" i="16"/>
  <c r="CH50" i="16"/>
  <c r="CG50" i="16"/>
  <c r="CF50" i="16"/>
  <c r="CC50" i="16"/>
  <c r="CB50" i="16"/>
  <c r="CA50" i="16"/>
  <c r="BZ50" i="16"/>
  <c r="BW50" i="16"/>
  <c r="BV50" i="16"/>
  <c r="BU50" i="16"/>
  <c r="BT50" i="16"/>
  <c r="BQ50" i="16"/>
  <c r="BP50" i="16"/>
  <c r="BO50" i="16"/>
  <c r="BN50" i="16"/>
  <c r="BK50" i="16"/>
  <c r="BJ50" i="16"/>
  <c r="BI50" i="16"/>
  <c r="BH50" i="16"/>
  <c r="BE50" i="16"/>
  <c r="BD50" i="16"/>
  <c r="BC50" i="16"/>
  <c r="BB50" i="16"/>
  <c r="AY50" i="16"/>
  <c r="AX50" i="16"/>
  <c r="AW50" i="16"/>
  <c r="AV50" i="16"/>
  <c r="AS50" i="16"/>
  <c r="AR50" i="16"/>
  <c r="AQ50" i="16"/>
  <c r="AP50" i="16"/>
  <c r="AM50" i="16"/>
  <c r="AL50" i="16"/>
  <c r="AK50" i="16"/>
  <c r="AJ50" i="16"/>
  <c r="AG50" i="16"/>
  <c r="AF50" i="16"/>
  <c r="AE50" i="16"/>
  <c r="AD50" i="16"/>
  <c r="AA50" i="16"/>
  <c r="Z50" i="16"/>
  <c r="Y50" i="16"/>
  <c r="X50" i="16"/>
  <c r="U50" i="16"/>
  <c r="T50" i="16"/>
  <c r="S50" i="16"/>
  <c r="R50" i="16"/>
  <c r="O50" i="16"/>
  <c r="N50" i="16"/>
  <c r="M50" i="16"/>
  <c r="L50" i="16"/>
  <c r="I50" i="16"/>
  <c r="H50" i="16"/>
  <c r="G50" i="16"/>
  <c r="F50" i="16"/>
  <c r="OW49" i="16"/>
  <c r="OV49" i="16"/>
  <c r="OU49" i="16"/>
  <c r="OT49" i="16"/>
  <c r="OS49" i="16"/>
  <c r="OR49" i="16"/>
  <c r="OQ49" i="16"/>
  <c r="OP49" i="16"/>
  <c r="OO49" i="16"/>
  <c r="ON49" i="16"/>
  <c r="OK49" i="16"/>
  <c r="OJ49" i="16"/>
  <c r="OI49" i="16"/>
  <c r="OH49" i="16"/>
  <c r="OG49" i="16"/>
  <c r="OF49" i="16"/>
  <c r="OE49" i="16"/>
  <c r="OB49" i="16"/>
  <c r="OA49" i="16"/>
  <c r="NZ49" i="16"/>
  <c r="NY49" i="16"/>
  <c r="NX49" i="16"/>
  <c r="NW49" i="16"/>
  <c r="NV49" i="16"/>
  <c r="NS49" i="16"/>
  <c r="NR49" i="16"/>
  <c r="NQ49" i="16"/>
  <c r="NP49" i="16"/>
  <c r="NO49" i="16"/>
  <c r="NN49" i="16"/>
  <c r="NM49" i="16"/>
  <c r="NJ49" i="16"/>
  <c r="NI49" i="16"/>
  <c r="NH49" i="16"/>
  <c r="NG49" i="16"/>
  <c r="NF49" i="16"/>
  <c r="NE49" i="16"/>
  <c r="ND49" i="16"/>
  <c r="NA49" i="16"/>
  <c r="MZ49" i="16"/>
  <c r="MY49" i="16"/>
  <c r="MX49" i="16"/>
  <c r="MW49" i="16"/>
  <c r="MV49" i="16"/>
  <c r="MU49" i="16"/>
  <c r="MR49" i="16"/>
  <c r="MQ49" i="16"/>
  <c r="MP49" i="16"/>
  <c r="MO49" i="16"/>
  <c r="MN49" i="16"/>
  <c r="MM49" i="16"/>
  <c r="ML49" i="16"/>
  <c r="MI49" i="16"/>
  <c r="MH49" i="16"/>
  <c r="MG49" i="16"/>
  <c r="MF49" i="16"/>
  <c r="ME49" i="16"/>
  <c r="MD49" i="16"/>
  <c r="MC49" i="16"/>
  <c r="LZ49" i="16"/>
  <c r="LY49" i="16"/>
  <c r="LX49" i="16"/>
  <c r="LW49" i="16"/>
  <c r="LV49" i="16"/>
  <c r="LU49" i="16"/>
  <c r="LT49" i="16"/>
  <c r="LQ49" i="16"/>
  <c r="LP49" i="16"/>
  <c r="LO49" i="16"/>
  <c r="LN49" i="16"/>
  <c r="LM49" i="16"/>
  <c r="LL49" i="16"/>
  <c r="LK49" i="16"/>
  <c r="LH49" i="16"/>
  <c r="LG49" i="16"/>
  <c r="LF49" i="16"/>
  <c r="LE49" i="16"/>
  <c r="LD49" i="16"/>
  <c r="LC49" i="16"/>
  <c r="LB49" i="16"/>
  <c r="KY49" i="16"/>
  <c r="KX49" i="16"/>
  <c r="KW49" i="16"/>
  <c r="KV49" i="16"/>
  <c r="KU49" i="16"/>
  <c r="KT49" i="16"/>
  <c r="KS49" i="16"/>
  <c r="KP49" i="16"/>
  <c r="KO49" i="16"/>
  <c r="KN49" i="16"/>
  <c r="KM49" i="16"/>
  <c r="KL49" i="16"/>
  <c r="KK49" i="16"/>
  <c r="KJ49" i="16"/>
  <c r="KG49" i="16"/>
  <c r="KF49" i="16"/>
  <c r="KE49" i="16"/>
  <c r="KD49" i="16"/>
  <c r="KC49" i="16"/>
  <c r="KB49" i="16"/>
  <c r="KA49" i="16"/>
  <c r="JX49" i="16"/>
  <c r="JW49" i="16"/>
  <c r="JV49" i="16"/>
  <c r="JU49" i="16"/>
  <c r="JT49" i="16"/>
  <c r="JS49" i="16"/>
  <c r="JR49" i="16"/>
  <c r="JO49" i="16"/>
  <c r="JN49" i="16"/>
  <c r="JM49" i="16"/>
  <c r="JL49" i="16"/>
  <c r="JK49" i="16"/>
  <c r="JJ49" i="16"/>
  <c r="JI49" i="16"/>
  <c r="JF49" i="16"/>
  <c r="JE49" i="16"/>
  <c r="JD49" i="16"/>
  <c r="JC49" i="16"/>
  <c r="JB49" i="16"/>
  <c r="JA49" i="16"/>
  <c r="IZ49" i="16"/>
  <c r="IQ49" i="16"/>
  <c r="IP49" i="16"/>
  <c r="IO49" i="16"/>
  <c r="IN49" i="16"/>
  <c r="IM49" i="16"/>
  <c r="IL49" i="16"/>
  <c r="IK49" i="16"/>
  <c r="IJ49" i="16"/>
  <c r="II49" i="16"/>
  <c r="IF49" i="16"/>
  <c r="IE49" i="16"/>
  <c r="ID49" i="16"/>
  <c r="IC49" i="16"/>
  <c r="IB49" i="16"/>
  <c r="IA49" i="16"/>
  <c r="HX49" i="16"/>
  <c r="HW49" i="16"/>
  <c r="HV49" i="16"/>
  <c r="HU49" i="16"/>
  <c r="HT49" i="16"/>
  <c r="HS49" i="16"/>
  <c r="HP49" i="16"/>
  <c r="HO49" i="16"/>
  <c r="HN49" i="16"/>
  <c r="HM49" i="16"/>
  <c r="HL49" i="16"/>
  <c r="HK49" i="16"/>
  <c r="HH49" i="16"/>
  <c r="HG49" i="16"/>
  <c r="HF49" i="16"/>
  <c r="HE49" i="16"/>
  <c r="HD49" i="16"/>
  <c r="HC49" i="16"/>
  <c r="GZ49" i="16"/>
  <c r="GY49" i="16"/>
  <c r="GX49" i="16"/>
  <c r="GW49" i="16"/>
  <c r="GV49" i="16"/>
  <c r="GU49" i="16"/>
  <c r="GR49" i="16"/>
  <c r="GQ49" i="16"/>
  <c r="GP49" i="16"/>
  <c r="GO49" i="16"/>
  <c r="GN49" i="16"/>
  <c r="GM49" i="16"/>
  <c r="GJ49" i="16"/>
  <c r="GI49" i="16"/>
  <c r="GH49" i="16"/>
  <c r="GG49" i="16"/>
  <c r="GF49" i="16"/>
  <c r="GE49" i="16"/>
  <c r="GB49" i="16"/>
  <c r="GA49" i="16"/>
  <c r="FZ49" i="16"/>
  <c r="FY49" i="16"/>
  <c r="FX49" i="16"/>
  <c r="FW49" i="16"/>
  <c r="FT49" i="16"/>
  <c r="FS49" i="16"/>
  <c r="FR49" i="16"/>
  <c r="FQ49" i="16"/>
  <c r="FP49" i="16"/>
  <c r="FO49" i="16"/>
  <c r="FL49" i="16"/>
  <c r="FK49" i="16"/>
  <c r="FJ49" i="16"/>
  <c r="FI49" i="16"/>
  <c r="FH49" i="16"/>
  <c r="FG49" i="16"/>
  <c r="FD49" i="16"/>
  <c r="FC49" i="16"/>
  <c r="FB49" i="16"/>
  <c r="FA49" i="16"/>
  <c r="EZ49" i="16"/>
  <c r="EY49" i="16"/>
  <c r="EV49" i="16"/>
  <c r="EU49" i="16"/>
  <c r="ET49" i="16"/>
  <c r="ES49" i="16"/>
  <c r="ER49" i="16"/>
  <c r="EQ49" i="16"/>
  <c r="EN49" i="16"/>
  <c r="EM49" i="16"/>
  <c r="EL49" i="16"/>
  <c r="EK49" i="16"/>
  <c r="EJ49" i="16"/>
  <c r="EI49" i="16"/>
  <c r="EF49" i="16"/>
  <c r="EE49" i="16"/>
  <c r="ED49" i="16"/>
  <c r="EC49" i="16"/>
  <c r="EB49" i="16"/>
  <c r="EA49" i="16"/>
  <c r="DX49" i="16"/>
  <c r="DW49" i="16"/>
  <c r="DV49" i="16"/>
  <c r="DU49" i="16"/>
  <c r="DT49" i="16"/>
  <c r="DS49" i="16"/>
  <c r="DP49" i="16"/>
  <c r="DO49" i="16"/>
  <c r="DN49" i="16"/>
  <c r="DM49" i="16"/>
  <c r="DL49" i="16"/>
  <c r="DK49" i="16"/>
  <c r="DG49" i="16"/>
  <c r="DE49" i="16"/>
  <c r="DD49" i="16"/>
  <c r="DC49" i="16"/>
  <c r="DA49" i="16"/>
  <c r="CZ49" i="16"/>
  <c r="CY49" i="16"/>
  <c r="CX49" i="16"/>
  <c r="CU49" i="16"/>
  <c r="CT49" i="16"/>
  <c r="CS49" i="16"/>
  <c r="CR49" i="16"/>
  <c r="CO49" i="16"/>
  <c r="CN49" i="16"/>
  <c r="CM49" i="16"/>
  <c r="CL49" i="16"/>
  <c r="CI49" i="16"/>
  <c r="CH49" i="16"/>
  <c r="CG49" i="16"/>
  <c r="CF49" i="16"/>
  <c r="CC49" i="16"/>
  <c r="CB49" i="16"/>
  <c r="CA49" i="16"/>
  <c r="BZ49" i="16"/>
  <c r="BW49" i="16"/>
  <c r="BV49" i="16"/>
  <c r="BU49" i="16"/>
  <c r="BT49" i="16"/>
  <c r="BQ49" i="16"/>
  <c r="BP49" i="16"/>
  <c r="BO49" i="16"/>
  <c r="BN49" i="16"/>
  <c r="BK49" i="16"/>
  <c r="BJ49" i="16"/>
  <c r="BI49" i="16"/>
  <c r="BH49" i="16"/>
  <c r="BE49" i="16"/>
  <c r="BD49" i="16"/>
  <c r="BC49" i="16"/>
  <c r="BB49" i="16"/>
  <c r="AY49" i="16"/>
  <c r="AX49" i="16"/>
  <c r="AW49" i="16"/>
  <c r="AV49" i="16"/>
  <c r="AS49" i="16"/>
  <c r="AR49" i="16"/>
  <c r="AQ49" i="16"/>
  <c r="AP49" i="16"/>
  <c r="AM49" i="16"/>
  <c r="AL49" i="16"/>
  <c r="AK49" i="16"/>
  <c r="AJ49" i="16"/>
  <c r="AG49" i="16"/>
  <c r="AF49" i="16"/>
  <c r="AE49" i="16"/>
  <c r="AD49" i="16"/>
  <c r="AA49" i="16"/>
  <c r="Z49" i="16"/>
  <c r="Y49" i="16"/>
  <c r="X49" i="16"/>
  <c r="U49" i="16"/>
  <c r="T49" i="16"/>
  <c r="S49" i="16"/>
  <c r="R49" i="16"/>
  <c r="O49" i="16"/>
  <c r="N49" i="16"/>
  <c r="M49" i="16"/>
  <c r="L49" i="16"/>
  <c r="I49" i="16"/>
  <c r="H49" i="16"/>
  <c r="G49" i="16"/>
  <c r="F49" i="16"/>
  <c r="OW48" i="16"/>
  <c r="OV48" i="16"/>
  <c r="OU48" i="16"/>
  <c r="OT48" i="16"/>
  <c r="OS48" i="16"/>
  <c r="OR48" i="16"/>
  <c r="OQ48" i="16"/>
  <c r="OP48" i="16"/>
  <c r="OO48" i="16"/>
  <c r="ON48" i="16"/>
  <c r="OK48" i="16"/>
  <c r="OJ48" i="16"/>
  <c r="OI48" i="16"/>
  <c r="OH48" i="16"/>
  <c r="OG48" i="16"/>
  <c r="OF48" i="16"/>
  <c r="OE48" i="16"/>
  <c r="OB48" i="16"/>
  <c r="OA48" i="16"/>
  <c r="NZ48" i="16"/>
  <c r="NY48" i="16"/>
  <c r="NX48" i="16"/>
  <c r="NW48" i="16"/>
  <c r="NV48" i="16"/>
  <c r="NS48" i="16"/>
  <c r="NR48" i="16"/>
  <c r="NQ48" i="16"/>
  <c r="NP48" i="16"/>
  <c r="NO48" i="16"/>
  <c r="NN48" i="16"/>
  <c r="NM48" i="16"/>
  <c r="NJ48" i="16"/>
  <c r="NI48" i="16"/>
  <c r="NH48" i="16"/>
  <c r="NG48" i="16"/>
  <c r="NF48" i="16"/>
  <c r="NE48" i="16"/>
  <c r="ND48" i="16"/>
  <c r="NA48" i="16"/>
  <c r="MZ48" i="16"/>
  <c r="MY48" i="16"/>
  <c r="MX48" i="16"/>
  <c r="MW48" i="16"/>
  <c r="MV48" i="16"/>
  <c r="MU48" i="16"/>
  <c r="MR48" i="16"/>
  <c r="MQ48" i="16"/>
  <c r="MP48" i="16"/>
  <c r="MO48" i="16"/>
  <c r="MN48" i="16"/>
  <c r="MM48" i="16"/>
  <c r="ML48" i="16"/>
  <c r="MI48" i="16"/>
  <c r="MH48" i="16"/>
  <c r="MG48" i="16"/>
  <c r="MF48" i="16"/>
  <c r="ME48" i="16"/>
  <c r="MD48" i="16"/>
  <c r="MC48" i="16"/>
  <c r="LZ48" i="16"/>
  <c r="LY48" i="16"/>
  <c r="LX48" i="16"/>
  <c r="LW48" i="16"/>
  <c r="LV48" i="16"/>
  <c r="LU48" i="16"/>
  <c r="LT48" i="16"/>
  <c r="LQ48" i="16"/>
  <c r="LP48" i="16"/>
  <c r="LO48" i="16"/>
  <c r="LN48" i="16"/>
  <c r="LM48" i="16"/>
  <c r="LL48" i="16"/>
  <c r="LK48" i="16"/>
  <c r="LH48" i="16"/>
  <c r="LG48" i="16"/>
  <c r="LF48" i="16"/>
  <c r="LE48" i="16"/>
  <c r="LD48" i="16"/>
  <c r="LC48" i="16"/>
  <c r="LB48" i="16"/>
  <c r="KY48" i="16"/>
  <c r="KX48" i="16"/>
  <c r="KW48" i="16"/>
  <c r="KV48" i="16"/>
  <c r="KU48" i="16"/>
  <c r="KT48" i="16"/>
  <c r="KS48" i="16"/>
  <c r="KP48" i="16"/>
  <c r="KO48" i="16"/>
  <c r="KN48" i="16"/>
  <c r="KM48" i="16"/>
  <c r="KL48" i="16"/>
  <c r="KK48" i="16"/>
  <c r="KJ48" i="16"/>
  <c r="KG48" i="16"/>
  <c r="KF48" i="16"/>
  <c r="KE48" i="16"/>
  <c r="KD48" i="16"/>
  <c r="KC48" i="16"/>
  <c r="KB48" i="16"/>
  <c r="KA48" i="16"/>
  <c r="JX48" i="16"/>
  <c r="JW48" i="16"/>
  <c r="JV48" i="16"/>
  <c r="JU48" i="16"/>
  <c r="JT48" i="16"/>
  <c r="JS48" i="16"/>
  <c r="JR48" i="16"/>
  <c r="JO48" i="16"/>
  <c r="JN48" i="16"/>
  <c r="JM48" i="16"/>
  <c r="JL48" i="16"/>
  <c r="JK48" i="16"/>
  <c r="JJ48" i="16"/>
  <c r="JI48" i="16"/>
  <c r="JF48" i="16"/>
  <c r="JE48" i="16"/>
  <c r="JD48" i="16"/>
  <c r="JC48" i="16"/>
  <c r="JB48" i="16"/>
  <c r="JA48" i="16"/>
  <c r="IZ48" i="16"/>
  <c r="IQ48" i="16"/>
  <c r="IP48" i="16"/>
  <c r="IO48" i="16"/>
  <c r="IN48" i="16"/>
  <c r="IM48" i="16"/>
  <c r="IL48" i="16"/>
  <c r="IK48" i="16"/>
  <c r="IJ48" i="16"/>
  <c r="II48" i="16"/>
  <c r="IF48" i="16"/>
  <c r="IE48" i="16"/>
  <c r="ID48" i="16"/>
  <c r="IC48" i="16"/>
  <c r="IB48" i="16"/>
  <c r="IA48" i="16"/>
  <c r="HX48" i="16"/>
  <c r="HW48" i="16"/>
  <c r="HV48" i="16"/>
  <c r="HU48" i="16"/>
  <c r="HT48" i="16"/>
  <c r="HS48" i="16"/>
  <c r="HP48" i="16"/>
  <c r="HO48" i="16"/>
  <c r="HN48" i="16"/>
  <c r="HM48" i="16"/>
  <c r="HL48" i="16"/>
  <c r="HK48" i="16"/>
  <c r="HH48" i="16"/>
  <c r="HG48" i="16"/>
  <c r="HF48" i="16"/>
  <c r="HE48" i="16"/>
  <c r="HD48" i="16"/>
  <c r="HC48" i="16"/>
  <c r="GZ48" i="16"/>
  <c r="GY48" i="16"/>
  <c r="GX48" i="16"/>
  <c r="GW48" i="16"/>
  <c r="GV48" i="16"/>
  <c r="GU48" i="16"/>
  <c r="GR48" i="16"/>
  <c r="GQ48" i="16"/>
  <c r="GP48" i="16"/>
  <c r="GO48" i="16"/>
  <c r="GN48" i="16"/>
  <c r="GM48" i="16"/>
  <c r="GJ48" i="16"/>
  <c r="GI48" i="16"/>
  <c r="GH48" i="16"/>
  <c r="GG48" i="16"/>
  <c r="GF48" i="16"/>
  <c r="GE48" i="16"/>
  <c r="GB48" i="16"/>
  <c r="GA48" i="16"/>
  <c r="FZ48" i="16"/>
  <c r="FY48" i="16"/>
  <c r="FX48" i="16"/>
  <c r="FW48" i="16"/>
  <c r="FT48" i="16"/>
  <c r="FS48" i="16"/>
  <c r="FR48" i="16"/>
  <c r="FQ48" i="16"/>
  <c r="FP48" i="16"/>
  <c r="FO48" i="16"/>
  <c r="FL48" i="16"/>
  <c r="FK48" i="16"/>
  <c r="FJ48" i="16"/>
  <c r="FI48" i="16"/>
  <c r="FH48" i="16"/>
  <c r="FG48" i="16"/>
  <c r="FD48" i="16"/>
  <c r="FC48" i="16"/>
  <c r="FB48" i="16"/>
  <c r="FA48" i="16"/>
  <c r="EZ48" i="16"/>
  <c r="EY48" i="16"/>
  <c r="EV48" i="16"/>
  <c r="EU48" i="16"/>
  <c r="ET48" i="16"/>
  <c r="ES48" i="16"/>
  <c r="ER48" i="16"/>
  <c r="EQ48" i="16"/>
  <c r="EN48" i="16"/>
  <c r="EM48" i="16"/>
  <c r="EL48" i="16"/>
  <c r="EK48" i="16"/>
  <c r="EJ48" i="16"/>
  <c r="EI48" i="16"/>
  <c r="EF48" i="16"/>
  <c r="EE48" i="16"/>
  <c r="ED48" i="16"/>
  <c r="EC48" i="16"/>
  <c r="EB48" i="16"/>
  <c r="EA48" i="16"/>
  <c r="DX48" i="16"/>
  <c r="DW48" i="16"/>
  <c r="DV48" i="16"/>
  <c r="DU48" i="16"/>
  <c r="DT48" i="16"/>
  <c r="DS48" i="16"/>
  <c r="DP48" i="16"/>
  <c r="DO48" i="16"/>
  <c r="DN48" i="16"/>
  <c r="DM48" i="16"/>
  <c r="DL48" i="16"/>
  <c r="DK48" i="16"/>
  <c r="DG48" i="16"/>
  <c r="DE48" i="16"/>
  <c r="DD48" i="16"/>
  <c r="DC48" i="16"/>
  <c r="DA48" i="16"/>
  <c r="CZ48" i="16"/>
  <c r="CY48" i="16"/>
  <c r="CX48" i="16"/>
  <c r="CU48" i="16"/>
  <c r="CT48" i="16"/>
  <c r="CS48" i="16"/>
  <c r="CR48" i="16"/>
  <c r="CO48" i="16"/>
  <c r="CN48" i="16"/>
  <c r="CM48" i="16"/>
  <c r="CL48" i="16"/>
  <c r="CI48" i="16"/>
  <c r="CH48" i="16"/>
  <c r="CG48" i="16"/>
  <c r="CF48" i="16"/>
  <c r="CC48" i="16"/>
  <c r="CB48" i="16"/>
  <c r="CA48" i="16"/>
  <c r="BZ48" i="16"/>
  <c r="BW48" i="16"/>
  <c r="BV48" i="16"/>
  <c r="BU48" i="16"/>
  <c r="BT48" i="16"/>
  <c r="BQ48" i="16"/>
  <c r="BP48" i="16"/>
  <c r="BO48" i="16"/>
  <c r="BN48" i="16"/>
  <c r="BK48" i="16"/>
  <c r="BJ48" i="16"/>
  <c r="BI48" i="16"/>
  <c r="BH48" i="16"/>
  <c r="BE48" i="16"/>
  <c r="BD48" i="16"/>
  <c r="BC48" i="16"/>
  <c r="BB48" i="16"/>
  <c r="AY48" i="16"/>
  <c r="AX48" i="16"/>
  <c r="AW48" i="16"/>
  <c r="AV48" i="16"/>
  <c r="AS48" i="16"/>
  <c r="AR48" i="16"/>
  <c r="AQ48" i="16"/>
  <c r="AP48" i="16"/>
  <c r="AM48" i="16"/>
  <c r="AL48" i="16"/>
  <c r="AK48" i="16"/>
  <c r="AJ48" i="16"/>
  <c r="AG48" i="16"/>
  <c r="AF48" i="16"/>
  <c r="AE48" i="16"/>
  <c r="AD48" i="16"/>
  <c r="AA48" i="16"/>
  <c r="Z48" i="16"/>
  <c r="Y48" i="16"/>
  <c r="X48" i="16"/>
  <c r="U48" i="16"/>
  <c r="T48" i="16"/>
  <c r="S48" i="16"/>
  <c r="R48" i="16"/>
  <c r="O48" i="16"/>
  <c r="N48" i="16"/>
  <c r="M48" i="16"/>
  <c r="L48" i="16"/>
  <c r="I48" i="16"/>
  <c r="H48" i="16"/>
  <c r="G48" i="16"/>
  <c r="F48" i="16"/>
  <c r="OW47" i="16"/>
  <c r="OV47" i="16"/>
  <c r="OU47" i="16"/>
  <c r="OT47" i="16"/>
  <c r="OS47" i="16"/>
  <c r="OR47" i="16"/>
  <c r="OQ47" i="16"/>
  <c r="OP47" i="16"/>
  <c r="OO47" i="16"/>
  <c r="ON47" i="16"/>
  <c r="OK47" i="16"/>
  <c r="OJ47" i="16"/>
  <c r="OI47" i="16"/>
  <c r="OH47" i="16"/>
  <c r="OG47" i="16"/>
  <c r="OF47" i="16"/>
  <c r="OE47" i="16"/>
  <c r="OB47" i="16"/>
  <c r="OA47" i="16"/>
  <c r="NZ47" i="16"/>
  <c r="NY47" i="16"/>
  <c r="NX47" i="16"/>
  <c r="NW47" i="16"/>
  <c r="NV47" i="16"/>
  <c r="NS47" i="16"/>
  <c r="NR47" i="16"/>
  <c r="NQ47" i="16"/>
  <c r="NP47" i="16"/>
  <c r="NO47" i="16"/>
  <c r="NN47" i="16"/>
  <c r="NM47" i="16"/>
  <c r="NJ47" i="16"/>
  <c r="NI47" i="16"/>
  <c r="NH47" i="16"/>
  <c r="NG47" i="16"/>
  <c r="NF47" i="16"/>
  <c r="NE47" i="16"/>
  <c r="ND47" i="16"/>
  <c r="NA47" i="16"/>
  <c r="MZ47" i="16"/>
  <c r="MY47" i="16"/>
  <c r="MX47" i="16"/>
  <c r="MW47" i="16"/>
  <c r="MV47" i="16"/>
  <c r="MU47" i="16"/>
  <c r="MR47" i="16"/>
  <c r="MQ47" i="16"/>
  <c r="MP47" i="16"/>
  <c r="MO47" i="16"/>
  <c r="MN47" i="16"/>
  <c r="MM47" i="16"/>
  <c r="ML47" i="16"/>
  <c r="MI47" i="16"/>
  <c r="MH47" i="16"/>
  <c r="MG47" i="16"/>
  <c r="MF47" i="16"/>
  <c r="ME47" i="16"/>
  <c r="MD47" i="16"/>
  <c r="MC47" i="16"/>
  <c r="LZ47" i="16"/>
  <c r="LY47" i="16"/>
  <c r="LX47" i="16"/>
  <c r="LW47" i="16"/>
  <c r="LV47" i="16"/>
  <c r="LU47" i="16"/>
  <c r="LT47" i="16"/>
  <c r="LQ47" i="16"/>
  <c r="LP47" i="16"/>
  <c r="LO47" i="16"/>
  <c r="LN47" i="16"/>
  <c r="LM47" i="16"/>
  <c r="LL47" i="16"/>
  <c r="LK47" i="16"/>
  <c r="LH47" i="16"/>
  <c r="LG47" i="16"/>
  <c r="LF47" i="16"/>
  <c r="LE47" i="16"/>
  <c r="LD47" i="16"/>
  <c r="LC47" i="16"/>
  <c r="LB47" i="16"/>
  <c r="KY47" i="16"/>
  <c r="KX47" i="16"/>
  <c r="KW47" i="16"/>
  <c r="KV47" i="16"/>
  <c r="KU47" i="16"/>
  <c r="KT47" i="16"/>
  <c r="KS47" i="16"/>
  <c r="KP47" i="16"/>
  <c r="KO47" i="16"/>
  <c r="KN47" i="16"/>
  <c r="KM47" i="16"/>
  <c r="KL47" i="16"/>
  <c r="KK47" i="16"/>
  <c r="KJ47" i="16"/>
  <c r="KG47" i="16"/>
  <c r="KF47" i="16"/>
  <c r="KE47" i="16"/>
  <c r="KD47" i="16"/>
  <c r="KC47" i="16"/>
  <c r="KB47" i="16"/>
  <c r="KA47" i="16"/>
  <c r="JX47" i="16"/>
  <c r="JW47" i="16"/>
  <c r="JV47" i="16"/>
  <c r="JU47" i="16"/>
  <c r="JT47" i="16"/>
  <c r="JS47" i="16"/>
  <c r="JR47" i="16"/>
  <c r="JO47" i="16"/>
  <c r="JN47" i="16"/>
  <c r="JM47" i="16"/>
  <c r="JL47" i="16"/>
  <c r="JK47" i="16"/>
  <c r="JJ47" i="16"/>
  <c r="JI47" i="16"/>
  <c r="JF47" i="16"/>
  <c r="JE47" i="16"/>
  <c r="JD47" i="16"/>
  <c r="JC47" i="16"/>
  <c r="JB47" i="16"/>
  <c r="JA47" i="16"/>
  <c r="IZ47" i="16"/>
  <c r="IQ47" i="16"/>
  <c r="IP47" i="16"/>
  <c r="IO47" i="16"/>
  <c r="IN47" i="16"/>
  <c r="IM47" i="16"/>
  <c r="IL47" i="16"/>
  <c r="IK47" i="16"/>
  <c r="IJ47" i="16"/>
  <c r="II47" i="16"/>
  <c r="IF47" i="16"/>
  <c r="IE47" i="16"/>
  <c r="ID47" i="16"/>
  <c r="IC47" i="16"/>
  <c r="IB47" i="16"/>
  <c r="IA47" i="16"/>
  <c r="HX47" i="16"/>
  <c r="HW47" i="16"/>
  <c r="HV47" i="16"/>
  <c r="HU47" i="16"/>
  <c r="HT47" i="16"/>
  <c r="HS47" i="16"/>
  <c r="HP47" i="16"/>
  <c r="HO47" i="16"/>
  <c r="HN47" i="16"/>
  <c r="HM47" i="16"/>
  <c r="HL47" i="16"/>
  <c r="HK47" i="16"/>
  <c r="HH47" i="16"/>
  <c r="HG47" i="16"/>
  <c r="HF47" i="16"/>
  <c r="HE47" i="16"/>
  <c r="HD47" i="16"/>
  <c r="HC47" i="16"/>
  <c r="GZ47" i="16"/>
  <c r="GY47" i="16"/>
  <c r="GX47" i="16"/>
  <c r="GW47" i="16"/>
  <c r="GV47" i="16"/>
  <c r="GU47" i="16"/>
  <c r="GR47" i="16"/>
  <c r="GQ47" i="16"/>
  <c r="GP47" i="16"/>
  <c r="GO47" i="16"/>
  <c r="GN47" i="16"/>
  <c r="GM47" i="16"/>
  <c r="GJ47" i="16"/>
  <c r="GI47" i="16"/>
  <c r="GH47" i="16"/>
  <c r="GG47" i="16"/>
  <c r="GF47" i="16"/>
  <c r="GE47" i="16"/>
  <c r="GB47" i="16"/>
  <c r="GA47" i="16"/>
  <c r="FZ47" i="16"/>
  <c r="FY47" i="16"/>
  <c r="FX47" i="16"/>
  <c r="FW47" i="16"/>
  <c r="FT47" i="16"/>
  <c r="FS47" i="16"/>
  <c r="FR47" i="16"/>
  <c r="FQ47" i="16"/>
  <c r="FP47" i="16"/>
  <c r="FO47" i="16"/>
  <c r="FL47" i="16"/>
  <c r="FK47" i="16"/>
  <c r="FJ47" i="16"/>
  <c r="FI47" i="16"/>
  <c r="FH47" i="16"/>
  <c r="FG47" i="16"/>
  <c r="FD47" i="16"/>
  <c r="FC47" i="16"/>
  <c r="FB47" i="16"/>
  <c r="FA47" i="16"/>
  <c r="EZ47" i="16"/>
  <c r="EY47" i="16"/>
  <c r="EV47" i="16"/>
  <c r="EU47" i="16"/>
  <c r="ET47" i="16"/>
  <c r="ES47" i="16"/>
  <c r="ER47" i="16"/>
  <c r="EQ47" i="16"/>
  <c r="EN47" i="16"/>
  <c r="EM47" i="16"/>
  <c r="EL47" i="16"/>
  <c r="EK47" i="16"/>
  <c r="EJ47" i="16"/>
  <c r="EI47" i="16"/>
  <c r="EF47" i="16"/>
  <c r="EE47" i="16"/>
  <c r="ED47" i="16"/>
  <c r="EC47" i="16"/>
  <c r="EB47" i="16"/>
  <c r="EA47" i="16"/>
  <c r="DX47" i="16"/>
  <c r="DW47" i="16"/>
  <c r="DV47" i="16"/>
  <c r="DU47" i="16"/>
  <c r="DT47" i="16"/>
  <c r="DS47" i="16"/>
  <c r="DP47" i="16"/>
  <c r="DO47" i="16"/>
  <c r="DN47" i="16"/>
  <c r="DM47" i="16"/>
  <c r="DL47" i="16"/>
  <c r="DK47" i="16"/>
  <c r="DG47" i="16"/>
  <c r="DE47" i="16"/>
  <c r="DD47" i="16"/>
  <c r="DC47" i="16"/>
  <c r="DA47" i="16"/>
  <c r="CZ47" i="16"/>
  <c r="CY47" i="16"/>
  <c r="CX47" i="16"/>
  <c r="CU47" i="16"/>
  <c r="CT47" i="16"/>
  <c r="CS47" i="16"/>
  <c r="CR47" i="16"/>
  <c r="CO47" i="16"/>
  <c r="CN47" i="16"/>
  <c r="CM47" i="16"/>
  <c r="CL47" i="16"/>
  <c r="CI47" i="16"/>
  <c r="CH47" i="16"/>
  <c r="CG47" i="16"/>
  <c r="CF47" i="16"/>
  <c r="CC47" i="16"/>
  <c r="CB47" i="16"/>
  <c r="CA47" i="16"/>
  <c r="BZ47" i="16"/>
  <c r="BW47" i="16"/>
  <c r="BV47" i="16"/>
  <c r="BU47" i="16"/>
  <c r="BT47" i="16"/>
  <c r="BQ47" i="16"/>
  <c r="BP47" i="16"/>
  <c r="BO47" i="16"/>
  <c r="BN47" i="16"/>
  <c r="BK47" i="16"/>
  <c r="BJ47" i="16"/>
  <c r="BI47" i="16"/>
  <c r="BH47" i="16"/>
  <c r="BE47" i="16"/>
  <c r="BD47" i="16"/>
  <c r="BC47" i="16"/>
  <c r="BB47" i="16"/>
  <c r="AY47" i="16"/>
  <c r="AX47" i="16"/>
  <c r="AW47" i="16"/>
  <c r="AV47" i="16"/>
  <c r="AS47" i="16"/>
  <c r="AR47" i="16"/>
  <c r="AQ47" i="16"/>
  <c r="AP47" i="16"/>
  <c r="AM47" i="16"/>
  <c r="AL47" i="16"/>
  <c r="AK47" i="16"/>
  <c r="AJ47" i="16"/>
  <c r="AG47" i="16"/>
  <c r="AF47" i="16"/>
  <c r="AE47" i="16"/>
  <c r="AD47" i="16"/>
  <c r="AA47" i="16"/>
  <c r="Z47" i="16"/>
  <c r="Y47" i="16"/>
  <c r="X47" i="16"/>
  <c r="U47" i="16"/>
  <c r="T47" i="16"/>
  <c r="S47" i="16"/>
  <c r="R47" i="16"/>
  <c r="O47" i="16"/>
  <c r="N47" i="16"/>
  <c r="M47" i="16"/>
  <c r="L47" i="16"/>
  <c r="I47" i="16"/>
  <c r="H47" i="16"/>
  <c r="G47" i="16"/>
  <c r="F47" i="16"/>
  <c r="OW46" i="16"/>
  <c r="OV46" i="16"/>
  <c r="OU46" i="16"/>
  <c r="OT46" i="16"/>
  <c r="OS46" i="16"/>
  <c r="OR46" i="16"/>
  <c r="OQ46" i="16"/>
  <c r="OP46" i="16"/>
  <c r="OO46" i="16"/>
  <c r="ON46" i="16"/>
  <c r="OK46" i="16"/>
  <c r="OJ46" i="16"/>
  <c r="OI46" i="16"/>
  <c r="OH46" i="16"/>
  <c r="OG46" i="16"/>
  <c r="OF46" i="16"/>
  <c r="OE46" i="16"/>
  <c r="OB46" i="16"/>
  <c r="OA46" i="16"/>
  <c r="NZ46" i="16"/>
  <c r="NY46" i="16"/>
  <c r="NX46" i="16"/>
  <c r="NW46" i="16"/>
  <c r="NV46" i="16"/>
  <c r="NS46" i="16"/>
  <c r="NR46" i="16"/>
  <c r="NQ46" i="16"/>
  <c r="NP46" i="16"/>
  <c r="NO46" i="16"/>
  <c r="NN46" i="16"/>
  <c r="NM46" i="16"/>
  <c r="NJ46" i="16"/>
  <c r="NI46" i="16"/>
  <c r="NH46" i="16"/>
  <c r="NG46" i="16"/>
  <c r="NF46" i="16"/>
  <c r="NE46" i="16"/>
  <c r="ND46" i="16"/>
  <c r="NA46" i="16"/>
  <c r="MZ46" i="16"/>
  <c r="MY46" i="16"/>
  <c r="MX46" i="16"/>
  <c r="MW46" i="16"/>
  <c r="MV46" i="16"/>
  <c r="MU46" i="16"/>
  <c r="MR46" i="16"/>
  <c r="MQ46" i="16"/>
  <c r="MP46" i="16"/>
  <c r="MO46" i="16"/>
  <c r="MN46" i="16"/>
  <c r="MM46" i="16"/>
  <c r="ML46" i="16"/>
  <c r="MI46" i="16"/>
  <c r="MH46" i="16"/>
  <c r="MG46" i="16"/>
  <c r="MF46" i="16"/>
  <c r="ME46" i="16"/>
  <c r="MD46" i="16"/>
  <c r="MC46" i="16"/>
  <c r="LZ46" i="16"/>
  <c r="LY46" i="16"/>
  <c r="LX46" i="16"/>
  <c r="LW46" i="16"/>
  <c r="LV46" i="16"/>
  <c r="LU46" i="16"/>
  <c r="LT46" i="16"/>
  <c r="LQ46" i="16"/>
  <c r="LP46" i="16"/>
  <c r="LO46" i="16"/>
  <c r="LN46" i="16"/>
  <c r="LM46" i="16"/>
  <c r="LL46" i="16"/>
  <c r="LK46" i="16"/>
  <c r="LH46" i="16"/>
  <c r="LG46" i="16"/>
  <c r="LF46" i="16"/>
  <c r="LE46" i="16"/>
  <c r="LD46" i="16"/>
  <c r="LC46" i="16"/>
  <c r="LB46" i="16"/>
  <c r="KY46" i="16"/>
  <c r="KX46" i="16"/>
  <c r="KW46" i="16"/>
  <c r="KV46" i="16"/>
  <c r="KU46" i="16"/>
  <c r="KT46" i="16"/>
  <c r="KS46" i="16"/>
  <c r="KP46" i="16"/>
  <c r="KO46" i="16"/>
  <c r="KN46" i="16"/>
  <c r="KM46" i="16"/>
  <c r="KL46" i="16"/>
  <c r="KK46" i="16"/>
  <c r="KJ46" i="16"/>
  <c r="KG46" i="16"/>
  <c r="KF46" i="16"/>
  <c r="KE46" i="16"/>
  <c r="KD46" i="16"/>
  <c r="KC46" i="16"/>
  <c r="KB46" i="16"/>
  <c r="KA46" i="16"/>
  <c r="JX46" i="16"/>
  <c r="JW46" i="16"/>
  <c r="JV46" i="16"/>
  <c r="JU46" i="16"/>
  <c r="JT46" i="16"/>
  <c r="JS46" i="16"/>
  <c r="JR46" i="16"/>
  <c r="JO46" i="16"/>
  <c r="JN46" i="16"/>
  <c r="JM46" i="16"/>
  <c r="JL46" i="16"/>
  <c r="JK46" i="16"/>
  <c r="JJ46" i="16"/>
  <c r="JI46" i="16"/>
  <c r="JF46" i="16"/>
  <c r="JE46" i="16"/>
  <c r="JD46" i="16"/>
  <c r="JC46" i="16"/>
  <c r="JB46" i="16"/>
  <c r="JA46" i="16"/>
  <c r="IZ46" i="16"/>
  <c r="IQ46" i="16"/>
  <c r="IP46" i="16"/>
  <c r="IO46" i="16"/>
  <c r="IN46" i="16"/>
  <c r="IM46" i="16"/>
  <c r="IL46" i="16"/>
  <c r="IK46" i="16"/>
  <c r="IJ46" i="16"/>
  <c r="II46" i="16"/>
  <c r="IF46" i="16"/>
  <c r="IE46" i="16"/>
  <c r="ID46" i="16"/>
  <c r="IC46" i="16"/>
  <c r="IB46" i="16"/>
  <c r="IA46" i="16"/>
  <c r="HX46" i="16"/>
  <c r="HW46" i="16"/>
  <c r="HV46" i="16"/>
  <c r="HU46" i="16"/>
  <c r="HT46" i="16"/>
  <c r="HS46" i="16"/>
  <c r="HP46" i="16"/>
  <c r="HO46" i="16"/>
  <c r="HN46" i="16"/>
  <c r="HM46" i="16"/>
  <c r="HL46" i="16"/>
  <c r="HK46" i="16"/>
  <c r="HH46" i="16"/>
  <c r="HG46" i="16"/>
  <c r="HF46" i="16"/>
  <c r="HE46" i="16"/>
  <c r="HD46" i="16"/>
  <c r="HC46" i="16"/>
  <c r="GZ46" i="16"/>
  <c r="GY46" i="16"/>
  <c r="GX46" i="16"/>
  <c r="GW46" i="16"/>
  <c r="GV46" i="16"/>
  <c r="GU46" i="16"/>
  <c r="GR46" i="16"/>
  <c r="GQ46" i="16"/>
  <c r="GP46" i="16"/>
  <c r="GO46" i="16"/>
  <c r="GN46" i="16"/>
  <c r="GM46" i="16"/>
  <c r="GJ46" i="16"/>
  <c r="GI46" i="16"/>
  <c r="GH46" i="16"/>
  <c r="GG46" i="16"/>
  <c r="GF46" i="16"/>
  <c r="GE46" i="16"/>
  <c r="GB46" i="16"/>
  <c r="GA46" i="16"/>
  <c r="FZ46" i="16"/>
  <c r="FY46" i="16"/>
  <c r="FX46" i="16"/>
  <c r="FW46" i="16"/>
  <c r="FT46" i="16"/>
  <c r="FS46" i="16"/>
  <c r="FR46" i="16"/>
  <c r="FQ46" i="16"/>
  <c r="FP46" i="16"/>
  <c r="FO46" i="16"/>
  <c r="FL46" i="16"/>
  <c r="FK46" i="16"/>
  <c r="FJ46" i="16"/>
  <c r="FI46" i="16"/>
  <c r="FH46" i="16"/>
  <c r="FG46" i="16"/>
  <c r="FD46" i="16"/>
  <c r="FC46" i="16"/>
  <c r="FB46" i="16"/>
  <c r="FA46" i="16"/>
  <c r="EZ46" i="16"/>
  <c r="EY46" i="16"/>
  <c r="EV46" i="16"/>
  <c r="EU46" i="16"/>
  <c r="ET46" i="16"/>
  <c r="ES46" i="16"/>
  <c r="ER46" i="16"/>
  <c r="EQ46" i="16"/>
  <c r="EN46" i="16"/>
  <c r="EM46" i="16"/>
  <c r="EL46" i="16"/>
  <c r="EK46" i="16"/>
  <c r="EJ46" i="16"/>
  <c r="EI46" i="16"/>
  <c r="EF46" i="16"/>
  <c r="EE46" i="16"/>
  <c r="ED46" i="16"/>
  <c r="EC46" i="16"/>
  <c r="EB46" i="16"/>
  <c r="EA46" i="16"/>
  <c r="DX46" i="16"/>
  <c r="DW46" i="16"/>
  <c r="DV46" i="16"/>
  <c r="DU46" i="16"/>
  <c r="DT46" i="16"/>
  <c r="DS46" i="16"/>
  <c r="DP46" i="16"/>
  <c r="DO46" i="16"/>
  <c r="DN46" i="16"/>
  <c r="DM46" i="16"/>
  <c r="DL46" i="16"/>
  <c r="DK46" i="16"/>
  <c r="DG46" i="16"/>
  <c r="DE46" i="16"/>
  <c r="DD46" i="16"/>
  <c r="DC46" i="16"/>
  <c r="DA46" i="16"/>
  <c r="CZ46" i="16"/>
  <c r="CY46" i="16"/>
  <c r="CX46" i="16"/>
  <c r="CU46" i="16"/>
  <c r="CT46" i="16"/>
  <c r="CS46" i="16"/>
  <c r="CR46" i="16"/>
  <c r="CO46" i="16"/>
  <c r="CN46" i="16"/>
  <c r="CM46" i="16"/>
  <c r="CL46" i="16"/>
  <c r="CI46" i="16"/>
  <c r="CH46" i="16"/>
  <c r="CG46" i="16"/>
  <c r="CF46" i="16"/>
  <c r="CC46" i="16"/>
  <c r="CB46" i="16"/>
  <c r="CA46" i="16"/>
  <c r="BZ46" i="16"/>
  <c r="BW46" i="16"/>
  <c r="BV46" i="16"/>
  <c r="BU46" i="16"/>
  <c r="BT46" i="16"/>
  <c r="BQ46" i="16"/>
  <c r="BP46" i="16"/>
  <c r="BO46" i="16"/>
  <c r="BN46" i="16"/>
  <c r="BK46" i="16"/>
  <c r="BJ46" i="16"/>
  <c r="BI46" i="16"/>
  <c r="BH46" i="16"/>
  <c r="BE46" i="16"/>
  <c r="BD46" i="16"/>
  <c r="BC46" i="16"/>
  <c r="BB46" i="16"/>
  <c r="AY46" i="16"/>
  <c r="AX46" i="16"/>
  <c r="AW46" i="16"/>
  <c r="AV46" i="16"/>
  <c r="AS46" i="16"/>
  <c r="AR46" i="16"/>
  <c r="AQ46" i="16"/>
  <c r="AP46" i="16"/>
  <c r="AM46" i="16"/>
  <c r="AL46" i="16"/>
  <c r="AK46" i="16"/>
  <c r="AJ46" i="16"/>
  <c r="AG46" i="16"/>
  <c r="AF46" i="16"/>
  <c r="AE46" i="16"/>
  <c r="AD46" i="16"/>
  <c r="AA46" i="16"/>
  <c r="Z46" i="16"/>
  <c r="Y46" i="16"/>
  <c r="X46" i="16"/>
  <c r="U46" i="16"/>
  <c r="T46" i="16"/>
  <c r="S46" i="16"/>
  <c r="R46" i="16"/>
  <c r="O46" i="16"/>
  <c r="N46" i="16"/>
  <c r="M46" i="16"/>
  <c r="L46" i="16"/>
  <c r="I46" i="16"/>
  <c r="H46" i="16"/>
  <c r="G46" i="16"/>
  <c r="F46" i="16"/>
  <c r="OW45" i="16"/>
  <c r="OV45" i="16"/>
  <c r="OU45" i="16"/>
  <c r="OT45" i="16"/>
  <c r="OS45" i="16"/>
  <c r="OR45" i="16"/>
  <c r="OQ45" i="16"/>
  <c r="OP45" i="16"/>
  <c r="OO45" i="16"/>
  <c r="ON45" i="16"/>
  <c r="OK45" i="16"/>
  <c r="OJ45" i="16"/>
  <c r="OI45" i="16"/>
  <c r="OH45" i="16"/>
  <c r="OG45" i="16"/>
  <c r="OF45" i="16"/>
  <c r="OE45" i="16"/>
  <c r="OB45" i="16"/>
  <c r="OA45" i="16"/>
  <c r="NZ45" i="16"/>
  <c r="NY45" i="16"/>
  <c r="NX45" i="16"/>
  <c r="NW45" i="16"/>
  <c r="NV45" i="16"/>
  <c r="NS45" i="16"/>
  <c r="NR45" i="16"/>
  <c r="NQ45" i="16"/>
  <c r="NP45" i="16"/>
  <c r="NO45" i="16"/>
  <c r="NN45" i="16"/>
  <c r="NM45" i="16"/>
  <c r="NJ45" i="16"/>
  <c r="NI45" i="16"/>
  <c r="NH45" i="16"/>
  <c r="NG45" i="16"/>
  <c r="NF45" i="16"/>
  <c r="NE45" i="16"/>
  <c r="ND45" i="16"/>
  <c r="NA45" i="16"/>
  <c r="MZ45" i="16"/>
  <c r="MY45" i="16"/>
  <c r="MX45" i="16"/>
  <c r="MW45" i="16"/>
  <c r="MV45" i="16"/>
  <c r="MU45" i="16"/>
  <c r="MR45" i="16"/>
  <c r="MQ45" i="16"/>
  <c r="MP45" i="16"/>
  <c r="MO45" i="16"/>
  <c r="MN45" i="16"/>
  <c r="MM45" i="16"/>
  <c r="ML45" i="16"/>
  <c r="MI45" i="16"/>
  <c r="MH45" i="16"/>
  <c r="MG45" i="16"/>
  <c r="MF45" i="16"/>
  <c r="ME45" i="16"/>
  <c r="MD45" i="16"/>
  <c r="MC45" i="16"/>
  <c r="LZ45" i="16"/>
  <c r="LY45" i="16"/>
  <c r="LX45" i="16"/>
  <c r="LW45" i="16"/>
  <c r="LV45" i="16"/>
  <c r="LU45" i="16"/>
  <c r="LT45" i="16"/>
  <c r="LQ45" i="16"/>
  <c r="LP45" i="16"/>
  <c r="LO45" i="16"/>
  <c r="LN45" i="16"/>
  <c r="LM45" i="16"/>
  <c r="LL45" i="16"/>
  <c r="LK45" i="16"/>
  <c r="LH45" i="16"/>
  <c r="LG45" i="16"/>
  <c r="LF45" i="16"/>
  <c r="LE45" i="16"/>
  <c r="LD45" i="16"/>
  <c r="LC45" i="16"/>
  <c r="LB45" i="16"/>
  <c r="KY45" i="16"/>
  <c r="KX45" i="16"/>
  <c r="KW45" i="16"/>
  <c r="KV45" i="16"/>
  <c r="KU45" i="16"/>
  <c r="KT45" i="16"/>
  <c r="KS45" i="16"/>
  <c r="KP45" i="16"/>
  <c r="KO45" i="16"/>
  <c r="KN45" i="16"/>
  <c r="KM45" i="16"/>
  <c r="KL45" i="16"/>
  <c r="KK45" i="16"/>
  <c r="KJ45" i="16"/>
  <c r="KG45" i="16"/>
  <c r="KF45" i="16"/>
  <c r="KE45" i="16"/>
  <c r="KD45" i="16"/>
  <c r="KC45" i="16"/>
  <c r="KB45" i="16"/>
  <c r="KA45" i="16"/>
  <c r="JX45" i="16"/>
  <c r="JW45" i="16"/>
  <c r="JV45" i="16"/>
  <c r="JU45" i="16"/>
  <c r="JT45" i="16"/>
  <c r="JS45" i="16"/>
  <c r="JR45" i="16"/>
  <c r="JO45" i="16"/>
  <c r="JN45" i="16"/>
  <c r="JM45" i="16"/>
  <c r="JL45" i="16"/>
  <c r="JK45" i="16"/>
  <c r="JJ45" i="16"/>
  <c r="JI45" i="16"/>
  <c r="JF45" i="16"/>
  <c r="JE45" i="16"/>
  <c r="JD45" i="16"/>
  <c r="JC45" i="16"/>
  <c r="JB45" i="16"/>
  <c r="JA45" i="16"/>
  <c r="IZ45" i="16"/>
  <c r="IQ45" i="16"/>
  <c r="IP45" i="16"/>
  <c r="IO45" i="16"/>
  <c r="IN45" i="16"/>
  <c r="IM45" i="16"/>
  <c r="IL45" i="16"/>
  <c r="IK45" i="16"/>
  <c r="IJ45" i="16"/>
  <c r="II45" i="16"/>
  <c r="IF45" i="16"/>
  <c r="IE45" i="16"/>
  <c r="ID45" i="16"/>
  <c r="IC45" i="16"/>
  <c r="IB45" i="16"/>
  <c r="IA45" i="16"/>
  <c r="HX45" i="16"/>
  <c r="HW45" i="16"/>
  <c r="HV45" i="16"/>
  <c r="HU45" i="16"/>
  <c r="HT45" i="16"/>
  <c r="HS45" i="16"/>
  <c r="HP45" i="16"/>
  <c r="HO45" i="16"/>
  <c r="HN45" i="16"/>
  <c r="HM45" i="16"/>
  <c r="HL45" i="16"/>
  <c r="HK45" i="16"/>
  <c r="HH45" i="16"/>
  <c r="HG45" i="16"/>
  <c r="HF45" i="16"/>
  <c r="HE45" i="16"/>
  <c r="HD45" i="16"/>
  <c r="HC45" i="16"/>
  <c r="GZ45" i="16"/>
  <c r="GY45" i="16"/>
  <c r="GX45" i="16"/>
  <c r="GW45" i="16"/>
  <c r="GV45" i="16"/>
  <c r="GU45" i="16"/>
  <c r="GR45" i="16"/>
  <c r="GQ45" i="16"/>
  <c r="GP45" i="16"/>
  <c r="GO45" i="16"/>
  <c r="GN45" i="16"/>
  <c r="GM45" i="16"/>
  <c r="GJ45" i="16"/>
  <c r="GI45" i="16"/>
  <c r="GH45" i="16"/>
  <c r="GG45" i="16"/>
  <c r="GF45" i="16"/>
  <c r="GE45" i="16"/>
  <c r="GB45" i="16"/>
  <c r="GA45" i="16"/>
  <c r="FZ45" i="16"/>
  <c r="FY45" i="16"/>
  <c r="FX45" i="16"/>
  <c r="FW45" i="16"/>
  <c r="FT45" i="16"/>
  <c r="FS45" i="16"/>
  <c r="FR45" i="16"/>
  <c r="FQ45" i="16"/>
  <c r="FP45" i="16"/>
  <c r="FO45" i="16"/>
  <c r="FL45" i="16"/>
  <c r="FK45" i="16"/>
  <c r="FJ45" i="16"/>
  <c r="FI45" i="16"/>
  <c r="FH45" i="16"/>
  <c r="FG45" i="16"/>
  <c r="FD45" i="16"/>
  <c r="FC45" i="16"/>
  <c r="FB45" i="16"/>
  <c r="FA45" i="16"/>
  <c r="EZ45" i="16"/>
  <c r="EY45" i="16"/>
  <c r="EV45" i="16"/>
  <c r="EU45" i="16"/>
  <c r="ET45" i="16"/>
  <c r="ES45" i="16"/>
  <c r="ER45" i="16"/>
  <c r="EQ45" i="16"/>
  <c r="EN45" i="16"/>
  <c r="EM45" i="16"/>
  <c r="EL45" i="16"/>
  <c r="EK45" i="16"/>
  <c r="EJ45" i="16"/>
  <c r="EI45" i="16"/>
  <c r="EF45" i="16"/>
  <c r="EE45" i="16"/>
  <c r="ED45" i="16"/>
  <c r="EC45" i="16"/>
  <c r="EB45" i="16"/>
  <c r="EA45" i="16"/>
  <c r="DX45" i="16"/>
  <c r="DW45" i="16"/>
  <c r="DV45" i="16"/>
  <c r="DU45" i="16"/>
  <c r="DT45" i="16"/>
  <c r="DS45" i="16"/>
  <c r="DP45" i="16"/>
  <c r="DO45" i="16"/>
  <c r="DN45" i="16"/>
  <c r="DM45" i="16"/>
  <c r="DL45" i="16"/>
  <c r="DK45" i="16"/>
  <c r="DG45" i="16"/>
  <c r="DE45" i="16"/>
  <c r="DD45" i="16"/>
  <c r="DC45" i="16"/>
  <c r="DA45" i="16"/>
  <c r="CZ45" i="16"/>
  <c r="CY45" i="16"/>
  <c r="CX45" i="16"/>
  <c r="CU45" i="16"/>
  <c r="CT45" i="16"/>
  <c r="CS45" i="16"/>
  <c r="CR45" i="16"/>
  <c r="CO45" i="16"/>
  <c r="CN45" i="16"/>
  <c r="CM45" i="16"/>
  <c r="CL45" i="16"/>
  <c r="CI45" i="16"/>
  <c r="CH45" i="16"/>
  <c r="CG45" i="16"/>
  <c r="CF45" i="16"/>
  <c r="CC45" i="16"/>
  <c r="CB45" i="16"/>
  <c r="CA45" i="16"/>
  <c r="BZ45" i="16"/>
  <c r="BW45" i="16"/>
  <c r="BV45" i="16"/>
  <c r="BU45" i="16"/>
  <c r="BT45" i="16"/>
  <c r="BQ45" i="16"/>
  <c r="BP45" i="16"/>
  <c r="BO45" i="16"/>
  <c r="BN45" i="16"/>
  <c r="BK45" i="16"/>
  <c r="BJ45" i="16"/>
  <c r="BI45" i="16"/>
  <c r="BH45" i="16"/>
  <c r="BE45" i="16"/>
  <c r="BD45" i="16"/>
  <c r="BC45" i="16"/>
  <c r="BB45" i="16"/>
  <c r="AY45" i="16"/>
  <c r="AX45" i="16"/>
  <c r="AW45" i="16"/>
  <c r="AV45" i="16"/>
  <c r="AS45" i="16"/>
  <c r="AR45" i="16"/>
  <c r="AQ45" i="16"/>
  <c r="AP45" i="16"/>
  <c r="AM45" i="16"/>
  <c r="AL45" i="16"/>
  <c r="AK45" i="16"/>
  <c r="AJ45" i="16"/>
  <c r="AG45" i="16"/>
  <c r="AF45" i="16"/>
  <c r="AE45" i="16"/>
  <c r="AD45" i="16"/>
  <c r="AA45" i="16"/>
  <c r="Z45" i="16"/>
  <c r="Y45" i="16"/>
  <c r="X45" i="16"/>
  <c r="U45" i="16"/>
  <c r="T45" i="16"/>
  <c r="S45" i="16"/>
  <c r="R45" i="16"/>
  <c r="O45" i="16"/>
  <c r="N45" i="16"/>
  <c r="M45" i="16"/>
  <c r="L45" i="16"/>
  <c r="I45" i="16"/>
  <c r="H45" i="16"/>
  <c r="G45" i="16"/>
  <c r="F45" i="16"/>
  <c r="OW44" i="16"/>
  <c r="OV44" i="16"/>
  <c r="OU44" i="16"/>
  <c r="OT44" i="16"/>
  <c r="OS44" i="16"/>
  <c r="OR44" i="16"/>
  <c r="OQ44" i="16"/>
  <c r="OP44" i="16"/>
  <c r="OO44" i="16"/>
  <c r="ON44" i="16"/>
  <c r="OK44" i="16"/>
  <c r="OJ44" i="16"/>
  <c r="OI44" i="16"/>
  <c r="OH44" i="16"/>
  <c r="OG44" i="16"/>
  <c r="OF44" i="16"/>
  <c r="OE44" i="16"/>
  <c r="OB44" i="16"/>
  <c r="OA44" i="16"/>
  <c r="NZ44" i="16"/>
  <c r="NY44" i="16"/>
  <c r="NX44" i="16"/>
  <c r="NW44" i="16"/>
  <c r="NV44" i="16"/>
  <c r="NS44" i="16"/>
  <c r="NR44" i="16"/>
  <c r="NQ44" i="16"/>
  <c r="NP44" i="16"/>
  <c r="NO44" i="16"/>
  <c r="NN44" i="16"/>
  <c r="NM44" i="16"/>
  <c r="NJ44" i="16"/>
  <c r="NI44" i="16"/>
  <c r="NH44" i="16"/>
  <c r="NG44" i="16"/>
  <c r="NF44" i="16"/>
  <c r="NE44" i="16"/>
  <c r="ND44" i="16"/>
  <c r="NA44" i="16"/>
  <c r="MZ44" i="16"/>
  <c r="MY44" i="16"/>
  <c r="MX44" i="16"/>
  <c r="MW44" i="16"/>
  <c r="MV44" i="16"/>
  <c r="MU44" i="16"/>
  <c r="MR44" i="16"/>
  <c r="MQ44" i="16"/>
  <c r="MP44" i="16"/>
  <c r="MO44" i="16"/>
  <c r="MN44" i="16"/>
  <c r="MM44" i="16"/>
  <c r="ML44" i="16"/>
  <c r="MI44" i="16"/>
  <c r="MH44" i="16"/>
  <c r="MG44" i="16"/>
  <c r="MF44" i="16"/>
  <c r="ME44" i="16"/>
  <c r="MD44" i="16"/>
  <c r="MC44" i="16"/>
  <c r="LZ44" i="16"/>
  <c r="LY44" i="16"/>
  <c r="LX44" i="16"/>
  <c r="LW44" i="16"/>
  <c r="LV44" i="16"/>
  <c r="LU44" i="16"/>
  <c r="LT44" i="16"/>
  <c r="LQ44" i="16"/>
  <c r="LP44" i="16"/>
  <c r="LO44" i="16"/>
  <c r="LN44" i="16"/>
  <c r="LM44" i="16"/>
  <c r="LL44" i="16"/>
  <c r="LK44" i="16"/>
  <c r="LH44" i="16"/>
  <c r="LG44" i="16"/>
  <c r="LF44" i="16"/>
  <c r="LE44" i="16"/>
  <c r="LD44" i="16"/>
  <c r="LC44" i="16"/>
  <c r="LB44" i="16"/>
  <c r="KY44" i="16"/>
  <c r="KX44" i="16"/>
  <c r="KW44" i="16"/>
  <c r="KV44" i="16"/>
  <c r="KU44" i="16"/>
  <c r="KT44" i="16"/>
  <c r="KS44" i="16"/>
  <c r="KP44" i="16"/>
  <c r="KO44" i="16"/>
  <c r="KN44" i="16"/>
  <c r="KM44" i="16"/>
  <c r="KL44" i="16"/>
  <c r="KK44" i="16"/>
  <c r="KJ44" i="16"/>
  <c r="KG44" i="16"/>
  <c r="KF44" i="16"/>
  <c r="KE44" i="16"/>
  <c r="KD44" i="16"/>
  <c r="KC44" i="16"/>
  <c r="KB44" i="16"/>
  <c r="KA44" i="16"/>
  <c r="JX44" i="16"/>
  <c r="JW44" i="16"/>
  <c r="JV44" i="16"/>
  <c r="JU44" i="16"/>
  <c r="JT44" i="16"/>
  <c r="JS44" i="16"/>
  <c r="JR44" i="16"/>
  <c r="JO44" i="16"/>
  <c r="JN44" i="16"/>
  <c r="JM44" i="16"/>
  <c r="JL44" i="16"/>
  <c r="JK44" i="16"/>
  <c r="JJ44" i="16"/>
  <c r="JI44" i="16"/>
  <c r="JF44" i="16"/>
  <c r="JE44" i="16"/>
  <c r="JD44" i="16"/>
  <c r="JC44" i="16"/>
  <c r="JB44" i="16"/>
  <c r="JA44" i="16"/>
  <c r="IZ44" i="16"/>
  <c r="IQ44" i="16"/>
  <c r="IP44" i="16"/>
  <c r="IO44" i="16"/>
  <c r="IN44" i="16"/>
  <c r="IM44" i="16"/>
  <c r="IL44" i="16"/>
  <c r="IK44" i="16"/>
  <c r="IJ44" i="16"/>
  <c r="II44" i="16"/>
  <c r="IF44" i="16"/>
  <c r="IE44" i="16"/>
  <c r="ID44" i="16"/>
  <c r="IC44" i="16"/>
  <c r="IB44" i="16"/>
  <c r="IA44" i="16"/>
  <c r="HX44" i="16"/>
  <c r="HW44" i="16"/>
  <c r="HV44" i="16"/>
  <c r="HU44" i="16"/>
  <c r="HT44" i="16"/>
  <c r="HS44" i="16"/>
  <c r="HP44" i="16"/>
  <c r="HO44" i="16"/>
  <c r="HN44" i="16"/>
  <c r="HM44" i="16"/>
  <c r="HL44" i="16"/>
  <c r="HK44" i="16"/>
  <c r="HH44" i="16"/>
  <c r="HG44" i="16"/>
  <c r="HF44" i="16"/>
  <c r="HE44" i="16"/>
  <c r="HD44" i="16"/>
  <c r="HC44" i="16"/>
  <c r="GZ44" i="16"/>
  <c r="GY44" i="16"/>
  <c r="GX44" i="16"/>
  <c r="GW44" i="16"/>
  <c r="GV44" i="16"/>
  <c r="GU44" i="16"/>
  <c r="GR44" i="16"/>
  <c r="GQ44" i="16"/>
  <c r="GP44" i="16"/>
  <c r="GO44" i="16"/>
  <c r="GN44" i="16"/>
  <c r="GM44" i="16"/>
  <c r="GJ44" i="16"/>
  <c r="GI44" i="16"/>
  <c r="GH44" i="16"/>
  <c r="GG44" i="16"/>
  <c r="GF44" i="16"/>
  <c r="GE44" i="16"/>
  <c r="GB44" i="16"/>
  <c r="GA44" i="16"/>
  <c r="FZ44" i="16"/>
  <c r="FY44" i="16"/>
  <c r="FX44" i="16"/>
  <c r="FW44" i="16"/>
  <c r="FT44" i="16"/>
  <c r="FS44" i="16"/>
  <c r="FR44" i="16"/>
  <c r="FQ44" i="16"/>
  <c r="FP44" i="16"/>
  <c r="FO44" i="16"/>
  <c r="FL44" i="16"/>
  <c r="FK44" i="16"/>
  <c r="FJ44" i="16"/>
  <c r="FI44" i="16"/>
  <c r="FH44" i="16"/>
  <c r="FG44" i="16"/>
  <c r="FD44" i="16"/>
  <c r="FC44" i="16"/>
  <c r="FB44" i="16"/>
  <c r="FA44" i="16"/>
  <c r="EZ44" i="16"/>
  <c r="EY44" i="16"/>
  <c r="EV44" i="16"/>
  <c r="EU44" i="16"/>
  <c r="ET44" i="16"/>
  <c r="ES44" i="16"/>
  <c r="ER44" i="16"/>
  <c r="EQ44" i="16"/>
  <c r="EN44" i="16"/>
  <c r="EM44" i="16"/>
  <c r="EL44" i="16"/>
  <c r="EK44" i="16"/>
  <c r="EJ44" i="16"/>
  <c r="EI44" i="16"/>
  <c r="EF44" i="16"/>
  <c r="EE44" i="16"/>
  <c r="ED44" i="16"/>
  <c r="EC44" i="16"/>
  <c r="EB44" i="16"/>
  <c r="EA44" i="16"/>
  <c r="DX44" i="16"/>
  <c r="DW44" i="16"/>
  <c r="DV44" i="16"/>
  <c r="DU44" i="16"/>
  <c r="DT44" i="16"/>
  <c r="DS44" i="16"/>
  <c r="DP44" i="16"/>
  <c r="DO44" i="16"/>
  <c r="DN44" i="16"/>
  <c r="DM44" i="16"/>
  <c r="DL44" i="16"/>
  <c r="DK44" i="16"/>
  <c r="DG44" i="16"/>
  <c r="DE44" i="16"/>
  <c r="DD44" i="16"/>
  <c r="DC44" i="16"/>
  <c r="DA44" i="16"/>
  <c r="CZ44" i="16"/>
  <c r="CY44" i="16"/>
  <c r="CX44" i="16"/>
  <c r="CU44" i="16"/>
  <c r="CT44" i="16"/>
  <c r="CS44" i="16"/>
  <c r="CR44" i="16"/>
  <c r="CO44" i="16"/>
  <c r="CN44" i="16"/>
  <c r="CM44" i="16"/>
  <c r="CL44" i="16"/>
  <c r="CI44" i="16"/>
  <c r="CH44" i="16"/>
  <c r="CG44" i="16"/>
  <c r="CF44" i="16"/>
  <c r="CC44" i="16"/>
  <c r="CB44" i="16"/>
  <c r="CA44" i="16"/>
  <c r="BZ44" i="16"/>
  <c r="BW44" i="16"/>
  <c r="BV44" i="16"/>
  <c r="BU44" i="16"/>
  <c r="BT44" i="16"/>
  <c r="BQ44" i="16"/>
  <c r="BP44" i="16"/>
  <c r="BO44" i="16"/>
  <c r="BN44" i="16"/>
  <c r="BK44" i="16"/>
  <c r="BJ44" i="16"/>
  <c r="BI44" i="16"/>
  <c r="BH44" i="16"/>
  <c r="BE44" i="16"/>
  <c r="BD44" i="16"/>
  <c r="BC44" i="16"/>
  <c r="BB44" i="16"/>
  <c r="AY44" i="16"/>
  <c r="AX44" i="16"/>
  <c r="AW44" i="16"/>
  <c r="AV44" i="16"/>
  <c r="AS44" i="16"/>
  <c r="AR44" i="16"/>
  <c r="AQ44" i="16"/>
  <c r="AP44" i="16"/>
  <c r="AM44" i="16"/>
  <c r="AL44" i="16"/>
  <c r="AK44" i="16"/>
  <c r="AJ44" i="16"/>
  <c r="AG44" i="16"/>
  <c r="AF44" i="16"/>
  <c r="AE44" i="16"/>
  <c r="AD44" i="16"/>
  <c r="AA44" i="16"/>
  <c r="Z44" i="16"/>
  <c r="Y44" i="16"/>
  <c r="X44" i="16"/>
  <c r="U44" i="16"/>
  <c r="T44" i="16"/>
  <c r="S44" i="16"/>
  <c r="R44" i="16"/>
  <c r="O44" i="16"/>
  <c r="N44" i="16"/>
  <c r="M44" i="16"/>
  <c r="L44" i="16"/>
  <c r="I44" i="16"/>
  <c r="H44" i="16"/>
  <c r="G44" i="16"/>
  <c r="F44" i="16"/>
  <c r="OW43" i="16"/>
  <c r="OV43" i="16"/>
  <c r="OU43" i="16"/>
  <c r="OT43" i="16"/>
  <c r="OS43" i="16"/>
  <c r="OR43" i="16"/>
  <c r="OQ43" i="16"/>
  <c r="OP43" i="16"/>
  <c r="OO43" i="16"/>
  <c r="ON43" i="16"/>
  <c r="OK43" i="16"/>
  <c r="OJ43" i="16"/>
  <c r="OI43" i="16"/>
  <c r="OH43" i="16"/>
  <c r="OG43" i="16"/>
  <c r="OF43" i="16"/>
  <c r="OE43" i="16"/>
  <c r="OB43" i="16"/>
  <c r="OA43" i="16"/>
  <c r="NZ43" i="16"/>
  <c r="NY43" i="16"/>
  <c r="NX43" i="16"/>
  <c r="NW43" i="16"/>
  <c r="NV43" i="16"/>
  <c r="NS43" i="16"/>
  <c r="NR43" i="16"/>
  <c r="NQ43" i="16"/>
  <c r="NP43" i="16"/>
  <c r="NO43" i="16"/>
  <c r="NN43" i="16"/>
  <c r="NM43" i="16"/>
  <c r="NJ43" i="16"/>
  <c r="NI43" i="16"/>
  <c r="NH43" i="16"/>
  <c r="NG43" i="16"/>
  <c r="NF43" i="16"/>
  <c r="NE43" i="16"/>
  <c r="ND43" i="16"/>
  <c r="NA43" i="16"/>
  <c r="MZ43" i="16"/>
  <c r="MY43" i="16"/>
  <c r="MX43" i="16"/>
  <c r="MW43" i="16"/>
  <c r="MV43" i="16"/>
  <c r="MU43" i="16"/>
  <c r="MR43" i="16"/>
  <c r="MQ43" i="16"/>
  <c r="MP43" i="16"/>
  <c r="MO43" i="16"/>
  <c r="MN43" i="16"/>
  <c r="MM43" i="16"/>
  <c r="ML43" i="16"/>
  <c r="MI43" i="16"/>
  <c r="MH43" i="16"/>
  <c r="MG43" i="16"/>
  <c r="MF43" i="16"/>
  <c r="ME43" i="16"/>
  <c r="MD43" i="16"/>
  <c r="MC43" i="16"/>
  <c r="LZ43" i="16"/>
  <c r="LY43" i="16"/>
  <c r="LX43" i="16"/>
  <c r="LW43" i="16"/>
  <c r="LV43" i="16"/>
  <c r="LU43" i="16"/>
  <c r="LT43" i="16"/>
  <c r="LQ43" i="16"/>
  <c r="LP43" i="16"/>
  <c r="LO43" i="16"/>
  <c r="LN43" i="16"/>
  <c r="LM43" i="16"/>
  <c r="LL43" i="16"/>
  <c r="LK43" i="16"/>
  <c r="LH43" i="16"/>
  <c r="LG43" i="16"/>
  <c r="LF43" i="16"/>
  <c r="LE43" i="16"/>
  <c r="LD43" i="16"/>
  <c r="LC43" i="16"/>
  <c r="LB43" i="16"/>
  <c r="KY43" i="16"/>
  <c r="KX43" i="16"/>
  <c r="KW43" i="16"/>
  <c r="KV43" i="16"/>
  <c r="KU43" i="16"/>
  <c r="KT43" i="16"/>
  <c r="KS43" i="16"/>
  <c r="KP43" i="16"/>
  <c r="KO43" i="16"/>
  <c r="KN43" i="16"/>
  <c r="KM43" i="16"/>
  <c r="KL43" i="16"/>
  <c r="KK43" i="16"/>
  <c r="KJ43" i="16"/>
  <c r="KG43" i="16"/>
  <c r="KF43" i="16"/>
  <c r="KE43" i="16"/>
  <c r="KD43" i="16"/>
  <c r="KC43" i="16"/>
  <c r="KB43" i="16"/>
  <c r="KA43" i="16"/>
  <c r="JX43" i="16"/>
  <c r="JW43" i="16"/>
  <c r="JV43" i="16"/>
  <c r="JU43" i="16"/>
  <c r="JT43" i="16"/>
  <c r="JS43" i="16"/>
  <c r="JR43" i="16"/>
  <c r="JO43" i="16"/>
  <c r="JN43" i="16"/>
  <c r="JM43" i="16"/>
  <c r="JL43" i="16"/>
  <c r="JK43" i="16"/>
  <c r="JJ43" i="16"/>
  <c r="JI43" i="16"/>
  <c r="JF43" i="16"/>
  <c r="JE43" i="16"/>
  <c r="JD43" i="16"/>
  <c r="JC43" i="16"/>
  <c r="JB43" i="16"/>
  <c r="JA43" i="16"/>
  <c r="IZ43" i="16"/>
  <c r="IQ43" i="16"/>
  <c r="IP43" i="16"/>
  <c r="IO43" i="16"/>
  <c r="IN43" i="16"/>
  <c r="IM43" i="16"/>
  <c r="IL43" i="16"/>
  <c r="IK43" i="16"/>
  <c r="IJ43" i="16"/>
  <c r="II43" i="16"/>
  <c r="IF43" i="16"/>
  <c r="IE43" i="16"/>
  <c r="ID43" i="16"/>
  <c r="IC43" i="16"/>
  <c r="IB43" i="16"/>
  <c r="IA43" i="16"/>
  <c r="HX43" i="16"/>
  <c r="HW43" i="16"/>
  <c r="HV43" i="16"/>
  <c r="HU43" i="16"/>
  <c r="HT43" i="16"/>
  <c r="HS43" i="16"/>
  <c r="HP43" i="16"/>
  <c r="HO43" i="16"/>
  <c r="HN43" i="16"/>
  <c r="HM43" i="16"/>
  <c r="HL43" i="16"/>
  <c r="HK43" i="16"/>
  <c r="HH43" i="16"/>
  <c r="HG43" i="16"/>
  <c r="HF43" i="16"/>
  <c r="HE43" i="16"/>
  <c r="HD43" i="16"/>
  <c r="HC43" i="16"/>
  <c r="GZ43" i="16"/>
  <c r="GY43" i="16"/>
  <c r="GX43" i="16"/>
  <c r="GW43" i="16"/>
  <c r="GV43" i="16"/>
  <c r="GU43" i="16"/>
  <c r="GR43" i="16"/>
  <c r="GQ43" i="16"/>
  <c r="GP43" i="16"/>
  <c r="GO43" i="16"/>
  <c r="GN43" i="16"/>
  <c r="GM43" i="16"/>
  <c r="GJ43" i="16"/>
  <c r="GI43" i="16"/>
  <c r="GH43" i="16"/>
  <c r="GG43" i="16"/>
  <c r="GF43" i="16"/>
  <c r="GE43" i="16"/>
  <c r="GB43" i="16"/>
  <c r="GA43" i="16"/>
  <c r="FZ43" i="16"/>
  <c r="FY43" i="16"/>
  <c r="FX43" i="16"/>
  <c r="FW43" i="16"/>
  <c r="FT43" i="16"/>
  <c r="FS43" i="16"/>
  <c r="FR43" i="16"/>
  <c r="FQ43" i="16"/>
  <c r="FP43" i="16"/>
  <c r="FO43" i="16"/>
  <c r="FL43" i="16"/>
  <c r="FK43" i="16"/>
  <c r="FJ43" i="16"/>
  <c r="FI43" i="16"/>
  <c r="FH43" i="16"/>
  <c r="FG43" i="16"/>
  <c r="FD43" i="16"/>
  <c r="FC43" i="16"/>
  <c r="FB43" i="16"/>
  <c r="FA43" i="16"/>
  <c r="EZ43" i="16"/>
  <c r="EY43" i="16"/>
  <c r="EV43" i="16"/>
  <c r="EU43" i="16"/>
  <c r="ET43" i="16"/>
  <c r="ES43" i="16"/>
  <c r="ER43" i="16"/>
  <c r="EQ43" i="16"/>
  <c r="EN43" i="16"/>
  <c r="EM43" i="16"/>
  <c r="EL43" i="16"/>
  <c r="EK43" i="16"/>
  <c r="EJ43" i="16"/>
  <c r="EI43" i="16"/>
  <c r="EF43" i="16"/>
  <c r="EE43" i="16"/>
  <c r="ED43" i="16"/>
  <c r="EC43" i="16"/>
  <c r="EB43" i="16"/>
  <c r="EA43" i="16"/>
  <c r="DX43" i="16"/>
  <c r="DW43" i="16"/>
  <c r="DV43" i="16"/>
  <c r="DU43" i="16"/>
  <c r="DT43" i="16"/>
  <c r="DS43" i="16"/>
  <c r="DP43" i="16"/>
  <c r="DO43" i="16"/>
  <c r="DN43" i="16"/>
  <c r="DM43" i="16"/>
  <c r="DL43" i="16"/>
  <c r="DK43" i="16"/>
  <c r="DG43" i="16"/>
  <c r="DE43" i="16"/>
  <c r="DD43" i="16"/>
  <c r="DC43" i="16"/>
  <c r="DA43" i="16"/>
  <c r="CZ43" i="16"/>
  <c r="CY43" i="16"/>
  <c r="CX43" i="16"/>
  <c r="CU43" i="16"/>
  <c r="CT43" i="16"/>
  <c r="CS43" i="16"/>
  <c r="CR43" i="16"/>
  <c r="CO43" i="16"/>
  <c r="CN43" i="16"/>
  <c r="CM43" i="16"/>
  <c r="CL43" i="16"/>
  <c r="CI43" i="16"/>
  <c r="CH43" i="16"/>
  <c r="CG43" i="16"/>
  <c r="CF43" i="16"/>
  <c r="CC43" i="16"/>
  <c r="CB43" i="16"/>
  <c r="CA43" i="16"/>
  <c r="BZ43" i="16"/>
  <c r="BW43" i="16"/>
  <c r="BV43" i="16"/>
  <c r="BU43" i="16"/>
  <c r="BT43" i="16"/>
  <c r="BQ43" i="16"/>
  <c r="BP43" i="16"/>
  <c r="BO43" i="16"/>
  <c r="BN43" i="16"/>
  <c r="BK43" i="16"/>
  <c r="BJ43" i="16"/>
  <c r="BI43" i="16"/>
  <c r="BH43" i="16"/>
  <c r="BE43" i="16"/>
  <c r="BD43" i="16"/>
  <c r="BC43" i="16"/>
  <c r="BB43" i="16"/>
  <c r="AY43" i="16"/>
  <c r="AX43" i="16"/>
  <c r="AW43" i="16"/>
  <c r="AV43" i="16"/>
  <c r="AS43" i="16"/>
  <c r="AR43" i="16"/>
  <c r="AQ43" i="16"/>
  <c r="AP43" i="16"/>
  <c r="AM43" i="16"/>
  <c r="AL43" i="16"/>
  <c r="AK43" i="16"/>
  <c r="AJ43" i="16"/>
  <c r="AG43" i="16"/>
  <c r="AF43" i="16"/>
  <c r="AE43" i="16"/>
  <c r="AD43" i="16"/>
  <c r="AA43" i="16"/>
  <c r="Z43" i="16"/>
  <c r="Y43" i="16"/>
  <c r="X43" i="16"/>
  <c r="U43" i="16"/>
  <c r="T43" i="16"/>
  <c r="S43" i="16"/>
  <c r="R43" i="16"/>
  <c r="O43" i="16"/>
  <c r="N43" i="16"/>
  <c r="M43" i="16"/>
  <c r="L43" i="16"/>
  <c r="I43" i="16"/>
  <c r="H43" i="16"/>
  <c r="G43" i="16"/>
  <c r="F43" i="16"/>
  <c r="OW42" i="16"/>
  <c r="OV42" i="16"/>
  <c r="OU42" i="16"/>
  <c r="OT42" i="16"/>
  <c r="OS42" i="16"/>
  <c r="OR42" i="16"/>
  <c r="OQ42" i="16"/>
  <c r="OP42" i="16"/>
  <c r="OO42" i="16"/>
  <c r="ON42" i="16"/>
  <c r="OK42" i="16"/>
  <c r="OJ42" i="16"/>
  <c r="OI42" i="16"/>
  <c r="OH42" i="16"/>
  <c r="OG42" i="16"/>
  <c r="OF42" i="16"/>
  <c r="OE42" i="16"/>
  <c r="OB42" i="16"/>
  <c r="OA42" i="16"/>
  <c r="NZ42" i="16"/>
  <c r="NY42" i="16"/>
  <c r="NX42" i="16"/>
  <c r="NW42" i="16"/>
  <c r="NV42" i="16"/>
  <c r="NS42" i="16"/>
  <c r="NR42" i="16"/>
  <c r="NQ42" i="16"/>
  <c r="NP42" i="16"/>
  <c r="NO42" i="16"/>
  <c r="NN42" i="16"/>
  <c r="NM42" i="16"/>
  <c r="NJ42" i="16"/>
  <c r="NI42" i="16"/>
  <c r="NH42" i="16"/>
  <c r="NG42" i="16"/>
  <c r="NF42" i="16"/>
  <c r="NE42" i="16"/>
  <c r="ND42" i="16"/>
  <c r="NA42" i="16"/>
  <c r="MZ42" i="16"/>
  <c r="MY42" i="16"/>
  <c r="MX42" i="16"/>
  <c r="MW42" i="16"/>
  <c r="MV42" i="16"/>
  <c r="MU42" i="16"/>
  <c r="MR42" i="16"/>
  <c r="MQ42" i="16"/>
  <c r="MP42" i="16"/>
  <c r="MO42" i="16"/>
  <c r="MN42" i="16"/>
  <c r="MM42" i="16"/>
  <c r="ML42" i="16"/>
  <c r="MI42" i="16"/>
  <c r="MH42" i="16"/>
  <c r="MG42" i="16"/>
  <c r="MF42" i="16"/>
  <c r="ME42" i="16"/>
  <c r="MD42" i="16"/>
  <c r="MC42" i="16"/>
  <c r="LZ42" i="16"/>
  <c r="LY42" i="16"/>
  <c r="LX42" i="16"/>
  <c r="LW42" i="16"/>
  <c r="LV42" i="16"/>
  <c r="LU42" i="16"/>
  <c r="LT42" i="16"/>
  <c r="LQ42" i="16"/>
  <c r="LP42" i="16"/>
  <c r="LO42" i="16"/>
  <c r="LN42" i="16"/>
  <c r="LM42" i="16"/>
  <c r="LL42" i="16"/>
  <c r="LK42" i="16"/>
  <c r="LH42" i="16"/>
  <c r="LG42" i="16"/>
  <c r="LF42" i="16"/>
  <c r="LE42" i="16"/>
  <c r="LD42" i="16"/>
  <c r="LC42" i="16"/>
  <c r="LB42" i="16"/>
  <c r="KY42" i="16"/>
  <c r="KX42" i="16"/>
  <c r="KW42" i="16"/>
  <c r="KV42" i="16"/>
  <c r="KU42" i="16"/>
  <c r="KT42" i="16"/>
  <c r="KS42" i="16"/>
  <c r="KP42" i="16"/>
  <c r="KO42" i="16"/>
  <c r="KN42" i="16"/>
  <c r="KM42" i="16"/>
  <c r="KL42" i="16"/>
  <c r="KK42" i="16"/>
  <c r="KJ42" i="16"/>
  <c r="KG42" i="16"/>
  <c r="KF42" i="16"/>
  <c r="KE42" i="16"/>
  <c r="KD42" i="16"/>
  <c r="KC42" i="16"/>
  <c r="KB42" i="16"/>
  <c r="KA42" i="16"/>
  <c r="JX42" i="16"/>
  <c r="JW42" i="16"/>
  <c r="JV42" i="16"/>
  <c r="JU42" i="16"/>
  <c r="JT42" i="16"/>
  <c r="JS42" i="16"/>
  <c r="JR42" i="16"/>
  <c r="JO42" i="16"/>
  <c r="JN42" i="16"/>
  <c r="JM42" i="16"/>
  <c r="JL42" i="16"/>
  <c r="JK42" i="16"/>
  <c r="JJ42" i="16"/>
  <c r="JI42" i="16"/>
  <c r="JF42" i="16"/>
  <c r="JE42" i="16"/>
  <c r="JD42" i="16"/>
  <c r="JC42" i="16"/>
  <c r="JB42" i="16"/>
  <c r="JA42" i="16"/>
  <c r="IZ42" i="16"/>
  <c r="IQ42" i="16"/>
  <c r="IP42" i="16"/>
  <c r="IO42" i="16"/>
  <c r="IN42" i="16"/>
  <c r="IM42" i="16"/>
  <c r="IL42" i="16"/>
  <c r="IK42" i="16"/>
  <c r="IJ42" i="16"/>
  <c r="II42" i="16"/>
  <c r="IF42" i="16"/>
  <c r="IE42" i="16"/>
  <c r="ID42" i="16"/>
  <c r="IC42" i="16"/>
  <c r="IB42" i="16"/>
  <c r="IA42" i="16"/>
  <c r="HX42" i="16"/>
  <c r="HW42" i="16"/>
  <c r="HV42" i="16"/>
  <c r="HU42" i="16"/>
  <c r="HT42" i="16"/>
  <c r="HS42" i="16"/>
  <c r="HP42" i="16"/>
  <c r="HO42" i="16"/>
  <c r="HN42" i="16"/>
  <c r="HM42" i="16"/>
  <c r="HL42" i="16"/>
  <c r="HK42" i="16"/>
  <c r="HH42" i="16"/>
  <c r="HG42" i="16"/>
  <c r="HF42" i="16"/>
  <c r="HE42" i="16"/>
  <c r="HD42" i="16"/>
  <c r="HC42" i="16"/>
  <c r="GZ42" i="16"/>
  <c r="GY42" i="16"/>
  <c r="GX42" i="16"/>
  <c r="GW42" i="16"/>
  <c r="GV42" i="16"/>
  <c r="GU42" i="16"/>
  <c r="GR42" i="16"/>
  <c r="GQ42" i="16"/>
  <c r="GP42" i="16"/>
  <c r="GO42" i="16"/>
  <c r="GN42" i="16"/>
  <c r="GM42" i="16"/>
  <c r="GJ42" i="16"/>
  <c r="GI42" i="16"/>
  <c r="GH42" i="16"/>
  <c r="GG42" i="16"/>
  <c r="GF42" i="16"/>
  <c r="GE42" i="16"/>
  <c r="GB42" i="16"/>
  <c r="GA42" i="16"/>
  <c r="FZ42" i="16"/>
  <c r="FY42" i="16"/>
  <c r="FX42" i="16"/>
  <c r="FW42" i="16"/>
  <c r="FT42" i="16"/>
  <c r="FS42" i="16"/>
  <c r="FR42" i="16"/>
  <c r="FQ42" i="16"/>
  <c r="FP42" i="16"/>
  <c r="FO42" i="16"/>
  <c r="FL42" i="16"/>
  <c r="FK42" i="16"/>
  <c r="FJ42" i="16"/>
  <c r="FI42" i="16"/>
  <c r="FH42" i="16"/>
  <c r="FG42" i="16"/>
  <c r="FD42" i="16"/>
  <c r="FC42" i="16"/>
  <c r="FB42" i="16"/>
  <c r="FA42" i="16"/>
  <c r="EZ42" i="16"/>
  <c r="EY42" i="16"/>
  <c r="EV42" i="16"/>
  <c r="EU42" i="16"/>
  <c r="ET42" i="16"/>
  <c r="ES42" i="16"/>
  <c r="ER42" i="16"/>
  <c r="EQ42" i="16"/>
  <c r="EN42" i="16"/>
  <c r="EM42" i="16"/>
  <c r="EL42" i="16"/>
  <c r="EK42" i="16"/>
  <c r="EJ42" i="16"/>
  <c r="EI42" i="16"/>
  <c r="EF42" i="16"/>
  <c r="EE42" i="16"/>
  <c r="ED42" i="16"/>
  <c r="EC42" i="16"/>
  <c r="EB42" i="16"/>
  <c r="EA42" i="16"/>
  <c r="DX42" i="16"/>
  <c r="DW42" i="16"/>
  <c r="DV42" i="16"/>
  <c r="DU42" i="16"/>
  <c r="DT42" i="16"/>
  <c r="DS42" i="16"/>
  <c r="DP42" i="16"/>
  <c r="DO42" i="16"/>
  <c r="DN42" i="16"/>
  <c r="DM42" i="16"/>
  <c r="DL42" i="16"/>
  <c r="DK42" i="16"/>
  <c r="DG42" i="16"/>
  <c r="DE42" i="16"/>
  <c r="DD42" i="16"/>
  <c r="DC42" i="16"/>
  <c r="DA42" i="16"/>
  <c r="CZ42" i="16"/>
  <c r="CY42" i="16"/>
  <c r="CX42" i="16"/>
  <c r="CU42" i="16"/>
  <c r="CT42" i="16"/>
  <c r="CS42" i="16"/>
  <c r="CR42" i="16"/>
  <c r="CO42" i="16"/>
  <c r="CN42" i="16"/>
  <c r="CM42" i="16"/>
  <c r="CL42" i="16"/>
  <c r="CI42" i="16"/>
  <c r="CH42" i="16"/>
  <c r="CG42" i="16"/>
  <c r="CF42" i="16"/>
  <c r="CC42" i="16"/>
  <c r="CB42" i="16"/>
  <c r="CA42" i="16"/>
  <c r="BZ42" i="16"/>
  <c r="BW42" i="16"/>
  <c r="BV42" i="16"/>
  <c r="BU42" i="16"/>
  <c r="BT42" i="16"/>
  <c r="BQ42" i="16"/>
  <c r="BP42" i="16"/>
  <c r="BO42" i="16"/>
  <c r="BN42" i="16"/>
  <c r="BK42" i="16"/>
  <c r="BJ42" i="16"/>
  <c r="BI42" i="16"/>
  <c r="BH42" i="16"/>
  <c r="BE42" i="16"/>
  <c r="BD42" i="16"/>
  <c r="BC42" i="16"/>
  <c r="BB42" i="16"/>
  <c r="AY42" i="16"/>
  <c r="AX42" i="16"/>
  <c r="AW42" i="16"/>
  <c r="AV42" i="16"/>
  <c r="AS42" i="16"/>
  <c r="AR42" i="16"/>
  <c r="AQ42" i="16"/>
  <c r="AP42" i="16"/>
  <c r="AM42" i="16"/>
  <c r="AL42" i="16"/>
  <c r="AK42" i="16"/>
  <c r="AJ42" i="16"/>
  <c r="AG42" i="16"/>
  <c r="AF42" i="16"/>
  <c r="AE42" i="16"/>
  <c r="AD42" i="16"/>
  <c r="AA42" i="16"/>
  <c r="Z42" i="16"/>
  <c r="Y42" i="16"/>
  <c r="X42" i="16"/>
  <c r="U42" i="16"/>
  <c r="T42" i="16"/>
  <c r="S42" i="16"/>
  <c r="R42" i="16"/>
  <c r="O42" i="16"/>
  <c r="N42" i="16"/>
  <c r="M42" i="16"/>
  <c r="L42" i="16"/>
  <c r="I42" i="16"/>
  <c r="H42" i="16"/>
  <c r="G42" i="16"/>
  <c r="F42" i="16"/>
  <c r="OW41" i="16"/>
  <c r="OV41" i="16"/>
  <c r="OU41" i="16"/>
  <c r="OT41" i="16"/>
  <c r="OS41" i="16"/>
  <c r="OR41" i="16"/>
  <c r="OQ41" i="16"/>
  <c r="OP41" i="16"/>
  <c r="OO41" i="16"/>
  <c r="ON41" i="16"/>
  <c r="OK41" i="16"/>
  <c r="OJ41" i="16"/>
  <c r="OI41" i="16"/>
  <c r="OH41" i="16"/>
  <c r="OG41" i="16"/>
  <c r="OF41" i="16"/>
  <c r="OE41" i="16"/>
  <c r="OB41" i="16"/>
  <c r="OA41" i="16"/>
  <c r="NZ41" i="16"/>
  <c r="NY41" i="16"/>
  <c r="NX41" i="16"/>
  <c r="NW41" i="16"/>
  <c r="NV41" i="16"/>
  <c r="NS41" i="16"/>
  <c r="NR41" i="16"/>
  <c r="NQ41" i="16"/>
  <c r="NP41" i="16"/>
  <c r="NO41" i="16"/>
  <c r="NN41" i="16"/>
  <c r="NM41" i="16"/>
  <c r="NJ41" i="16"/>
  <c r="NI41" i="16"/>
  <c r="NH41" i="16"/>
  <c r="NG41" i="16"/>
  <c r="NF41" i="16"/>
  <c r="NE41" i="16"/>
  <c r="ND41" i="16"/>
  <c r="NA41" i="16"/>
  <c r="MZ41" i="16"/>
  <c r="MY41" i="16"/>
  <c r="MX41" i="16"/>
  <c r="MW41" i="16"/>
  <c r="MV41" i="16"/>
  <c r="MU41" i="16"/>
  <c r="MR41" i="16"/>
  <c r="MQ41" i="16"/>
  <c r="MP41" i="16"/>
  <c r="MO41" i="16"/>
  <c r="MN41" i="16"/>
  <c r="MM41" i="16"/>
  <c r="ML41" i="16"/>
  <c r="MI41" i="16"/>
  <c r="MH41" i="16"/>
  <c r="MG41" i="16"/>
  <c r="MF41" i="16"/>
  <c r="ME41" i="16"/>
  <c r="MD41" i="16"/>
  <c r="MC41" i="16"/>
  <c r="LZ41" i="16"/>
  <c r="LY41" i="16"/>
  <c r="LX41" i="16"/>
  <c r="LW41" i="16"/>
  <c r="LV41" i="16"/>
  <c r="LU41" i="16"/>
  <c r="LT41" i="16"/>
  <c r="LQ41" i="16"/>
  <c r="LP41" i="16"/>
  <c r="LO41" i="16"/>
  <c r="LN41" i="16"/>
  <c r="LM41" i="16"/>
  <c r="LL41" i="16"/>
  <c r="LK41" i="16"/>
  <c r="LH41" i="16"/>
  <c r="LG41" i="16"/>
  <c r="LF41" i="16"/>
  <c r="LE41" i="16"/>
  <c r="LD41" i="16"/>
  <c r="LC41" i="16"/>
  <c r="LB41" i="16"/>
  <c r="KY41" i="16"/>
  <c r="KX41" i="16"/>
  <c r="KW41" i="16"/>
  <c r="KV41" i="16"/>
  <c r="KU41" i="16"/>
  <c r="KT41" i="16"/>
  <c r="KS41" i="16"/>
  <c r="KP41" i="16"/>
  <c r="KO41" i="16"/>
  <c r="KN41" i="16"/>
  <c r="KM41" i="16"/>
  <c r="KL41" i="16"/>
  <c r="KK41" i="16"/>
  <c r="KJ41" i="16"/>
  <c r="KG41" i="16"/>
  <c r="KF41" i="16"/>
  <c r="KE41" i="16"/>
  <c r="KD41" i="16"/>
  <c r="KC41" i="16"/>
  <c r="KB41" i="16"/>
  <c r="KA41" i="16"/>
  <c r="JX41" i="16"/>
  <c r="JW41" i="16"/>
  <c r="JV41" i="16"/>
  <c r="JU41" i="16"/>
  <c r="JT41" i="16"/>
  <c r="JS41" i="16"/>
  <c r="JR41" i="16"/>
  <c r="JO41" i="16"/>
  <c r="JN41" i="16"/>
  <c r="JM41" i="16"/>
  <c r="JL41" i="16"/>
  <c r="JK41" i="16"/>
  <c r="JJ41" i="16"/>
  <c r="JI41" i="16"/>
  <c r="JF41" i="16"/>
  <c r="JE41" i="16"/>
  <c r="JD41" i="16"/>
  <c r="JC41" i="16"/>
  <c r="JB41" i="16"/>
  <c r="JA41" i="16"/>
  <c r="IZ41" i="16"/>
  <c r="IQ41" i="16"/>
  <c r="IP41" i="16"/>
  <c r="IO41" i="16"/>
  <c r="IN41" i="16"/>
  <c r="IM41" i="16"/>
  <c r="IL41" i="16"/>
  <c r="IK41" i="16"/>
  <c r="IJ41" i="16"/>
  <c r="II41" i="16"/>
  <c r="IF41" i="16"/>
  <c r="IE41" i="16"/>
  <c r="ID41" i="16"/>
  <c r="IC41" i="16"/>
  <c r="IB41" i="16"/>
  <c r="IA41" i="16"/>
  <c r="HX41" i="16"/>
  <c r="HW41" i="16"/>
  <c r="HV41" i="16"/>
  <c r="HU41" i="16"/>
  <c r="HT41" i="16"/>
  <c r="HS41" i="16"/>
  <c r="HP41" i="16"/>
  <c r="HO41" i="16"/>
  <c r="HN41" i="16"/>
  <c r="HM41" i="16"/>
  <c r="HL41" i="16"/>
  <c r="HK41" i="16"/>
  <c r="HH41" i="16"/>
  <c r="HG41" i="16"/>
  <c r="HF41" i="16"/>
  <c r="HE41" i="16"/>
  <c r="HD41" i="16"/>
  <c r="HC41" i="16"/>
  <c r="GZ41" i="16"/>
  <c r="GY41" i="16"/>
  <c r="GX41" i="16"/>
  <c r="GW41" i="16"/>
  <c r="GV41" i="16"/>
  <c r="GU41" i="16"/>
  <c r="GR41" i="16"/>
  <c r="GQ41" i="16"/>
  <c r="GP41" i="16"/>
  <c r="GO41" i="16"/>
  <c r="GN41" i="16"/>
  <c r="GM41" i="16"/>
  <c r="GJ41" i="16"/>
  <c r="GI41" i="16"/>
  <c r="GH41" i="16"/>
  <c r="GG41" i="16"/>
  <c r="GF41" i="16"/>
  <c r="GE41" i="16"/>
  <c r="GB41" i="16"/>
  <c r="GA41" i="16"/>
  <c r="FZ41" i="16"/>
  <c r="FY41" i="16"/>
  <c r="FX41" i="16"/>
  <c r="FW41" i="16"/>
  <c r="FT41" i="16"/>
  <c r="FS41" i="16"/>
  <c r="FR41" i="16"/>
  <c r="FQ41" i="16"/>
  <c r="FP41" i="16"/>
  <c r="FO41" i="16"/>
  <c r="FL41" i="16"/>
  <c r="FK41" i="16"/>
  <c r="FJ41" i="16"/>
  <c r="FI41" i="16"/>
  <c r="FH41" i="16"/>
  <c r="FG41" i="16"/>
  <c r="FD41" i="16"/>
  <c r="FC41" i="16"/>
  <c r="FB41" i="16"/>
  <c r="FA41" i="16"/>
  <c r="EZ41" i="16"/>
  <c r="EY41" i="16"/>
  <c r="EV41" i="16"/>
  <c r="EU41" i="16"/>
  <c r="ET41" i="16"/>
  <c r="ES41" i="16"/>
  <c r="ER41" i="16"/>
  <c r="EQ41" i="16"/>
  <c r="EN41" i="16"/>
  <c r="EM41" i="16"/>
  <c r="EL41" i="16"/>
  <c r="EK41" i="16"/>
  <c r="EJ41" i="16"/>
  <c r="EI41" i="16"/>
  <c r="EF41" i="16"/>
  <c r="EE41" i="16"/>
  <c r="ED41" i="16"/>
  <c r="EC41" i="16"/>
  <c r="EB41" i="16"/>
  <c r="EA41" i="16"/>
  <c r="DX41" i="16"/>
  <c r="DW41" i="16"/>
  <c r="DV41" i="16"/>
  <c r="DU41" i="16"/>
  <c r="DT41" i="16"/>
  <c r="DS41" i="16"/>
  <c r="DP41" i="16"/>
  <c r="DO41" i="16"/>
  <c r="DN41" i="16"/>
  <c r="DM41" i="16"/>
  <c r="DL41" i="16"/>
  <c r="DK41" i="16"/>
  <c r="DG41" i="16"/>
  <c r="DE41" i="16"/>
  <c r="DD41" i="16"/>
  <c r="DC41" i="16"/>
  <c r="DA41" i="16"/>
  <c r="CZ41" i="16"/>
  <c r="CY41" i="16"/>
  <c r="CX41" i="16"/>
  <c r="CU41" i="16"/>
  <c r="CT41" i="16"/>
  <c r="CS41" i="16"/>
  <c r="CR41" i="16"/>
  <c r="CO41" i="16"/>
  <c r="CN41" i="16"/>
  <c r="CM41" i="16"/>
  <c r="CL41" i="16"/>
  <c r="CI41" i="16"/>
  <c r="CH41" i="16"/>
  <c r="CG41" i="16"/>
  <c r="CF41" i="16"/>
  <c r="CC41" i="16"/>
  <c r="CB41" i="16"/>
  <c r="CA41" i="16"/>
  <c r="BZ41" i="16"/>
  <c r="BW41" i="16"/>
  <c r="BV41" i="16"/>
  <c r="BU41" i="16"/>
  <c r="BT41" i="16"/>
  <c r="BQ41" i="16"/>
  <c r="BP41" i="16"/>
  <c r="BO41" i="16"/>
  <c r="BN41" i="16"/>
  <c r="BK41" i="16"/>
  <c r="BJ41" i="16"/>
  <c r="BI41" i="16"/>
  <c r="BH41" i="16"/>
  <c r="BE41" i="16"/>
  <c r="BD41" i="16"/>
  <c r="BC41" i="16"/>
  <c r="BB41" i="16"/>
  <c r="AY41" i="16"/>
  <c r="AX41" i="16"/>
  <c r="AW41" i="16"/>
  <c r="AV41" i="16"/>
  <c r="AS41" i="16"/>
  <c r="AR41" i="16"/>
  <c r="AQ41" i="16"/>
  <c r="AP41" i="16"/>
  <c r="AM41" i="16"/>
  <c r="AL41" i="16"/>
  <c r="AK41" i="16"/>
  <c r="AJ41" i="16"/>
  <c r="AG41" i="16"/>
  <c r="AF41" i="16"/>
  <c r="AE41" i="16"/>
  <c r="AD41" i="16"/>
  <c r="AA41" i="16"/>
  <c r="Z41" i="16"/>
  <c r="Y41" i="16"/>
  <c r="X41" i="16"/>
  <c r="U41" i="16"/>
  <c r="T41" i="16"/>
  <c r="S41" i="16"/>
  <c r="R41" i="16"/>
  <c r="O41" i="16"/>
  <c r="N41" i="16"/>
  <c r="M41" i="16"/>
  <c r="L41" i="16"/>
  <c r="I41" i="16"/>
  <c r="H41" i="16"/>
  <c r="G41" i="16"/>
  <c r="F41" i="16"/>
  <c r="OW40" i="16"/>
  <c r="OV40" i="16"/>
  <c r="OU40" i="16"/>
  <c r="OT40" i="16"/>
  <c r="OS40" i="16"/>
  <c r="OR40" i="16"/>
  <c r="OQ40" i="16"/>
  <c r="OP40" i="16"/>
  <c r="OO40" i="16"/>
  <c r="ON40" i="16"/>
  <c r="OK40" i="16"/>
  <c r="OJ40" i="16"/>
  <c r="OI40" i="16"/>
  <c r="OH40" i="16"/>
  <c r="OG40" i="16"/>
  <c r="OF40" i="16"/>
  <c r="OE40" i="16"/>
  <c r="OB40" i="16"/>
  <c r="OA40" i="16"/>
  <c r="NZ40" i="16"/>
  <c r="NY40" i="16"/>
  <c r="NX40" i="16"/>
  <c r="NW40" i="16"/>
  <c r="NV40" i="16"/>
  <c r="NS40" i="16"/>
  <c r="NR40" i="16"/>
  <c r="NQ40" i="16"/>
  <c r="NP40" i="16"/>
  <c r="NO40" i="16"/>
  <c r="NN40" i="16"/>
  <c r="NM40" i="16"/>
  <c r="NJ40" i="16"/>
  <c r="NI40" i="16"/>
  <c r="NH40" i="16"/>
  <c r="NG40" i="16"/>
  <c r="NF40" i="16"/>
  <c r="NE40" i="16"/>
  <c r="ND40" i="16"/>
  <c r="NA40" i="16"/>
  <c r="MZ40" i="16"/>
  <c r="MY40" i="16"/>
  <c r="MX40" i="16"/>
  <c r="MW40" i="16"/>
  <c r="MV40" i="16"/>
  <c r="MU40" i="16"/>
  <c r="MR40" i="16"/>
  <c r="MQ40" i="16"/>
  <c r="MP40" i="16"/>
  <c r="MO40" i="16"/>
  <c r="MN40" i="16"/>
  <c r="MM40" i="16"/>
  <c r="ML40" i="16"/>
  <c r="MI40" i="16"/>
  <c r="MH40" i="16"/>
  <c r="MG40" i="16"/>
  <c r="MF40" i="16"/>
  <c r="ME40" i="16"/>
  <c r="MD40" i="16"/>
  <c r="MC40" i="16"/>
  <c r="LZ40" i="16"/>
  <c r="LY40" i="16"/>
  <c r="LX40" i="16"/>
  <c r="LW40" i="16"/>
  <c r="LV40" i="16"/>
  <c r="LU40" i="16"/>
  <c r="LT40" i="16"/>
  <c r="LQ40" i="16"/>
  <c r="LP40" i="16"/>
  <c r="LO40" i="16"/>
  <c r="LN40" i="16"/>
  <c r="LM40" i="16"/>
  <c r="LL40" i="16"/>
  <c r="LK40" i="16"/>
  <c r="LH40" i="16"/>
  <c r="LG40" i="16"/>
  <c r="LF40" i="16"/>
  <c r="LE40" i="16"/>
  <c r="LD40" i="16"/>
  <c r="LC40" i="16"/>
  <c r="LB40" i="16"/>
  <c r="KY40" i="16"/>
  <c r="KX40" i="16"/>
  <c r="KW40" i="16"/>
  <c r="KV40" i="16"/>
  <c r="KU40" i="16"/>
  <c r="KT40" i="16"/>
  <c r="KS40" i="16"/>
  <c r="KP40" i="16"/>
  <c r="KO40" i="16"/>
  <c r="KN40" i="16"/>
  <c r="KM40" i="16"/>
  <c r="KL40" i="16"/>
  <c r="KK40" i="16"/>
  <c r="KJ40" i="16"/>
  <c r="KG40" i="16"/>
  <c r="KF40" i="16"/>
  <c r="KE40" i="16"/>
  <c r="KD40" i="16"/>
  <c r="KC40" i="16"/>
  <c r="KB40" i="16"/>
  <c r="KA40" i="16"/>
  <c r="JX40" i="16"/>
  <c r="JW40" i="16"/>
  <c r="JV40" i="16"/>
  <c r="JU40" i="16"/>
  <c r="JT40" i="16"/>
  <c r="JS40" i="16"/>
  <c r="JR40" i="16"/>
  <c r="JO40" i="16"/>
  <c r="JN40" i="16"/>
  <c r="JM40" i="16"/>
  <c r="JL40" i="16"/>
  <c r="JK40" i="16"/>
  <c r="JJ40" i="16"/>
  <c r="JI40" i="16"/>
  <c r="JF40" i="16"/>
  <c r="JE40" i="16"/>
  <c r="JD40" i="16"/>
  <c r="JC40" i="16"/>
  <c r="JB40" i="16"/>
  <c r="JA40" i="16"/>
  <c r="IZ40" i="16"/>
  <c r="IQ40" i="16"/>
  <c r="IP40" i="16"/>
  <c r="IO40" i="16"/>
  <c r="IN40" i="16"/>
  <c r="IM40" i="16"/>
  <c r="IL40" i="16"/>
  <c r="IK40" i="16"/>
  <c r="IJ40" i="16"/>
  <c r="II40" i="16"/>
  <c r="IF40" i="16"/>
  <c r="IE40" i="16"/>
  <c r="ID40" i="16"/>
  <c r="IC40" i="16"/>
  <c r="IB40" i="16"/>
  <c r="IA40" i="16"/>
  <c r="HX40" i="16"/>
  <c r="HW40" i="16"/>
  <c r="HV40" i="16"/>
  <c r="HU40" i="16"/>
  <c r="HT40" i="16"/>
  <c r="HS40" i="16"/>
  <c r="HP40" i="16"/>
  <c r="HO40" i="16"/>
  <c r="HN40" i="16"/>
  <c r="HM40" i="16"/>
  <c r="HL40" i="16"/>
  <c r="HK40" i="16"/>
  <c r="HH40" i="16"/>
  <c r="HG40" i="16"/>
  <c r="HF40" i="16"/>
  <c r="HE40" i="16"/>
  <c r="HD40" i="16"/>
  <c r="HC40" i="16"/>
  <c r="GZ40" i="16"/>
  <c r="GY40" i="16"/>
  <c r="GX40" i="16"/>
  <c r="GW40" i="16"/>
  <c r="GV40" i="16"/>
  <c r="GU40" i="16"/>
  <c r="GR40" i="16"/>
  <c r="GQ40" i="16"/>
  <c r="GP40" i="16"/>
  <c r="GO40" i="16"/>
  <c r="GN40" i="16"/>
  <c r="GM40" i="16"/>
  <c r="GJ40" i="16"/>
  <c r="GI40" i="16"/>
  <c r="GH40" i="16"/>
  <c r="GG40" i="16"/>
  <c r="GF40" i="16"/>
  <c r="GE40" i="16"/>
  <c r="GB40" i="16"/>
  <c r="GA40" i="16"/>
  <c r="FZ40" i="16"/>
  <c r="FY40" i="16"/>
  <c r="FX40" i="16"/>
  <c r="FW40" i="16"/>
  <c r="FT40" i="16"/>
  <c r="FS40" i="16"/>
  <c r="FR40" i="16"/>
  <c r="FQ40" i="16"/>
  <c r="FP40" i="16"/>
  <c r="FO40" i="16"/>
  <c r="FL40" i="16"/>
  <c r="FK40" i="16"/>
  <c r="FJ40" i="16"/>
  <c r="FI40" i="16"/>
  <c r="FH40" i="16"/>
  <c r="FG40" i="16"/>
  <c r="FD40" i="16"/>
  <c r="FC40" i="16"/>
  <c r="FB40" i="16"/>
  <c r="FA40" i="16"/>
  <c r="EZ40" i="16"/>
  <c r="EY40" i="16"/>
  <c r="EV40" i="16"/>
  <c r="EU40" i="16"/>
  <c r="ET40" i="16"/>
  <c r="ES40" i="16"/>
  <c r="ER40" i="16"/>
  <c r="EQ40" i="16"/>
  <c r="EN40" i="16"/>
  <c r="EM40" i="16"/>
  <c r="EL40" i="16"/>
  <c r="EK40" i="16"/>
  <c r="EJ40" i="16"/>
  <c r="EI40" i="16"/>
  <c r="EF40" i="16"/>
  <c r="EE40" i="16"/>
  <c r="ED40" i="16"/>
  <c r="EC40" i="16"/>
  <c r="EB40" i="16"/>
  <c r="EA40" i="16"/>
  <c r="DX40" i="16"/>
  <c r="DW40" i="16"/>
  <c r="DV40" i="16"/>
  <c r="DU40" i="16"/>
  <c r="DT40" i="16"/>
  <c r="DS40" i="16"/>
  <c r="DP40" i="16"/>
  <c r="DO40" i="16"/>
  <c r="DN40" i="16"/>
  <c r="DM40" i="16"/>
  <c r="DL40" i="16"/>
  <c r="DK40" i="16"/>
  <c r="DG40" i="16"/>
  <c r="DE40" i="16"/>
  <c r="DD40" i="16"/>
  <c r="DC40" i="16"/>
  <c r="DA40" i="16"/>
  <c r="CZ40" i="16"/>
  <c r="CY40" i="16"/>
  <c r="CX40" i="16"/>
  <c r="CU40" i="16"/>
  <c r="CT40" i="16"/>
  <c r="CS40" i="16"/>
  <c r="CR40" i="16"/>
  <c r="CO40" i="16"/>
  <c r="CN40" i="16"/>
  <c r="CM40" i="16"/>
  <c r="CL40" i="16"/>
  <c r="CI40" i="16"/>
  <c r="CH40" i="16"/>
  <c r="CG40" i="16"/>
  <c r="CF40" i="16"/>
  <c r="CC40" i="16"/>
  <c r="CB40" i="16"/>
  <c r="CA40" i="16"/>
  <c r="BZ40" i="16"/>
  <c r="BW40" i="16"/>
  <c r="BV40" i="16"/>
  <c r="BU40" i="16"/>
  <c r="BT40" i="16"/>
  <c r="BQ40" i="16"/>
  <c r="BP40" i="16"/>
  <c r="BO40" i="16"/>
  <c r="BN40" i="16"/>
  <c r="BK40" i="16"/>
  <c r="BJ40" i="16"/>
  <c r="BI40" i="16"/>
  <c r="BH40" i="16"/>
  <c r="BE40" i="16"/>
  <c r="BD40" i="16"/>
  <c r="BC40" i="16"/>
  <c r="BB40" i="16"/>
  <c r="AY40" i="16"/>
  <c r="AX40" i="16"/>
  <c r="AW40" i="16"/>
  <c r="AV40" i="16"/>
  <c r="AS40" i="16"/>
  <c r="AR40" i="16"/>
  <c r="AQ40" i="16"/>
  <c r="AP40" i="16"/>
  <c r="AM40" i="16"/>
  <c r="AL40" i="16"/>
  <c r="AK40" i="16"/>
  <c r="AJ40" i="16"/>
  <c r="AG40" i="16"/>
  <c r="AF40" i="16"/>
  <c r="AE40" i="16"/>
  <c r="AD40" i="16"/>
  <c r="AA40" i="16"/>
  <c r="Z40" i="16"/>
  <c r="Y40" i="16"/>
  <c r="X40" i="16"/>
  <c r="U40" i="16"/>
  <c r="T40" i="16"/>
  <c r="S40" i="16"/>
  <c r="R40" i="16"/>
  <c r="O40" i="16"/>
  <c r="N40" i="16"/>
  <c r="M40" i="16"/>
  <c r="L40" i="16"/>
  <c r="I40" i="16"/>
  <c r="H40" i="16"/>
  <c r="G40" i="16"/>
  <c r="F40" i="16"/>
  <c r="OW39" i="16"/>
  <c r="OV39" i="16"/>
  <c r="OU39" i="16"/>
  <c r="OT39" i="16"/>
  <c r="OS39" i="16"/>
  <c r="OR39" i="16"/>
  <c r="OQ39" i="16"/>
  <c r="OP39" i="16"/>
  <c r="OO39" i="16"/>
  <c r="ON39" i="16"/>
  <c r="OK39" i="16"/>
  <c r="OJ39" i="16"/>
  <c r="OI39" i="16"/>
  <c r="OH39" i="16"/>
  <c r="OG39" i="16"/>
  <c r="OF39" i="16"/>
  <c r="OE39" i="16"/>
  <c r="OB39" i="16"/>
  <c r="OA39" i="16"/>
  <c r="NZ39" i="16"/>
  <c r="NY39" i="16"/>
  <c r="NX39" i="16"/>
  <c r="NW39" i="16"/>
  <c r="NV39" i="16"/>
  <c r="NS39" i="16"/>
  <c r="NR39" i="16"/>
  <c r="NQ39" i="16"/>
  <c r="NP39" i="16"/>
  <c r="NO39" i="16"/>
  <c r="NN39" i="16"/>
  <c r="NM39" i="16"/>
  <c r="NJ39" i="16"/>
  <c r="NI39" i="16"/>
  <c r="NH39" i="16"/>
  <c r="NG39" i="16"/>
  <c r="NF39" i="16"/>
  <c r="NE39" i="16"/>
  <c r="ND39" i="16"/>
  <c r="NA39" i="16"/>
  <c r="MZ39" i="16"/>
  <c r="MY39" i="16"/>
  <c r="MX39" i="16"/>
  <c r="MW39" i="16"/>
  <c r="MV39" i="16"/>
  <c r="MU39" i="16"/>
  <c r="MR39" i="16"/>
  <c r="MQ39" i="16"/>
  <c r="MP39" i="16"/>
  <c r="MO39" i="16"/>
  <c r="MN39" i="16"/>
  <c r="MM39" i="16"/>
  <c r="ML39" i="16"/>
  <c r="MI39" i="16"/>
  <c r="MH39" i="16"/>
  <c r="MG39" i="16"/>
  <c r="MF39" i="16"/>
  <c r="ME39" i="16"/>
  <c r="MD39" i="16"/>
  <c r="MC39" i="16"/>
  <c r="LZ39" i="16"/>
  <c r="LY39" i="16"/>
  <c r="LX39" i="16"/>
  <c r="LW39" i="16"/>
  <c r="LV39" i="16"/>
  <c r="LU39" i="16"/>
  <c r="LT39" i="16"/>
  <c r="LQ39" i="16"/>
  <c r="LP39" i="16"/>
  <c r="LO39" i="16"/>
  <c r="LN39" i="16"/>
  <c r="LM39" i="16"/>
  <c r="LL39" i="16"/>
  <c r="LK39" i="16"/>
  <c r="LH39" i="16"/>
  <c r="LG39" i="16"/>
  <c r="LF39" i="16"/>
  <c r="LE39" i="16"/>
  <c r="LD39" i="16"/>
  <c r="LC39" i="16"/>
  <c r="LB39" i="16"/>
  <c r="KY39" i="16"/>
  <c r="KX39" i="16"/>
  <c r="KW39" i="16"/>
  <c r="KV39" i="16"/>
  <c r="KU39" i="16"/>
  <c r="KT39" i="16"/>
  <c r="KS39" i="16"/>
  <c r="KP39" i="16"/>
  <c r="KO39" i="16"/>
  <c r="KN39" i="16"/>
  <c r="KM39" i="16"/>
  <c r="KL39" i="16"/>
  <c r="KK39" i="16"/>
  <c r="KJ39" i="16"/>
  <c r="KG39" i="16"/>
  <c r="KF39" i="16"/>
  <c r="KE39" i="16"/>
  <c r="KD39" i="16"/>
  <c r="KC39" i="16"/>
  <c r="KB39" i="16"/>
  <c r="KA39" i="16"/>
  <c r="JX39" i="16"/>
  <c r="JW39" i="16"/>
  <c r="JV39" i="16"/>
  <c r="JU39" i="16"/>
  <c r="JT39" i="16"/>
  <c r="JS39" i="16"/>
  <c r="JR39" i="16"/>
  <c r="JO39" i="16"/>
  <c r="JN39" i="16"/>
  <c r="JM39" i="16"/>
  <c r="JL39" i="16"/>
  <c r="JK39" i="16"/>
  <c r="JJ39" i="16"/>
  <c r="JI39" i="16"/>
  <c r="JF39" i="16"/>
  <c r="JE39" i="16"/>
  <c r="JD39" i="16"/>
  <c r="JC39" i="16"/>
  <c r="JB39" i="16"/>
  <c r="JA39" i="16"/>
  <c r="IZ39" i="16"/>
  <c r="IQ39" i="16"/>
  <c r="IP39" i="16"/>
  <c r="IO39" i="16"/>
  <c r="IN39" i="16"/>
  <c r="IM39" i="16"/>
  <c r="IL39" i="16"/>
  <c r="IK39" i="16"/>
  <c r="IJ39" i="16"/>
  <c r="II39" i="16"/>
  <c r="IF39" i="16"/>
  <c r="IE39" i="16"/>
  <c r="ID39" i="16"/>
  <c r="IC39" i="16"/>
  <c r="IB39" i="16"/>
  <c r="IA39" i="16"/>
  <c r="HX39" i="16"/>
  <c r="HW39" i="16"/>
  <c r="HV39" i="16"/>
  <c r="HU39" i="16"/>
  <c r="HT39" i="16"/>
  <c r="HS39" i="16"/>
  <c r="HP39" i="16"/>
  <c r="HO39" i="16"/>
  <c r="HN39" i="16"/>
  <c r="HM39" i="16"/>
  <c r="HL39" i="16"/>
  <c r="HK39" i="16"/>
  <c r="HH39" i="16"/>
  <c r="HG39" i="16"/>
  <c r="HF39" i="16"/>
  <c r="HE39" i="16"/>
  <c r="HD39" i="16"/>
  <c r="HC39" i="16"/>
  <c r="GZ39" i="16"/>
  <c r="GY39" i="16"/>
  <c r="GX39" i="16"/>
  <c r="GW39" i="16"/>
  <c r="GV39" i="16"/>
  <c r="GU39" i="16"/>
  <c r="GR39" i="16"/>
  <c r="GQ39" i="16"/>
  <c r="GP39" i="16"/>
  <c r="GO39" i="16"/>
  <c r="GN39" i="16"/>
  <c r="GM39" i="16"/>
  <c r="GJ39" i="16"/>
  <c r="GI39" i="16"/>
  <c r="GH39" i="16"/>
  <c r="GG39" i="16"/>
  <c r="GF39" i="16"/>
  <c r="GE39" i="16"/>
  <c r="GB39" i="16"/>
  <c r="GA39" i="16"/>
  <c r="FZ39" i="16"/>
  <c r="FY39" i="16"/>
  <c r="FX39" i="16"/>
  <c r="FW39" i="16"/>
  <c r="FT39" i="16"/>
  <c r="FS39" i="16"/>
  <c r="FR39" i="16"/>
  <c r="FQ39" i="16"/>
  <c r="FP39" i="16"/>
  <c r="FO39" i="16"/>
  <c r="FL39" i="16"/>
  <c r="FK39" i="16"/>
  <c r="FJ39" i="16"/>
  <c r="FI39" i="16"/>
  <c r="FH39" i="16"/>
  <c r="FG39" i="16"/>
  <c r="FD39" i="16"/>
  <c r="FC39" i="16"/>
  <c r="FB39" i="16"/>
  <c r="FA39" i="16"/>
  <c r="EZ39" i="16"/>
  <c r="EY39" i="16"/>
  <c r="EV39" i="16"/>
  <c r="EU39" i="16"/>
  <c r="ET39" i="16"/>
  <c r="ES39" i="16"/>
  <c r="ER39" i="16"/>
  <c r="EQ39" i="16"/>
  <c r="EN39" i="16"/>
  <c r="EM39" i="16"/>
  <c r="EL39" i="16"/>
  <c r="EK39" i="16"/>
  <c r="EJ39" i="16"/>
  <c r="EI39" i="16"/>
  <c r="EF39" i="16"/>
  <c r="EE39" i="16"/>
  <c r="ED39" i="16"/>
  <c r="EC39" i="16"/>
  <c r="EB39" i="16"/>
  <c r="EA39" i="16"/>
  <c r="DX39" i="16"/>
  <c r="DW39" i="16"/>
  <c r="DV39" i="16"/>
  <c r="DU39" i="16"/>
  <c r="DT39" i="16"/>
  <c r="DS39" i="16"/>
  <c r="DP39" i="16"/>
  <c r="DO39" i="16"/>
  <c r="DN39" i="16"/>
  <c r="DM39" i="16"/>
  <c r="DL39" i="16"/>
  <c r="DK39" i="16"/>
  <c r="DG39" i="16"/>
  <c r="DE39" i="16"/>
  <c r="DD39" i="16"/>
  <c r="DC39" i="16"/>
  <c r="DA39" i="16"/>
  <c r="CZ39" i="16"/>
  <c r="CY39" i="16"/>
  <c r="CX39" i="16"/>
  <c r="CU39" i="16"/>
  <c r="CT39" i="16"/>
  <c r="CS39" i="16"/>
  <c r="CR39" i="16"/>
  <c r="CO39" i="16"/>
  <c r="CN39" i="16"/>
  <c r="CM39" i="16"/>
  <c r="CL39" i="16"/>
  <c r="CI39" i="16"/>
  <c r="CH39" i="16"/>
  <c r="CG39" i="16"/>
  <c r="CF39" i="16"/>
  <c r="CC39" i="16"/>
  <c r="CB39" i="16"/>
  <c r="CA39" i="16"/>
  <c r="BZ39" i="16"/>
  <c r="BW39" i="16"/>
  <c r="BV39" i="16"/>
  <c r="BU39" i="16"/>
  <c r="BT39" i="16"/>
  <c r="BQ39" i="16"/>
  <c r="BP39" i="16"/>
  <c r="BO39" i="16"/>
  <c r="BN39" i="16"/>
  <c r="BK39" i="16"/>
  <c r="BJ39" i="16"/>
  <c r="BI39" i="16"/>
  <c r="BH39" i="16"/>
  <c r="BE39" i="16"/>
  <c r="BD39" i="16"/>
  <c r="BC39" i="16"/>
  <c r="BB39" i="16"/>
  <c r="AY39" i="16"/>
  <c r="AX39" i="16"/>
  <c r="AW39" i="16"/>
  <c r="AV39" i="16"/>
  <c r="AS39" i="16"/>
  <c r="AR39" i="16"/>
  <c r="AQ39" i="16"/>
  <c r="AP39" i="16"/>
  <c r="AM39" i="16"/>
  <c r="AL39" i="16"/>
  <c r="AK39" i="16"/>
  <c r="AJ39" i="16"/>
  <c r="AG39" i="16"/>
  <c r="AF39" i="16"/>
  <c r="AE39" i="16"/>
  <c r="AD39" i="16"/>
  <c r="AA39" i="16"/>
  <c r="Z39" i="16"/>
  <c r="Y39" i="16"/>
  <c r="X39" i="16"/>
  <c r="U39" i="16"/>
  <c r="T39" i="16"/>
  <c r="S39" i="16"/>
  <c r="R39" i="16"/>
  <c r="O39" i="16"/>
  <c r="N39" i="16"/>
  <c r="M39" i="16"/>
  <c r="L39" i="16"/>
  <c r="I39" i="16"/>
  <c r="H39" i="16"/>
  <c r="G39" i="16"/>
  <c r="F39" i="16"/>
  <c r="OW38" i="16"/>
  <c r="OV38" i="16"/>
  <c r="OU38" i="16"/>
  <c r="OT38" i="16"/>
  <c r="OS38" i="16"/>
  <c r="OR38" i="16"/>
  <c r="OQ38" i="16"/>
  <c r="OP38" i="16"/>
  <c r="OO38" i="16"/>
  <c r="ON38" i="16"/>
  <c r="OK38" i="16"/>
  <c r="OJ38" i="16"/>
  <c r="OI38" i="16"/>
  <c r="OH38" i="16"/>
  <c r="OG38" i="16"/>
  <c r="OF38" i="16"/>
  <c r="OE38" i="16"/>
  <c r="OB38" i="16"/>
  <c r="OA38" i="16"/>
  <c r="NZ38" i="16"/>
  <c r="NY38" i="16"/>
  <c r="NX38" i="16"/>
  <c r="NW38" i="16"/>
  <c r="NV38" i="16"/>
  <c r="NS38" i="16"/>
  <c r="NR38" i="16"/>
  <c r="NQ38" i="16"/>
  <c r="NP38" i="16"/>
  <c r="NO38" i="16"/>
  <c r="NN38" i="16"/>
  <c r="NM38" i="16"/>
  <c r="NJ38" i="16"/>
  <c r="NI38" i="16"/>
  <c r="NH38" i="16"/>
  <c r="NG38" i="16"/>
  <c r="NF38" i="16"/>
  <c r="NE38" i="16"/>
  <c r="ND38" i="16"/>
  <c r="NA38" i="16"/>
  <c r="MZ38" i="16"/>
  <c r="MY38" i="16"/>
  <c r="MX38" i="16"/>
  <c r="MW38" i="16"/>
  <c r="MV38" i="16"/>
  <c r="MU38" i="16"/>
  <c r="MR38" i="16"/>
  <c r="MQ38" i="16"/>
  <c r="MP38" i="16"/>
  <c r="MO38" i="16"/>
  <c r="MN38" i="16"/>
  <c r="MM38" i="16"/>
  <c r="ML38" i="16"/>
  <c r="MI38" i="16"/>
  <c r="MH38" i="16"/>
  <c r="MG38" i="16"/>
  <c r="MF38" i="16"/>
  <c r="ME38" i="16"/>
  <c r="MD38" i="16"/>
  <c r="MC38" i="16"/>
  <c r="LZ38" i="16"/>
  <c r="LY38" i="16"/>
  <c r="LX38" i="16"/>
  <c r="LW38" i="16"/>
  <c r="LV38" i="16"/>
  <c r="LU38" i="16"/>
  <c r="LT38" i="16"/>
  <c r="LQ38" i="16"/>
  <c r="LP38" i="16"/>
  <c r="LO38" i="16"/>
  <c r="LN38" i="16"/>
  <c r="LM38" i="16"/>
  <c r="LL38" i="16"/>
  <c r="LK38" i="16"/>
  <c r="LH38" i="16"/>
  <c r="LG38" i="16"/>
  <c r="LF38" i="16"/>
  <c r="LE38" i="16"/>
  <c r="LD38" i="16"/>
  <c r="LC38" i="16"/>
  <c r="LB38" i="16"/>
  <c r="KY38" i="16"/>
  <c r="KX38" i="16"/>
  <c r="KW38" i="16"/>
  <c r="KV38" i="16"/>
  <c r="KU38" i="16"/>
  <c r="KT38" i="16"/>
  <c r="KS38" i="16"/>
  <c r="KP38" i="16"/>
  <c r="KO38" i="16"/>
  <c r="KN38" i="16"/>
  <c r="KM38" i="16"/>
  <c r="KL38" i="16"/>
  <c r="KK38" i="16"/>
  <c r="KJ38" i="16"/>
  <c r="KG38" i="16"/>
  <c r="KF38" i="16"/>
  <c r="KE38" i="16"/>
  <c r="KD38" i="16"/>
  <c r="KC38" i="16"/>
  <c r="KB38" i="16"/>
  <c r="KA38" i="16"/>
  <c r="JX38" i="16"/>
  <c r="JW38" i="16"/>
  <c r="JV38" i="16"/>
  <c r="JU38" i="16"/>
  <c r="JT38" i="16"/>
  <c r="JS38" i="16"/>
  <c r="JR38" i="16"/>
  <c r="JO38" i="16"/>
  <c r="JN38" i="16"/>
  <c r="JM38" i="16"/>
  <c r="JL38" i="16"/>
  <c r="JK38" i="16"/>
  <c r="JJ38" i="16"/>
  <c r="JI38" i="16"/>
  <c r="JF38" i="16"/>
  <c r="JE38" i="16"/>
  <c r="JD38" i="16"/>
  <c r="JC38" i="16"/>
  <c r="JB38" i="16"/>
  <c r="JA38" i="16"/>
  <c r="IZ38" i="16"/>
  <c r="IQ38" i="16"/>
  <c r="IP38" i="16"/>
  <c r="IO38" i="16"/>
  <c r="IN38" i="16"/>
  <c r="IM38" i="16"/>
  <c r="IL38" i="16"/>
  <c r="IK38" i="16"/>
  <c r="IJ38" i="16"/>
  <c r="II38" i="16"/>
  <c r="IF38" i="16"/>
  <c r="IE38" i="16"/>
  <c r="ID38" i="16"/>
  <c r="IC38" i="16"/>
  <c r="IB38" i="16"/>
  <c r="IA38" i="16"/>
  <c r="HX38" i="16"/>
  <c r="HW38" i="16"/>
  <c r="HV38" i="16"/>
  <c r="HU38" i="16"/>
  <c r="HT38" i="16"/>
  <c r="HS38" i="16"/>
  <c r="HP38" i="16"/>
  <c r="HO38" i="16"/>
  <c r="HN38" i="16"/>
  <c r="HM38" i="16"/>
  <c r="HL38" i="16"/>
  <c r="HK38" i="16"/>
  <c r="HH38" i="16"/>
  <c r="HG38" i="16"/>
  <c r="HF38" i="16"/>
  <c r="HE38" i="16"/>
  <c r="HD38" i="16"/>
  <c r="HC38" i="16"/>
  <c r="GZ38" i="16"/>
  <c r="GY38" i="16"/>
  <c r="GX38" i="16"/>
  <c r="GW38" i="16"/>
  <c r="GV38" i="16"/>
  <c r="GU38" i="16"/>
  <c r="GR38" i="16"/>
  <c r="GQ38" i="16"/>
  <c r="GP38" i="16"/>
  <c r="GO38" i="16"/>
  <c r="GN38" i="16"/>
  <c r="GM38" i="16"/>
  <c r="GJ38" i="16"/>
  <c r="GI38" i="16"/>
  <c r="GH38" i="16"/>
  <c r="GG38" i="16"/>
  <c r="GF38" i="16"/>
  <c r="GE38" i="16"/>
  <c r="GB38" i="16"/>
  <c r="GA38" i="16"/>
  <c r="FZ38" i="16"/>
  <c r="FY38" i="16"/>
  <c r="FX38" i="16"/>
  <c r="FW38" i="16"/>
  <c r="FT38" i="16"/>
  <c r="FS38" i="16"/>
  <c r="FR38" i="16"/>
  <c r="FQ38" i="16"/>
  <c r="FP38" i="16"/>
  <c r="FO38" i="16"/>
  <c r="FL38" i="16"/>
  <c r="FK38" i="16"/>
  <c r="FJ38" i="16"/>
  <c r="FI38" i="16"/>
  <c r="FH38" i="16"/>
  <c r="FG38" i="16"/>
  <c r="FD38" i="16"/>
  <c r="FC38" i="16"/>
  <c r="FB38" i="16"/>
  <c r="FA38" i="16"/>
  <c r="EZ38" i="16"/>
  <c r="EY38" i="16"/>
  <c r="EV38" i="16"/>
  <c r="EU38" i="16"/>
  <c r="ET38" i="16"/>
  <c r="ES38" i="16"/>
  <c r="ER38" i="16"/>
  <c r="EQ38" i="16"/>
  <c r="EN38" i="16"/>
  <c r="EM38" i="16"/>
  <c r="EL38" i="16"/>
  <c r="EK38" i="16"/>
  <c r="EJ38" i="16"/>
  <c r="EI38" i="16"/>
  <c r="EF38" i="16"/>
  <c r="EE38" i="16"/>
  <c r="ED38" i="16"/>
  <c r="EC38" i="16"/>
  <c r="EB38" i="16"/>
  <c r="EA38" i="16"/>
  <c r="DX38" i="16"/>
  <c r="DW38" i="16"/>
  <c r="DV38" i="16"/>
  <c r="DU38" i="16"/>
  <c r="DT38" i="16"/>
  <c r="DS38" i="16"/>
  <c r="DP38" i="16"/>
  <c r="DO38" i="16"/>
  <c r="DN38" i="16"/>
  <c r="DM38" i="16"/>
  <c r="DL38" i="16"/>
  <c r="DK38" i="16"/>
  <c r="DG38" i="16"/>
  <c r="DE38" i="16"/>
  <c r="DD38" i="16"/>
  <c r="DC38" i="16"/>
  <c r="DA38" i="16"/>
  <c r="CZ38" i="16"/>
  <c r="CY38" i="16"/>
  <c r="CX38" i="16"/>
  <c r="CU38" i="16"/>
  <c r="CT38" i="16"/>
  <c r="CS38" i="16"/>
  <c r="CR38" i="16"/>
  <c r="CO38" i="16"/>
  <c r="CN38" i="16"/>
  <c r="CM38" i="16"/>
  <c r="CL38" i="16"/>
  <c r="CI38" i="16"/>
  <c r="CH38" i="16"/>
  <c r="CG38" i="16"/>
  <c r="CF38" i="16"/>
  <c r="CC38" i="16"/>
  <c r="CB38" i="16"/>
  <c r="CA38" i="16"/>
  <c r="BZ38" i="16"/>
  <c r="BW38" i="16"/>
  <c r="BV38" i="16"/>
  <c r="BU38" i="16"/>
  <c r="BT38" i="16"/>
  <c r="BQ38" i="16"/>
  <c r="BP38" i="16"/>
  <c r="BO38" i="16"/>
  <c r="BN38" i="16"/>
  <c r="BK38" i="16"/>
  <c r="BJ38" i="16"/>
  <c r="BI38" i="16"/>
  <c r="BH38" i="16"/>
  <c r="BE38" i="16"/>
  <c r="BD38" i="16"/>
  <c r="BC38" i="16"/>
  <c r="BB38" i="16"/>
  <c r="AY38" i="16"/>
  <c r="AX38" i="16"/>
  <c r="AW38" i="16"/>
  <c r="AV38" i="16"/>
  <c r="AS38" i="16"/>
  <c r="AR38" i="16"/>
  <c r="AQ38" i="16"/>
  <c r="AP38" i="16"/>
  <c r="AM38" i="16"/>
  <c r="AL38" i="16"/>
  <c r="AK38" i="16"/>
  <c r="AJ38" i="16"/>
  <c r="AG38" i="16"/>
  <c r="AF38" i="16"/>
  <c r="AE38" i="16"/>
  <c r="AD38" i="16"/>
  <c r="AA38" i="16"/>
  <c r="Z38" i="16"/>
  <c r="Y38" i="16"/>
  <c r="X38" i="16"/>
  <c r="U38" i="16"/>
  <c r="T38" i="16"/>
  <c r="S38" i="16"/>
  <c r="R38" i="16"/>
  <c r="O38" i="16"/>
  <c r="N38" i="16"/>
  <c r="M38" i="16"/>
  <c r="L38" i="16"/>
  <c r="I38" i="16"/>
  <c r="H38" i="16"/>
  <c r="G38" i="16"/>
  <c r="F38" i="16"/>
  <c r="OW37" i="16"/>
  <c r="OV37" i="16"/>
  <c r="OU37" i="16"/>
  <c r="OT37" i="16"/>
  <c r="OS37" i="16"/>
  <c r="OR37" i="16"/>
  <c r="OQ37" i="16"/>
  <c r="OP37" i="16"/>
  <c r="OO37" i="16"/>
  <c r="ON37" i="16"/>
  <c r="OK37" i="16"/>
  <c r="OJ37" i="16"/>
  <c r="OI37" i="16"/>
  <c r="OH37" i="16"/>
  <c r="OG37" i="16"/>
  <c r="OF37" i="16"/>
  <c r="OE37" i="16"/>
  <c r="OB37" i="16"/>
  <c r="OA37" i="16"/>
  <c r="NZ37" i="16"/>
  <c r="NY37" i="16"/>
  <c r="NX37" i="16"/>
  <c r="NW37" i="16"/>
  <c r="NV37" i="16"/>
  <c r="NS37" i="16"/>
  <c r="NR37" i="16"/>
  <c r="NQ37" i="16"/>
  <c r="NP37" i="16"/>
  <c r="NO37" i="16"/>
  <c r="NN37" i="16"/>
  <c r="NM37" i="16"/>
  <c r="NJ37" i="16"/>
  <c r="NI37" i="16"/>
  <c r="NH37" i="16"/>
  <c r="NG37" i="16"/>
  <c r="NF37" i="16"/>
  <c r="NE37" i="16"/>
  <c r="ND37" i="16"/>
  <c r="NA37" i="16"/>
  <c r="MZ37" i="16"/>
  <c r="MY37" i="16"/>
  <c r="MX37" i="16"/>
  <c r="MW37" i="16"/>
  <c r="MV37" i="16"/>
  <c r="MU37" i="16"/>
  <c r="MR37" i="16"/>
  <c r="MQ37" i="16"/>
  <c r="MP37" i="16"/>
  <c r="MO37" i="16"/>
  <c r="MN37" i="16"/>
  <c r="MM37" i="16"/>
  <c r="ML37" i="16"/>
  <c r="MI37" i="16"/>
  <c r="MH37" i="16"/>
  <c r="MG37" i="16"/>
  <c r="MF37" i="16"/>
  <c r="ME37" i="16"/>
  <c r="MD37" i="16"/>
  <c r="MC37" i="16"/>
  <c r="LZ37" i="16"/>
  <c r="LY37" i="16"/>
  <c r="LX37" i="16"/>
  <c r="LW37" i="16"/>
  <c r="LV37" i="16"/>
  <c r="LU37" i="16"/>
  <c r="LT37" i="16"/>
  <c r="LQ37" i="16"/>
  <c r="LP37" i="16"/>
  <c r="LO37" i="16"/>
  <c r="LN37" i="16"/>
  <c r="LM37" i="16"/>
  <c r="LL37" i="16"/>
  <c r="LK37" i="16"/>
  <c r="LH37" i="16"/>
  <c r="LG37" i="16"/>
  <c r="LF37" i="16"/>
  <c r="LE37" i="16"/>
  <c r="LD37" i="16"/>
  <c r="LC37" i="16"/>
  <c r="LB37" i="16"/>
  <c r="KY37" i="16"/>
  <c r="KX37" i="16"/>
  <c r="KW37" i="16"/>
  <c r="KV37" i="16"/>
  <c r="KU37" i="16"/>
  <c r="KT37" i="16"/>
  <c r="KS37" i="16"/>
  <c r="KP37" i="16"/>
  <c r="KO37" i="16"/>
  <c r="KN37" i="16"/>
  <c r="KM37" i="16"/>
  <c r="KL37" i="16"/>
  <c r="KK37" i="16"/>
  <c r="KJ37" i="16"/>
  <c r="KG37" i="16"/>
  <c r="KF37" i="16"/>
  <c r="KE37" i="16"/>
  <c r="KD37" i="16"/>
  <c r="KC37" i="16"/>
  <c r="KB37" i="16"/>
  <c r="KA37" i="16"/>
  <c r="JX37" i="16"/>
  <c r="JW37" i="16"/>
  <c r="JV37" i="16"/>
  <c r="JU37" i="16"/>
  <c r="JT37" i="16"/>
  <c r="JS37" i="16"/>
  <c r="JR37" i="16"/>
  <c r="JO37" i="16"/>
  <c r="JN37" i="16"/>
  <c r="JM37" i="16"/>
  <c r="JL37" i="16"/>
  <c r="JK37" i="16"/>
  <c r="JJ37" i="16"/>
  <c r="JI37" i="16"/>
  <c r="JF37" i="16"/>
  <c r="JE37" i="16"/>
  <c r="JD37" i="16"/>
  <c r="JC37" i="16"/>
  <c r="JB37" i="16"/>
  <c r="JA37" i="16"/>
  <c r="IZ37" i="16"/>
  <c r="IQ37" i="16"/>
  <c r="IP37" i="16"/>
  <c r="IO37" i="16"/>
  <c r="IN37" i="16"/>
  <c r="IM37" i="16"/>
  <c r="IL37" i="16"/>
  <c r="IK37" i="16"/>
  <c r="IJ37" i="16"/>
  <c r="II37" i="16"/>
  <c r="IF37" i="16"/>
  <c r="IE37" i="16"/>
  <c r="ID37" i="16"/>
  <c r="IC37" i="16"/>
  <c r="IB37" i="16"/>
  <c r="IA37" i="16"/>
  <c r="HX37" i="16"/>
  <c r="HW37" i="16"/>
  <c r="HV37" i="16"/>
  <c r="HU37" i="16"/>
  <c r="HT37" i="16"/>
  <c r="HS37" i="16"/>
  <c r="HP37" i="16"/>
  <c r="HO37" i="16"/>
  <c r="HN37" i="16"/>
  <c r="HM37" i="16"/>
  <c r="HL37" i="16"/>
  <c r="HK37" i="16"/>
  <c r="HH37" i="16"/>
  <c r="HG37" i="16"/>
  <c r="HF37" i="16"/>
  <c r="HE37" i="16"/>
  <c r="HD37" i="16"/>
  <c r="HC37" i="16"/>
  <c r="GZ37" i="16"/>
  <c r="GY37" i="16"/>
  <c r="GX37" i="16"/>
  <c r="GW37" i="16"/>
  <c r="GV37" i="16"/>
  <c r="GU37" i="16"/>
  <c r="GR37" i="16"/>
  <c r="GQ37" i="16"/>
  <c r="GP37" i="16"/>
  <c r="GO37" i="16"/>
  <c r="GN37" i="16"/>
  <c r="GM37" i="16"/>
  <c r="GJ37" i="16"/>
  <c r="GI37" i="16"/>
  <c r="GH37" i="16"/>
  <c r="GG37" i="16"/>
  <c r="GF37" i="16"/>
  <c r="GE37" i="16"/>
  <c r="GB37" i="16"/>
  <c r="GA37" i="16"/>
  <c r="FZ37" i="16"/>
  <c r="FY37" i="16"/>
  <c r="FX37" i="16"/>
  <c r="FW37" i="16"/>
  <c r="FT37" i="16"/>
  <c r="FS37" i="16"/>
  <c r="FR37" i="16"/>
  <c r="FQ37" i="16"/>
  <c r="FP37" i="16"/>
  <c r="FO37" i="16"/>
  <c r="FL37" i="16"/>
  <c r="FK37" i="16"/>
  <c r="FJ37" i="16"/>
  <c r="FI37" i="16"/>
  <c r="FH37" i="16"/>
  <c r="FG37" i="16"/>
  <c r="FD37" i="16"/>
  <c r="FC37" i="16"/>
  <c r="FB37" i="16"/>
  <c r="FA37" i="16"/>
  <c r="EZ37" i="16"/>
  <c r="EY37" i="16"/>
  <c r="EV37" i="16"/>
  <c r="EU37" i="16"/>
  <c r="ET37" i="16"/>
  <c r="ES37" i="16"/>
  <c r="ER37" i="16"/>
  <c r="EQ37" i="16"/>
  <c r="EN37" i="16"/>
  <c r="EM37" i="16"/>
  <c r="EL37" i="16"/>
  <c r="EK37" i="16"/>
  <c r="EJ37" i="16"/>
  <c r="EI37" i="16"/>
  <c r="EF37" i="16"/>
  <c r="EE37" i="16"/>
  <c r="ED37" i="16"/>
  <c r="EC37" i="16"/>
  <c r="EB37" i="16"/>
  <c r="EA37" i="16"/>
  <c r="DX37" i="16"/>
  <c r="DW37" i="16"/>
  <c r="DV37" i="16"/>
  <c r="DU37" i="16"/>
  <c r="DT37" i="16"/>
  <c r="DS37" i="16"/>
  <c r="DP37" i="16"/>
  <c r="DO37" i="16"/>
  <c r="DN37" i="16"/>
  <c r="DM37" i="16"/>
  <c r="DL37" i="16"/>
  <c r="DK37" i="16"/>
  <c r="DG37" i="16"/>
  <c r="DE37" i="16"/>
  <c r="DD37" i="16"/>
  <c r="DC37" i="16"/>
  <c r="DA37" i="16"/>
  <c r="CZ37" i="16"/>
  <c r="CY37" i="16"/>
  <c r="CX37" i="16"/>
  <c r="CU37" i="16"/>
  <c r="CT37" i="16"/>
  <c r="CS37" i="16"/>
  <c r="CR37" i="16"/>
  <c r="CO37" i="16"/>
  <c r="CN37" i="16"/>
  <c r="CM37" i="16"/>
  <c r="CL37" i="16"/>
  <c r="CI37" i="16"/>
  <c r="CH37" i="16"/>
  <c r="CG37" i="16"/>
  <c r="CF37" i="16"/>
  <c r="CC37" i="16"/>
  <c r="CB37" i="16"/>
  <c r="CA37" i="16"/>
  <c r="BZ37" i="16"/>
  <c r="BW37" i="16"/>
  <c r="BV37" i="16"/>
  <c r="BU37" i="16"/>
  <c r="BT37" i="16"/>
  <c r="BQ37" i="16"/>
  <c r="BP37" i="16"/>
  <c r="BO37" i="16"/>
  <c r="BN37" i="16"/>
  <c r="BK37" i="16"/>
  <c r="BJ37" i="16"/>
  <c r="BI37" i="16"/>
  <c r="BH37" i="16"/>
  <c r="BE37" i="16"/>
  <c r="BD37" i="16"/>
  <c r="BC37" i="16"/>
  <c r="BB37" i="16"/>
  <c r="AY37" i="16"/>
  <c r="AX37" i="16"/>
  <c r="AW37" i="16"/>
  <c r="AV37" i="16"/>
  <c r="AS37" i="16"/>
  <c r="AR37" i="16"/>
  <c r="AQ37" i="16"/>
  <c r="AP37" i="16"/>
  <c r="AM37" i="16"/>
  <c r="AL37" i="16"/>
  <c r="AK37" i="16"/>
  <c r="AJ37" i="16"/>
  <c r="AG37" i="16"/>
  <c r="AF37" i="16"/>
  <c r="AE37" i="16"/>
  <c r="AD37" i="16"/>
  <c r="AA37" i="16"/>
  <c r="Z37" i="16"/>
  <c r="Y37" i="16"/>
  <c r="X37" i="16"/>
  <c r="U37" i="16"/>
  <c r="T37" i="16"/>
  <c r="S37" i="16"/>
  <c r="R37" i="16"/>
  <c r="O37" i="16"/>
  <c r="N37" i="16"/>
  <c r="M37" i="16"/>
  <c r="L37" i="16"/>
  <c r="I37" i="16"/>
  <c r="H37" i="16"/>
  <c r="G37" i="16"/>
  <c r="F37" i="16"/>
  <c r="OW36" i="16"/>
  <c r="OV36" i="16"/>
  <c r="OU36" i="16"/>
  <c r="OT36" i="16"/>
  <c r="OS36" i="16"/>
  <c r="OR36" i="16"/>
  <c r="OQ36" i="16"/>
  <c r="OP36" i="16"/>
  <c r="OO36" i="16"/>
  <c r="ON36" i="16"/>
  <c r="OK36" i="16"/>
  <c r="OJ36" i="16"/>
  <c r="OI36" i="16"/>
  <c r="OH36" i="16"/>
  <c r="OG36" i="16"/>
  <c r="OF36" i="16"/>
  <c r="OE36" i="16"/>
  <c r="OB36" i="16"/>
  <c r="OA36" i="16"/>
  <c r="NZ36" i="16"/>
  <c r="NY36" i="16"/>
  <c r="NX36" i="16"/>
  <c r="NW36" i="16"/>
  <c r="NV36" i="16"/>
  <c r="NS36" i="16"/>
  <c r="NR36" i="16"/>
  <c r="NQ36" i="16"/>
  <c r="NP36" i="16"/>
  <c r="NO36" i="16"/>
  <c r="NN36" i="16"/>
  <c r="NM36" i="16"/>
  <c r="NJ36" i="16"/>
  <c r="NI36" i="16"/>
  <c r="NH36" i="16"/>
  <c r="NG36" i="16"/>
  <c r="NF36" i="16"/>
  <c r="NE36" i="16"/>
  <c r="ND36" i="16"/>
  <c r="NA36" i="16"/>
  <c r="MZ36" i="16"/>
  <c r="MY36" i="16"/>
  <c r="MX36" i="16"/>
  <c r="MW36" i="16"/>
  <c r="MV36" i="16"/>
  <c r="MU36" i="16"/>
  <c r="MR36" i="16"/>
  <c r="MQ36" i="16"/>
  <c r="MP36" i="16"/>
  <c r="MO36" i="16"/>
  <c r="MN36" i="16"/>
  <c r="MM36" i="16"/>
  <c r="ML36" i="16"/>
  <c r="MI36" i="16"/>
  <c r="MH36" i="16"/>
  <c r="MG36" i="16"/>
  <c r="MF36" i="16"/>
  <c r="ME36" i="16"/>
  <c r="MD36" i="16"/>
  <c r="MC36" i="16"/>
  <c r="LZ36" i="16"/>
  <c r="LY36" i="16"/>
  <c r="LX36" i="16"/>
  <c r="LW36" i="16"/>
  <c r="LV36" i="16"/>
  <c r="LU36" i="16"/>
  <c r="LT36" i="16"/>
  <c r="LQ36" i="16"/>
  <c r="LP36" i="16"/>
  <c r="LO36" i="16"/>
  <c r="LN36" i="16"/>
  <c r="LM36" i="16"/>
  <c r="LL36" i="16"/>
  <c r="LK36" i="16"/>
  <c r="LH36" i="16"/>
  <c r="LG36" i="16"/>
  <c r="LF36" i="16"/>
  <c r="LE36" i="16"/>
  <c r="LD36" i="16"/>
  <c r="LC36" i="16"/>
  <c r="LB36" i="16"/>
  <c r="KY36" i="16"/>
  <c r="KX36" i="16"/>
  <c r="KW36" i="16"/>
  <c r="KV36" i="16"/>
  <c r="KU36" i="16"/>
  <c r="KT36" i="16"/>
  <c r="KS36" i="16"/>
  <c r="KP36" i="16"/>
  <c r="KO36" i="16"/>
  <c r="KN36" i="16"/>
  <c r="KM36" i="16"/>
  <c r="KL36" i="16"/>
  <c r="KK36" i="16"/>
  <c r="KJ36" i="16"/>
  <c r="KG36" i="16"/>
  <c r="KF36" i="16"/>
  <c r="KE36" i="16"/>
  <c r="KD36" i="16"/>
  <c r="KC36" i="16"/>
  <c r="KB36" i="16"/>
  <c r="KA36" i="16"/>
  <c r="JX36" i="16"/>
  <c r="JW36" i="16"/>
  <c r="JV36" i="16"/>
  <c r="JU36" i="16"/>
  <c r="JT36" i="16"/>
  <c r="JS36" i="16"/>
  <c r="JR36" i="16"/>
  <c r="JO36" i="16"/>
  <c r="JN36" i="16"/>
  <c r="JM36" i="16"/>
  <c r="JL36" i="16"/>
  <c r="JK36" i="16"/>
  <c r="JJ36" i="16"/>
  <c r="JI36" i="16"/>
  <c r="JF36" i="16"/>
  <c r="JE36" i="16"/>
  <c r="JD36" i="16"/>
  <c r="JC36" i="16"/>
  <c r="JB36" i="16"/>
  <c r="JA36" i="16"/>
  <c r="IZ36" i="16"/>
  <c r="IQ36" i="16"/>
  <c r="IP36" i="16"/>
  <c r="IO36" i="16"/>
  <c r="IN36" i="16"/>
  <c r="IM36" i="16"/>
  <c r="IL36" i="16"/>
  <c r="IK36" i="16"/>
  <c r="IJ36" i="16"/>
  <c r="II36" i="16"/>
  <c r="IF36" i="16"/>
  <c r="IE36" i="16"/>
  <c r="ID36" i="16"/>
  <c r="IC36" i="16"/>
  <c r="IB36" i="16"/>
  <c r="IA36" i="16"/>
  <c r="HX36" i="16"/>
  <c r="HW36" i="16"/>
  <c r="HV36" i="16"/>
  <c r="HU36" i="16"/>
  <c r="HT36" i="16"/>
  <c r="HS36" i="16"/>
  <c r="HP36" i="16"/>
  <c r="HO36" i="16"/>
  <c r="HN36" i="16"/>
  <c r="HM36" i="16"/>
  <c r="HL36" i="16"/>
  <c r="HK36" i="16"/>
  <c r="HH36" i="16"/>
  <c r="HG36" i="16"/>
  <c r="HF36" i="16"/>
  <c r="HE36" i="16"/>
  <c r="HD36" i="16"/>
  <c r="HC36" i="16"/>
  <c r="GZ36" i="16"/>
  <c r="GY36" i="16"/>
  <c r="GX36" i="16"/>
  <c r="GW36" i="16"/>
  <c r="GV36" i="16"/>
  <c r="GU36" i="16"/>
  <c r="GR36" i="16"/>
  <c r="GQ36" i="16"/>
  <c r="GP36" i="16"/>
  <c r="GO36" i="16"/>
  <c r="GN36" i="16"/>
  <c r="GM36" i="16"/>
  <c r="GJ36" i="16"/>
  <c r="GI36" i="16"/>
  <c r="GH36" i="16"/>
  <c r="GG36" i="16"/>
  <c r="GF36" i="16"/>
  <c r="GE36" i="16"/>
  <c r="GB36" i="16"/>
  <c r="GA36" i="16"/>
  <c r="FZ36" i="16"/>
  <c r="FY36" i="16"/>
  <c r="FX36" i="16"/>
  <c r="FW36" i="16"/>
  <c r="FT36" i="16"/>
  <c r="FS36" i="16"/>
  <c r="FR36" i="16"/>
  <c r="FQ36" i="16"/>
  <c r="FP36" i="16"/>
  <c r="FO36" i="16"/>
  <c r="FL36" i="16"/>
  <c r="FK36" i="16"/>
  <c r="FJ36" i="16"/>
  <c r="FI36" i="16"/>
  <c r="FH36" i="16"/>
  <c r="FG36" i="16"/>
  <c r="FD36" i="16"/>
  <c r="FC36" i="16"/>
  <c r="FB36" i="16"/>
  <c r="FA36" i="16"/>
  <c r="EZ36" i="16"/>
  <c r="EY36" i="16"/>
  <c r="EV36" i="16"/>
  <c r="EU36" i="16"/>
  <c r="ET36" i="16"/>
  <c r="ES36" i="16"/>
  <c r="ER36" i="16"/>
  <c r="EQ36" i="16"/>
  <c r="EN36" i="16"/>
  <c r="EM36" i="16"/>
  <c r="EL36" i="16"/>
  <c r="EK36" i="16"/>
  <c r="EJ36" i="16"/>
  <c r="EI36" i="16"/>
  <c r="EF36" i="16"/>
  <c r="EE36" i="16"/>
  <c r="ED36" i="16"/>
  <c r="EC36" i="16"/>
  <c r="EB36" i="16"/>
  <c r="EA36" i="16"/>
  <c r="DX36" i="16"/>
  <c r="DW36" i="16"/>
  <c r="DV36" i="16"/>
  <c r="DU36" i="16"/>
  <c r="DT36" i="16"/>
  <c r="DS36" i="16"/>
  <c r="DP36" i="16"/>
  <c r="DO36" i="16"/>
  <c r="DN36" i="16"/>
  <c r="DM36" i="16"/>
  <c r="DL36" i="16"/>
  <c r="DK36" i="16"/>
  <c r="DG36" i="16"/>
  <c r="DE36" i="16"/>
  <c r="DD36" i="16"/>
  <c r="DC36" i="16"/>
  <c r="DA36" i="16"/>
  <c r="CZ36" i="16"/>
  <c r="CY36" i="16"/>
  <c r="CX36" i="16"/>
  <c r="CU36" i="16"/>
  <c r="CT36" i="16"/>
  <c r="CS36" i="16"/>
  <c r="CR36" i="16"/>
  <c r="CO36" i="16"/>
  <c r="CN36" i="16"/>
  <c r="CM36" i="16"/>
  <c r="CL36" i="16"/>
  <c r="CI36" i="16"/>
  <c r="CH36" i="16"/>
  <c r="CG36" i="16"/>
  <c r="CF36" i="16"/>
  <c r="CC36" i="16"/>
  <c r="CB36" i="16"/>
  <c r="CA36" i="16"/>
  <c r="BZ36" i="16"/>
  <c r="BW36" i="16"/>
  <c r="BV36" i="16"/>
  <c r="BU36" i="16"/>
  <c r="BT36" i="16"/>
  <c r="BQ36" i="16"/>
  <c r="BP36" i="16"/>
  <c r="BO36" i="16"/>
  <c r="BN36" i="16"/>
  <c r="BK36" i="16"/>
  <c r="BJ36" i="16"/>
  <c r="BI36" i="16"/>
  <c r="BH36" i="16"/>
  <c r="BE36" i="16"/>
  <c r="BD36" i="16"/>
  <c r="BC36" i="16"/>
  <c r="BB36" i="16"/>
  <c r="AY36" i="16"/>
  <c r="AX36" i="16"/>
  <c r="AW36" i="16"/>
  <c r="AV36" i="16"/>
  <c r="AS36" i="16"/>
  <c r="AR36" i="16"/>
  <c r="AQ36" i="16"/>
  <c r="AP36" i="16"/>
  <c r="AM36" i="16"/>
  <c r="AL36" i="16"/>
  <c r="AK36" i="16"/>
  <c r="AJ36" i="16"/>
  <c r="AG36" i="16"/>
  <c r="AF36" i="16"/>
  <c r="AE36" i="16"/>
  <c r="AD36" i="16"/>
  <c r="AA36" i="16"/>
  <c r="Z36" i="16"/>
  <c r="Y36" i="16"/>
  <c r="X36" i="16"/>
  <c r="U36" i="16"/>
  <c r="T36" i="16"/>
  <c r="S36" i="16"/>
  <c r="R36" i="16"/>
  <c r="O36" i="16"/>
  <c r="N36" i="16"/>
  <c r="M36" i="16"/>
  <c r="L36" i="16"/>
  <c r="I36" i="16"/>
  <c r="H36" i="16"/>
  <c r="G36" i="16"/>
  <c r="F36" i="16"/>
  <c r="OW35" i="16"/>
  <c r="OV35" i="16"/>
  <c r="OU35" i="16"/>
  <c r="OT35" i="16"/>
  <c r="OS35" i="16"/>
  <c r="OR35" i="16"/>
  <c r="OQ35" i="16"/>
  <c r="OP35" i="16"/>
  <c r="OO35" i="16"/>
  <c r="ON35" i="16"/>
  <c r="OK35" i="16"/>
  <c r="OJ35" i="16"/>
  <c r="OI35" i="16"/>
  <c r="OH35" i="16"/>
  <c r="OG35" i="16"/>
  <c r="OF35" i="16"/>
  <c r="OE35" i="16"/>
  <c r="OB35" i="16"/>
  <c r="OA35" i="16"/>
  <c r="NZ35" i="16"/>
  <c r="NY35" i="16"/>
  <c r="NX35" i="16"/>
  <c r="NW35" i="16"/>
  <c r="NV35" i="16"/>
  <c r="NS35" i="16"/>
  <c r="NR35" i="16"/>
  <c r="NQ35" i="16"/>
  <c r="NP35" i="16"/>
  <c r="NO35" i="16"/>
  <c r="NN35" i="16"/>
  <c r="NM35" i="16"/>
  <c r="NJ35" i="16"/>
  <c r="NI35" i="16"/>
  <c r="NH35" i="16"/>
  <c r="NG35" i="16"/>
  <c r="NF35" i="16"/>
  <c r="NE35" i="16"/>
  <c r="ND35" i="16"/>
  <c r="NA35" i="16"/>
  <c r="MZ35" i="16"/>
  <c r="MY35" i="16"/>
  <c r="MX35" i="16"/>
  <c r="MW35" i="16"/>
  <c r="MV35" i="16"/>
  <c r="MU35" i="16"/>
  <c r="MR35" i="16"/>
  <c r="MQ35" i="16"/>
  <c r="MP35" i="16"/>
  <c r="MO35" i="16"/>
  <c r="MN35" i="16"/>
  <c r="MM35" i="16"/>
  <c r="ML35" i="16"/>
  <c r="MI35" i="16"/>
  <c r="MH35" i="16"/>
  <c r="MG35" i="16"/>
  <c r="MF35" i="16"/>
  <c r="ME35" i="16"/>
  <c r="MD35" i="16"/>
  <c r="MC35" i="16"/>
  <c r="LZ35" i="16"/>
  <c r="LY35" i="16"/>
  <c r="LX35" i="16"/>
  <c r="LW35" i="16"/>
  <c r="LV35" i="16"/>
  <c r="LU35" i="16"/>
  <c r="LT35" i="16"/>
  <c r="LQ35" i="16"/>
  <c r="LP35" i="16"/>
  <c r="LO35" i="16"/>
  <c r="LN35" i="16"/>
  <c r="LM35" i="16"/>
  <c r="LL35" i="16"/>
  <c r="LK35" i="16"/>
  <c r="LH35" i="16"/>
  <c r="LG35" i="16"/>
  <c r="LF35" i="16"/>
  <c r="LE35" i="16"/>
  <c r="LD35" i="16"/>
  <c r="LC35" i="16"/>
  <c r="LB35" i="16"/>
  <c r="KY35" i="16"/>
  <c r="KX35" i="16"/>
  <c r="KW35" i="16"/>
  <c r="KV35" i="16"/>
  <c r="KU35" i="16"/>
  <c r="KT35" i="16"/>
  <c r="KS35" i="16"/>
  <c r="KP35" i="16"/>
  <c r="KO35" i="16"/>
  <c r="KN35" i="16"/>
  <c r="KM35" i="16"/>
  <c r="KL35" i="16"/>
  <c r="KK35" i="16"/>
  <c r="KJ35" i="16"/>
  <c r="KG35" i="16"/>
  <c r="KF35" i="16"/>
  <c r="KE35" i="16"/>
  <c r="KD35" i="16"/>
  <c r="KC35" i="16"/>
  <c r="KB35" i="16"/>
  <c r="KA35" i="16"/>
  <c r="JX35" i="16"/>
  <c r="JW35" i="16"/>
  <c r="JV35" i="16"/>
  <c r="JU35" i="16"/>
  <c r="JT35" i="16"/>
  <c r="JS35" i="16"/>
  <c r="JR35" i="16"/>
  <c r="JO35" i="16"/>
  <c r="JN35" i="16"/>
  <c r="JM35" i="16"/>
  <c r="JL35" i="16"/>
  <c r="JK35" i="16"/>
  <c r="JJ35" i="16"/>
  <c r="JI35" i="16"/>
  <c r="JF35" i="16"/>
  <c r="JE35" i="16"/>
  <c r="JD35" i="16"/>
  <c r="JC35" i="16"/>
  <c r="JB35" i="16"/>
  <c r="JA35" i="16"/>
  <c r="IZ35" i="16"/>
  <c r="IQ35" i="16"/>
  <c r="IP35" i="16"/>
  <c r="IO35" i="16"/>
  <c r="IN35" i="16"/>
  <c r="IM35" i="16"/>
  <c r="IL35" i="16"/>
  <c r="IK35" i="16"/>
  <c r="IJ35" i="16"/>
  <c r="II35" i="16"/>
  <c r="IF35" i="16"/>
  <c r="IE35" i="16"/>
  <c r="ID35" i="16"/>
  <c r="IC35" i="16"/>
  <c r="IB35" i="16"/>
  <c r="IA35" i="16"/>
  <c r="HX35" i="16"/>
  <c r="HW35" i="16"/>
  <c r="HV35" i="16"/>
  <c r="HU35" i="16"/>
  <c r="HT35" i="16"/>
  <c r="HS35" i="16"/>
  <c r="HP35" i="16"/>
  <c r="HO35" i="16"/>
  <c r="HN35" i="16"/>
  <c r="HM35" i="16"/>
  <c r="HL35" i="16"/>
  <c r="HK35" i="16"/>
  <c r="HH35" i="16"/>
  <c r="HG35" i="16"/>
  <c r="HF35" i="16"/>
  <c r="HE35" i="16"/>
  <c r="HD35" i="16"/>
  <c r="HC35" i="16"/>
  <c r="GZ35" i="16"/>
  <c r="GY35" i="16"/>
  <c r="GX35" i="16"/>
  <c r="GW35" i="16"/>
  <c r="GV35" i="16"/>
  <c r="GU35" i="16"/>
  <c r="GR35" i="16"/>
  <c r="GQ35" i="16"/>
  <c r="GP35" i="16"/>
  <c r="GO35" i="16"/>
  <c r="GN35" i="16"/>
  <c r="GM35" i="16"/>
  <c r="GJ35" i="16"/>
  <c r="GI35" i="16"/>
  <c r="GH35" i="16"/>
  <c r="GG35" i="16"/>
  <c r="GF35" i="16"/>
  <c r="GE35" i="16"/>
  <c r="GB35" i="16"/>
  <c r="GA35" i="16"/>
  <c r="FZ35" i="16"/>
  <c r="FY35" i="16"/>
  <c r="FX35" i="16"/>
  <c r="FW35" i="16"/>
  <c r="FT35" i="16"/>
  <c r="FS35" i="16"/>
  <c r="FR35" i="16"/>
  <c r="FQ35" i="16"/>
  <c r="FP35" i="16"/>
  <c r="FO35" i="16"/>
  <c r="FL35" i="16"/>
  <c r="FK35" i="16"/>
  <c r="FJ35" i="16"/>
  <c r="FI35" i="16"/>
  <c r="FH35" i="16"/>
  <c r="FG35" i="16"/>
  <c r="FD35" i="16"/>
  <c r="FC35" i="16"/>
  <c r="FB35" i="16"/>
  <c r="FA35" i="16"/>
  <c r="EZ35" i="16"/>
  <c r="EY35" i="16"/>
  <c r="EV35" i="16"/>
  <c r="EU35" i="16"/>
  <c r="ET35" i="16"/>
  <c r="ES35" i="16"/>
  <c r="ER35" i="16"/>
  <c r="EQ35" i="16"/>
  <c r="EN35" i="16"/>
  <c r="EM35" i="16"/>
  <c r="EL35" i="16"/>
  <c r="EK35" i="16"/>
  <c r="EJ35" i="16"/>
  <c r="EI35" i="16"/>
  <c r="EF35" i="16"/>
  <c r="EE35" i="16"/>
  <c r="ED35" i="16"/>
  <c r="EC35" i="16"/>
  <c r="EB35" i="16"/>
  <c r="EA35" i="16"/>
  <c r="DX35" i="16"/>
  <c r="DW35" i="16"/>
  <c r="DV35" i="16"/>
  <c r="DU35" i="16"/>
  <c r="DT35" i="16"/>
  <c r="DS35" i="16"/>
  <c r="DP35" i="16"/>
  <c r="DO35" i="16"/>
  <c r="DN35" i="16"/>
  <c r="DM35" i="16"/>
  <c r="DL35" i="16"/>
  <c r="DK35" i="16"/>
  <c r="DG35" i="16"/>
  <c r="DE35" i="16"/>
  <c r="DD35" i="16"/>
  <c r="DC35" i="16"/>
  <c r="DA35" i="16"/>
  <c r="CZ35" i="16"/>
  <c r="CY35" i="16"/>
  <c r="CX35" i="16"/>
  <c r="CU35" i="16"/>
  <c r="CT35" i="16"/>
  <c r="CS35" i="16"/>
  <c r="CR35" i="16"/>
  <c r="CO35" i="16"/>
  <c r="CN35" i="16"/>
  <c r="CM35" i="16"/>
  <c r="CL35" i="16"/>
  <c r="CI35" i="16"/>
  <c r="CH35" i="16"/>
  <c r="CG35" i="16"/>
  <c r="CF35" i="16"/>
  <c r="CC35" i="16"/>
  <c r="CB35" i="16"/>
  <c r="CA35" i="16"/>
  <c r="BZ35" i="16"/>
  <c r="BW35" i="16"/>
  <c r="BV35" i="16"/>
  <c r="BU35" i="16"/>
  <c r="BT35" i="16"/>
  <c r="BQ35" i="16"/>
  <c r="BP35" i="16"/>
  <c r="BO35" i="16"/>
  <c r="BN35" i="16"/>
  <c r="BK35" i="16"/>
  <c r="BJ35" i="16"/>
  <c r="BI35" i="16"/>
  <c r="BH35" i="16"/>
  <c r="BE35" i="16"/>
  <c r="BD35" i="16"/>
  <c r="BC35" i="16"/>
  <c r="BB35" i="16"/>
  <c r="AY35" i="16"/>
  <c r="AX35" i="16"/>
  <c r="AW35" i="16"/>
  <c r="AV35" i="16"/>
  <c r="AS35" i="16"/>
  <c r="AR35" i="16"/>
  <c r="AQ35" i="16"/>
  <c r="AP35" i="16"/>
  <c r="AM35" i="16"/>
  <c r="AL35" i="16"/>
  <c r="AK35" i="16"/>
  <c r="AJ35" i="16"/>
  <c r="AG35" i="16"/>
  <c r="AF35" i="16"/>
  <c r="AE35" i="16"/>
  <c r="AD35" i="16"/>
  <c r="AA35" i="16"/>
  <c r="Z35" i="16"/>
  <c r="Y35" i="16"/>
  <c r="X35" i="16"/>
  <c r="U35" i="16"/>
  <c r="T35" i="16"/>
  <c r="S35" i="16"/>
  <c r="R35" i="16"/>
  <c r="O35" i="16"/>
  <c r="N35" i="16"/>
  <c r="M35" i="16"/>
  <c r="L35" i="16"/>
  <c r="I35" i="16"/>
  <c r="H35" i="16"/>
  <c r="G35" i="16"/>
  <c r="F35" i="16"/>
  <c r="OW34" i="16"/>
  <c r="OV34" i="16"/>
  <c r="OU34" i="16"/>
  <c r="OT34" i="16"/>
  <c r="OS34" i="16"/>
  <c r="OR34" i="16"/>
  <c r="OQ34" i="16"/>
  <c r="OP34" i="16"/>
  <c r="OO34" i="16"/>
  <c r="ON34" i="16"/>
  <c r="OK34" i="16"/>
  <c r="OJ34" i="16"/>
  <c r="OI34" i="16"/>
  <c r="OH34" i="16"/>
  <c r="OG34" i="16"/>
  <c r="OF34" i="16"/>
  <c r="OE34" i="16"/>
  <c r="OB34" i="16"/>
  <c r="OA34" i="16"/>
  <c r="NZ34" i="16"/>
  <c r="NY34" i="16"/>
  <c r="NX34" i="16"/>
  <c r="NW34" i="16"/>
  <c r="NV34" i="16"/>
  <c r="NS34" i="16"/>
  <c r="NR34" i="16"/>
  <c r="NQ34" i="16"/>
  <c r="NP34" i="16"/>
  <c r="NO34" i="16"/>
  <c r="NN34" i="16"/>
  <c r="NM34" i="16"/>
  <c r="NJ34" i="16"/>
  <c r="NI34" i="16"/>
  <c r="NH34" i="16"/>
  <c r="NG34" i="16"/>
  <c r="NF34" i="16"/>
  <c r="NE34" i="16"/>
  <c r="ND34" i="16"/>
  <c r="NA34" i="16"/>
  <c r="MZ34" i="16"/>
  <c r="MY34" i="16"/>
  <c r="MX34" i="16"/>
  <c r="MW34" i="16"/>
  <c r="MV34" i="16"/>
  <c r="MU34" i="16"/>
  <c r="MR34" i="16"/>
  <c r="MQ34" i="16"/>
  <c r="MP34" i="16"/>
  <c r="MO34" i="16"/>
  <c r="MN34" i="16"/>
  <c r="MM34" i="16"/>
  <c r="ML34" i="16"/>
  <c r="MI34" i="16"/>
  <c r="MH34" i="16"/>
  <c r="MG34" i="16"/>
  <c r="MF34" i="16"/>
  <c r="ME34" i="16"/>
  <c r="MD34" i="16"/>
  <c r="MC34" i="16"/>
  <c r="LZ34" i="16"/>
  <c r="LY34" i="16"/>
  <c r="LX34" i="16"/>
  <c r="LW34" i="16"/>
  <c r="LV34" i="16"/>
  <c r="LU34" i="16"/>
  <c r="LT34" i="16"/>
  <c r="LQ34" i="16"/>
  <c r="LP34" i="16"/>
  <c r="LO34" i="16"/>
  <c r="LN34" i="16"/>
  <c r="LM34" i="16"/>
  <c r="LL34" i="16"/>
  <c r="LK34" i="16"/>
  <c r="LH34" i="16"/>
  <c r="LG34" i="16"/>
  <c r="LF34" i="16"/>
  <c r="LE34" i="16"/>
  <c r="LD34" i="16"/>
  <c r="LC34" i="16"/>
  <c r="LB34" i="16"/>
  <c r="KY34" i="16"/>
  <c r="KX34" i="16"/>
  <c r="KW34" i="16"/>
  <c r="KV34" i="16"/>
  <c r="KU34" i="16"/>
  <c r="KT34" i="16"/>
  <c r="KS34" i="16"/>
  <c r="KP34" i="16"/>
  <c r="KO34" i="16"/>
  <c r="KN34" i="16"/>
  <c r="KM34" i="16"/>
  <c r="KL34" i="16"/>
  <c r="KK34" i="16"/>
  <c r="KJ34" i="16"/>
  <c r="KG34" i="16"/>
  <c r="KF34" i="16"/>
  <c r="KE34" i="16"/>
  <c r="KD34" i="16"/>
  <c r="KC34" i="16"/>
  <c r="KB34" i="16"/>
  <c r="KA34" i="16"/>
  <c r="JX34" i="16"/>
  <c r="JW34" i="16"/>
  <c r="JV34" i="16"/>
  <c r="JU34" i="16"/>
  <c r="JT34" i="16"/>
  <c r="JS34" i="16"/>
  <c r="JR34" i="16"/>
  <c r="JO34" i="16"/>
  <c r="JN34" i="16"/>
  <c r="JM34" i="16"/>
  <c r="JL34" i="16"/>
  <c r="JK34" i="16"/>
  <c r="JJ34" i="16"/>
  <c r="JI34" i="16"/>
  <c r="JF34" i="16"/>
  <c r="JE34" i="16"/>
  <c r="JD34" i="16"/>
  <c r="JC34" i="16"/>
  <c r="JB34" i="16"/>
  <c r="JA34" i="16"/>
  <c r="IZ34" i="16"/>
  <c r="IQ34" i="16"/>
  <c r="IP34" i="16"/>
  <c r="IO34" i="16"/>
  <c r="IN34" i="16"/>
  <c r="IM34" i="16"/>
  <c r="IL34" i="16"/>
  <c r="IK34" i="16"/>
  <c r="IJ34" i="16"/>
  <c r="II34" i="16"/>
  <c r="IF34" i="16"/>
  <c r="IE34" i="16"/>
  <c r="ID34" i="16"/>
  <c r="IC34" i="16"/>
  <c r="IB34" i="16"/>
  <c r="IA34" i="16"/>
  <c r="HX34" i="16"/>
  <c r="HW34" i="16"/>
  <c r="HV34" i="16"/>
  <c r="HU34" i="16"/>
  <c r="HT34" i="16"/>
  <c r="HS34" i="16"/>
  <c r="HP34" i="16"/>
  <c r="HO34" i="16"/>
  <c r="HN34" i="16"/>
  <c r="HM34" i="16"/>
  <c r="HL34" i="16"/>
  <c r="HK34" i="16"/>
  <c r="HH34" i="16"/>
  <c r="HG34" i="16"/>
  <c r="HF34" i="16"/>
  <c r="HE34" i="16"/>
  <c r="HD34" i="16"/>
  <c r="HC34" i="16"/>
  <c r="GZ34" i="16"/>
  <c r="GY34" i="16"/>
  <c r="GX34" i="16"/>
  <c r="GW34" i="16"/>
  <c r="GV34" i="16"/>
  <c r="GU34" i="16"/>
  <c r="GR34" i="16"/>
  <c r="GQ34" i="16"/>
  <c r="GP34" i="16"/>
  <c r="GO34" i="16"/>
  <c r="GN34" i="16"/>
  <c r="GM34" i="16"/>
  <c r="GJ34" i="16"/>
  <c r="GI34" i="16"/>
  <c r="GH34" i="16"/>
  <c r="GG34" i="16"/>
  <c r="GF34" i="16"/>
  <c r="GE34" i="16"/>
  <c r="GB34" i="16"/>
  <c r="GA34" i="16"/>
  <c r="FZ34" i="16"/>
  <c r="FY34" i="16"/>
  <c r="FX34" i="16"/>
  <c r="FW34" i="16"/>
  <c r="FT34" i="16"/>
  <c r="FS34" i="16"/>
  <c r="FR34" i="16"/>
  <c r="FQ34" i="16"/>
  <c r="FP34" i="16"/>
  <c r="FO34" i="16"/>
  <c r="FL34" i="16"/>
  <c r="FK34" i="16"/>
  <c r="FJ34" i="16"/>
  <c r="FI34" i="16"/>
  <c r="FH34" i="16"/>
  <c r="FG34" i="16"/>
  <c r="FD34" i="16"/>
  <c r="FC34" i="16"/>
  <c r="FB34" i="16"/>
  <c r="FA34" i="16"/>
  <c r="EZ34" i="16"/>
  <c r="EY34" i="16"/>
  <c r="EV34" i="16"/>
  <c r="EU34" i="16"/>
  <c r="ET34" i="16"/>
  <c r="ES34" i="16"/>
  <c r="ER34" i="16"/>
  <c r="EQ34" i="16"/>
  <c r="EN34" i="16"/>
  <c r="EM34" i="16"/>
  <c r="EL34" i="16"/>
  <c r="EK34" i="16"/>
  <c r="EJ34" i="16"/>
  <c r="EI34" i="16"/>
  <c r="EF34" i="16"/>
  <c r="EE34" i="16"/>
  <c r="ED34" i="16"/>
  <c r="EC34" i="16"/>
  <c r="EB34" i="16"/>
  <c r="EA34" i="16"/>
  <c r="DX34" i="16"/>
  <c r="DW34" i="16"/>
  <c r="DV34" i="16"/>
  <c r="DU34" i="16"/>
  <c r="DT34" i="16"/>
  <c r="DS34" i="16"/>
  <c r="DP34" i="16"/>
  <c r="DO34" i="16"/>
  <c r="DN34" i="16"/>
  <c r="DM34" i="16"/>
  <c r="DL34" i="16"/>
  <c r="DK34" i="16"/>
  <c r="DG34" i="16"/>
  <c r="DE34" i="16"/>
  <c r="DD34" i="16"/>
  <c r="DC34" i="16"/>
  <c r="DA34" i="16"/>
  <c r="CZ34" i="16"/>
  <c r="CY34" i="16"/>
  <c r="CX34" i="16"/>
  <c r="CU34" i="16"/>
  <c r="CT34" i="16"/>
  <c r="CS34" i="16"/>
  <c r="CR34" i="16"/>
  <c r="CO34" i="16"/>
  <c r="CN34" i="16"/>
  <c r="CM34" i="16"/>
  <c r="CL34" i="16"/>
  <c r="CI34" i="16"/>
  <c r="CH34" i="16"/>
  <c r="CG34" i="16"/>
  <c r="CF34" i="16"/>
  <c r="CC34" i="16"/>
  <c r="CB34" i="16"/>
  <c r="CA34" i="16"/>
  <c r="BZ34" i="16"/>
  <c r="BW34" i="16"/>
  <c r="BV34" i="16"/>
  <c r="BU34" i="16"/>
  <c r="BT34" i="16"/>
  <c r="BQ34" i="16"/>
  <c r="BP34" i="16"/>
  <c r="BO34" i="16"/>
  <c r="BN34" i="16"/>
  <c r="BK34" i="16"/>
  <c r="BJ34" i="16"/>
  <c r="BI34" i="16"/>
  <c r="BH34" i="16"/>
  <c r="BE34" i="16"/>
  <c r="BD34" i="16"/>
  <c r="BC34" i="16"/>
  <c r="BB34" i="16"/>
  <c r="AY34" i="16"/>
  <c r="AX34" i="16"/>
  <c r="AW34" i="16"/>
  <c r="AV34" i="16"/>
  <c r="AS34" i="16"/>
  <c r="AR34" i="16"/>
  <c r="AQ34" i="16"/>
  <c r="AP34" i="16"/>
  <c r="AM34" i="16"/>
  <c r="AL34" i="16"/>
  <c r="AK34" i="16"/>
  <c r="AJ34" i="16"/>
  <c r="AG34" i="16"/>
  <c r="AF34" i="16"/>
  <c r="AE34" i="16"/>
  <c r="AD34" i="16"/>
  <c r="AA34" i="16"/>
  <c r="Z34" i="16"/>
  <c r="Y34" i="16"/>
  <c r="X34" i="16"/>
  <c r="U34" i="16"/>
  <c r="T34" i="16"/>
  <c r="S34" i="16"/>
  <c r="R34" i="16"/>
  <c r="O34" i="16"/>
  <c r="N34" i="16"/>
  <c r="M34" i="16"/>
  <c r="L34" i="16"/>
  <c r="I34" i="16"/>
  <c r="H34" i="16"/>
  <c r="G34" i="16"/>
  <c r="F34" i="16"/>
  <c r="OW33" i="16"/>
  <c r="OV33" i="16"/>
  <c r="OU33" i="16"/>
  <c r="OT33" i="16"/>
  <c r="OS33" i="16"/>
  <c r="OR33" i="16"/>
  <c r="OQ33" i="16"/>
  <c r="OP33" i="16"/>
  <c r="OO33" i="16"/>
  <c r="ON33" i="16"/>
  <c r="OK33" i="16"/>
  <c r="OJ33" i="16"/>
  <c r="OI33" i="16"/>
  <c r="OH33" i="16"/>
  <c r="OG33" i="16"/>
  <c r="OF33" i="16"/>
  <c r="OE33" i="16"/>
  <c r="OB33" i="16"/>
  <c r="OA33" i="16"/>
  <c r="NZ33" i="16"/>
  <c r="NY33" i="16"/>
  <c r="NX33" i="16"/>
  <c r="NW33" i="16"/>
  <c r="NV33" i="16"/>
  <c r="NS33" i="16"/>
  <c r="NR33" i="16"/>
  <c r="NQ33" i="16"/>
  <c r="NP33" i="16"/>
  <c r="NO33" i="16"/>
  <c r="NN33" i="16"/>
  <c r="NM33" i="16"/>
  <c r="NJ33" i="16"/>
  <c r="NI33" i="16"/>
  <c r="NH33" i="16"/>
  <c r="NG33" i="16"/>
  <c r="NF33" i="16"/>
  <c r="NE33" i="16"/>
  <c r="ND33" i="16"/>
  <c r="NA33" i="16"/>
  <c r="MZ33" i="16"/>
  <c r="MY33" i="16"/>
  <c r="MX33" i="16"/>
  <c r="MW33" i="16"/>
  <c r="MV33" i="16"/>
  <c r="MU33" i="16"/>
  <c r="MR33" i="16"/>
  <c r="MQ33" i="16"/>
  <c r="MP33" i="16"/>
  <c r="MO33" i="16"/>
  <c r="MN33" i="16"/>
  <c r="MM33" i="16"/>
  <c r="ML33" i="16"/>
  <c r="MI33" i="16"/>
  <c r="MH33" i="16"/>
  <c r="MG33" i="16"/>
  <c r="MF33" i="16"/>
  <c r="ME33" i="16"/>
  <c r="MD33" i="16"/>
  <c r="MC33" i="16"/>
  <c r="LZ33" i="16"/>
  <c r="LY33" i="16"/>
  <c r="LX33" i="16"/>
  <c r="LW33" i="16"/>
  <c r="LV33" i="16"/>
  <c r="LU33" i="16"/>
  <c r="LT33" i="16"/>
  <c r="LQ33" i="16"/>
  <c r="LP33" i="16"/>
  <c r="LO33" i="16"/>
  <c r="LN33" i="16"/>
  <c r="LM33" i="16"/>
  <c r="LL33" i="16"/>
  <c r="LK33" i="16"/>
  <c r="LH33" i="16"/>
  <c r="LG33" i="16"/>
  <c r="LF33" i="16"/>
  <c r="LE33" i="16"/>
  <c r="LD33" i="16"/>
  <c r="LC33" i="16"/>
  <c r="LB33" i="16"/>
  <c r="KY33" i="16"/>
  <c r="KX33" i="16"/>
  <c r="KW33" i="16"/>
  <c r="KV33" i="16"/>
  <c r="KU33" i="16"/>
  <c r="KT33" i="16"/>
  <c r="KS33" i="16"/>
  <c r="KP33" i="16"/>
  <c r="KO33" i="16"/>
  <c r="KN33" i="16"/>
  <c r="KM33" i="16"/>
  <c r="KL33" i="16"/>
  <c r="KK33" i="16"/>
  <c r="KJ33" i="16"/>
  <c r="KG33" i="16"/>
  <c r="KF33" i="16"/>
  <c r="KE33" i="16"/>
  <c r="KD33" i="16"/>
  <c r="KC33" i="16"/>
  <c r="KB33" i="16"/>
  <c r="KA33" i="16"/>
  <c r="JX33" i="16"/>
  <c r="JW33" i="16"/>
  <c r="JV33" i="16"/>
  <c r="JU33" i="16"/>
  <c r="JT33" i="16"/>
  <c r="JS33" i="16"/>
  <c r="JR33" i="16"/>
  <c r="JO33" i="16"/>
  <c r="JN33" i="16"/>
  <c r="JM33" i="16"/>
  <c r="JL33" i="16"/>
  <c r="JK33" i="16"/>
  <c r="JJ33" i="16"/>
  <c r="JI33" i="16"/>
  <c r="JF33" i="16"/>
  <c r="JE33" i="16"/>
  <c r="JD33" i="16"/>
  <c r="JC33" i="16"/>
  <c r="JB33" i="16"/>
  <c r="JA33" i="16"/>
  <c r="IZ33" i="16"/>
  <c r="IQ33" i="16"/>
  <c r="IP33" i="16"/>
  <c r="IO33" i="16"/>
  <c r="IN33" i="16"/>
  <c r="IM33" i="16"/>
  <c r="IL33" i="16"/>
  <c r="IK33" i="16"/>
  <c r="IJ33" i="16"/>
  <c r="II33" i="16"/>
  <c r="IF33" i="16"/>
  <c r="IE33" i="16"/>
  <c r="ID33" i="16"/>
  <c r="IC33" i="16"/>
  <c r="IB33" i="16"/>
  <c r="IA33" i="16"/>
  <c r="HX33" i="16"/>
  <c r="HW33" i="16"/>
  <c r="HV33" i="16"/>
  <c r="HU33" i="16"/>
  <c r="HT33" i="16"/>
  <c r="HS33" i="16"/>
  <c r="HP33" i="16"/>
  <c r="HO33" i="16"/>
  <c r="HN33" i="16"/>
  <c r="HM33" i="16"/>
  <c r="HL33" i="16"/>
  <c r="HK33" i="16"/>
  <c r="HH33" i="16"/>
  <c r="HG33" i="16"/>
  <c r="HF33" i="16"/>
  <c r="HE33" i="16"/>
  <c r="HD33" i="16"/>
  <c r="HC33" i="16"/>
  <c r="GZ33" i="16"/>
  <c r="GY33" i="16"/>
  <c r="GX33" i="16"/>
  <c r="GW33" i="16"/>
  <c r="GV33" i="16"/>
  <c r="GU33" i="16"/>
  <c r="GR33" i="16"/>
  <c r="GQ33" i="16"/>
  <c r="GP33" i="16"/>
  <c r="GO33" i="16"/>
  <c r="GN33" i="16"/>
  <c r="GM33" i="16"/>
  <c r="GJ33" i="16"/>
  <c r="GI33" i="16"/>
  <c r="GH33" i="16"/>
  <c r="GG33" i="16"/>
  <c r="GF33" i="16"/>
  <c r="GE33" i="16"/>
  <c r="GB33" i="16"/>
  <c r="GA33" i="16"/>
  <c r="FZ33" i="16"/>
  <c r="FY33" i="16"/>
  <c r="FX33" i="16"/>
  <c r="FW33" i="16"/>
  <c r="FT33" i="16"/>
  <c r="FS33" i="16"/>
  <c r="FR33" i="16"/>
  <c r="FQ33" i="16"/>
  <c r="FP33" i="16"/>
  <c r="FO33" i="16"/>
  <c r="FL33" i="16"/>
  <c r="FK33" i="16"/>
  <c r="FJ33" i="16"/>
  <c r="FI33" i="16"/>
  <c r="FH33" i="16"/>
  <c r="FG33" i="16"/>
  <c r="FD33" i="16"/>
  <c r="FC33" i="16"/>
  <c r="FB33" i="16"/>
  <c r="FA33" i="16"/>
  <c r="EZ33" i="16"/>
  <c r="EY33" i="16"/>
  <c r="EV33" i="16"/>
  <c r="EU33" i="16"/>
  <c r="ET33" i="16"/>
  <c r="ES33" i="16"/>
  <c r="ER33" i="16"/>
  <c r="EQ33" i="16"/>
  <c r="EN33" i="16"/>
  <c r="EM33" i="16"/>
  <c r="EL33" i="16"/>
  <c r="EK33" i="16"/>
  <c r="EJ33" i="16"/>
  <c r="EI33" i="16"/>
  <c r="EF33" i="16"/>
  <c r="EE33" i="16"/>
  <c r="ED33" i="16"/>
  <c r="EC33" i="16"/>
  <c r="EB33" i="16"/>
  <c r="EA33" i="16"/>
  <c r="DX33" i="16"/>
  <c r="DW33" i="16"/>
  <c r="DV33" i="16"/>
  <c r="DU33" i="16"/>
  <c r="DT33" i="16"/>
  <c r="DS33" i="16"/>
  <c r="DP33" i="16"/>
  <c r="DO33" i="16"/>
  <c r="DN33" i="16"/>
  <c r="DM33" i="16"/>
  <c r="DL33" i="16"/>
  <c r="DK33" i="16"/>
  <c r="DG33" i="16"/>
  <c r="DE33" i="16"/>
  <c r="DD33" i="16"/>
  <c r="DC33" i="16"/>
  <c r="DA33" i="16"/>
  <c r="CZ33" i="16"/>
  <c r="CY33" i="16"/>
  <c r="CX33" i="16"/>
  <c r="CU33" i="16"/>
  <c r="CT33" i="16"/>
  <c r="CS33" i="16"/>
  <c r="CR33" i="16"/>
  <c r="CO33" i="16"/>
  <c r="CN33" i="16"/>
  <c r="CM33" i="16"/>
  <c r="CL33" i="16"/>
  <c r="CI33" i="16"/>
  <c r="CH33" i="16"/>
  <c r="CG33" i="16"/>
  <c r="CF33" i="16"/>
  <c r="CC33" i="16"/>
  <c r="CB33" i="16"/>
  <c r="CA33" i="16"/>
  <c r="BZ33" i="16"/>
  <c r="BW33" i="16"/>
  <c r="BV33" i="16"/>
  <c r="BU33" i="16"/>
  <c r="BT33" i="16"/>
  <c r="BQ33" i="16"/>
  <c r="BP33" i="16"/>
  <c r="BO33" i="16"/>
  <c r="BN33" i="16"/>
  <c r="BK33" i="16"/>
  <c r="BJ33" i="16"/>
  <c r="BI33" i="16"/>
  <c r="BH33" i="16"/>
  <c r="BE33" i="16"/>
  <c r="BD33" i="16"/>
  <c r="BC33" i="16"/>
  <c r="BB33" i="16"/>
  <c r="AY33" i="16"/>
  <c r="AX33" i="16"/>
  <c r="AW33" i="16"/>
  <c r="AV33" i="16"/>
  <c r="AS33" i="16"/>
  <c r="AR33" i="16"/>
  <c r="AQ33" i="16"/>
  <c r="AP33" i="16"/>
  <c r="AM33" i="16"/>
  <c r="AL33" i="16"/>
  <c r="AK33" i="16"/>
  <c r="AJ33" i="16"/>
  <c r="AG33" i="16"/>
  <c r="AF33" i="16"/>
  <c r="AE33" i="16"/>
  <c r="AD33" i="16"/>
  <c r="AA33" i="16"/>
  <c r="Z33" i="16"/>
  <c r="Y33" i="16"/>
  <c r="X33" i="16"/>
  <c r="U33" i="16"/>
  <c r="T33" i="16"/>
  <c r="S33" i="16"/>
  <c r="R33" i="16"/>
  <c r="O33" i="16"/>
  <c r="N33" i="16"/>
  <c r="M33" i="16"/>
  <c r="L33" i="16"/>
  <c r="I33" i="16"/>
  <c r="H33" i="16"/>
  <c r="G33" i="16"/>
  <c r="F33" i="16"/>
  <c r="OW32" i="16"/>
  <c r="OV32" i="16"/>
  <c r="OU32" i="16"/>
  <c r="OT32" i="16"/>
  <c r="OS32" i="16"/>
  <c r="OR32" i="16"/>
  <c r="OQ32" i="16"/>
  <c r="OP32" i="16"/>
  <c r="OO32" i="16"/>
  <c r="ON32" i="16"/>
  <c r="OK32" i="16"/>
  <c r="OJ32" i="16"/>
  <c r="OI32" i="16"/>
  <c r="OH32" i="16"/>
  <c r="OG32" i="16"/>
  <c r="OF32" i="16"/>
  <c r="OE32" i="16"/>
  <c r="OB32" i="16"/>
  <c r="OA32" i="16"/>
  <c r="NZ32" i="16"/>
  <c r="NY32" i="16"/>
  <c r="NX32" i="16"/>
  <c r="NW32" i="16"/>
  <c r="NV32" i="16"/>
  <c r="NS32" i="16"/>
  <c r="NR32" i="16"/>
  <c r="NQ32" i="16"/>
  <c r="NP32" i="16"/>
  <c r="NO32" i="16"/>
  <c r="NN32" i="16"/>
  <c r="NM32" i="16"/>
  <c r="NJ32" i="16"/>
  <c r="NI32" i="16"/>
  <c r="NH32" i="16"/>
  <c r="NG32" i="16"/>
  <c r="NF32" i="16"/>
  <c r="NE32" i="16"/>
  <c r="ND32" i="16"/>
  <c r="NA32" i="16"/>
  <c r="MZ32" i="16"/>
  <c r="MY32" i="16"/>
  <c r="MX32" i="16"/>
  <c r="MW32" i="16"/>
  <c r="MV32" i="16"/>
  <c r="MU32" i="16"/>
  <c r="MR32" i="16"/>
  <c r="MQ32" i="16"/>
  <c r="MP32" i="16"/>
  <c r="MO32" i="16"/>
  <c r="MN32" i="16"/>
  <c r="MM32" i="16"/>
  <c r="ML32" i="16"/>
  <c r="MI32" i="16"/>
  <c r="MH32" i="16"/>
  <c r="MG32" i="16"/>
  <c r="MF32" i="16"/>
  <c r="ME32" i="16"/>
  <c r="MD32" i="16"/>
  <c r="MC32" i="16"/>
  <c r="LZ32" i="16"/>
  <c r="LY32" i="16"/>
  <c r="LX32" i="16"/>
  <c r="LW32" i="16"/>
  <c r="LV32" i="16"/>
  <c r="LU32" i="16"/>
  <c r="LT32" i="16"/>
  <c r="LQ32" i="16"/>
  <c r="LP32" i="16"/>
  <c r="LO32" i="16"/>
  <c r="LN32" i="16"/>
  <c r="LM32" i="16"/>
  <c r="LL32" i="16"/>
  <c r="LK32" i="16"/>
  <c r="LH32" i="16"/>
  <c r="LG32" i="16"/>
  <c r="LF32" i="16"/>
  <c r="LE32" i="16"/>
  <c r="LD32" i="16"/>
  <c r="LC32" i="16"/>
  <c r="LB32" i="16"/>
  <c r="KY32" i="16"/>
  <c r="KX32" i="16"/>
  <c r="KW32" i="16"/>
  <c r="KV32" i="16"/>
  <c r="KU32" i="16"/>
  <c r="KT32" i="16"/>
  <c r="KS32" i="16"/>
  <c r="KP32" i="16"/>
  <c r="KO32" i="16"/>
  <c r="KN32" i="16"/>
  <c r="KM32" i="16"/>
  <c r="KL32" i="16"/>
  <c r="KK32" i="16"/>
  <c r="KJ32" i="16"/>
  <c r="KG32" i="16"/>
  <c r="KF32" i="16"/>
  <c r="KE32" i="16"/>
  <c r="KD32" i="16"/>
  <c r="KC32" i="16"/>
  <c r="KB32" i="16"/>
  <c r="KA32" i="16"/>
  <c r="JX32" i="16"/>
  <c r="JW32" i="16"/>
  <c r="JV32" i="16"/>
  <c r="JU32" i="16"/>
  <c r="JT32" i="16"/>
  <c r="JS32" i="16"/>
  <c r="JR32" i="16"/>
  <c r="JO32" i="16"/>
  <c r="JN32" i="16"/>
  <c r="JM32" i="16"/>
  <c r="JL32" i="16"/>
  <c r="JK32" i="16"/>
  <c r="JJ32" i="16"/>
  <c r="JI32" i="16"/>
  <c r="JF32" i="16"/>
  <c r="JE32" i="16"/>
  <c r="JD32" i="16"/>
  <c r="JC32" i="16"/>
  <c r="JB32" i="16"/>
  <c r="JA32" i="16"/>
  <c r="IZ32" i="16"/>
  <c r="IQ32" i="16"/>
  <c r="IP32" i="16"/>
  <c r="IO32" i="16"/>
  <c r="IN32" i="16"/>
  <c r="IM32" i="16"/>
  <c r="IL32" i="16"/>
  <c r="IK32" i="16"/>
  <c r="IJ32" i="16"/>
  <c r="II32" i="16"/>
  <c r="IF32" i="16"/>
  <c r="IE32" i="16"/>
  <c r="ID32" i="16"/>
  <c r="IC32" i="16"/>
  <c r="IB32" i="16"/>
  <c r="IA32" i="16"/>
  <c r="HX32" i="16"/>
  <c r="HW32" i="16"/>
  <c r="HV32" i="16"/>
  <c r="HU32" i="16"/>
  <c r="HT32" i="16"/>
  <c r="HS32" i="16"/>
  <c r="HP32" i="16"/>
  <c r="HO32" i="16"/>
  <c r="HN32" i="16"/>
  <c r="HM32" i="16"/>
  <c r="HL32" i="16"/>
  <c r="HK32" i="16"/>
  <c r="HH32" i="16"/>
  <c r="HG32" i="16"/>
  <c r="HF32" i="16"/>
  <c r="HE32" i="16"/>
  <c r="HD32" i="16"/>
  <c r="HC32" i="16"/>
  <c r="GZ32" i="16"/>
  <c r="GY32" i="16"/>
  <c r="GX32" i="16"/>
  <c r="GW32" i="16"/>
  <c r="GV32" i="16"/>
  <c r="GU32" i="16"/>
  <c r="GR32" i="16"/>
  <c r="GQ32" i="16"/>
  <c r="GP32" i="16"/>
  <c r="GO32" i="16"/>
  <c r="GN32" i="16"/>
  <c r="GM32" i="16"/>
  <c r="GJ32" i="16"/>
  <c r="GI32" i="16"/>
  <c r="GH32" i="16"/>
  <c r="GG32" i="16"/>
  <c r="GF32" i="16"/>
  <c r="GE32" i="16"/>
  <c r="GB32" i="16"/>
  <c r="GA32" i="16"/>
  <c r="FZ32" i="16"/>
  <c r="FY32" i="16"/>
  <c r="FX32" i="16"/>
  <c r="FW32" i="16"/>
  <c r="FT32" i="16"/>
  <c r="FS32" i="16"/>
  <c r="FR32" i="16"/>
  <c r="FQ32" i="16"/>
  <c r="FP32" i="16"/>
  <c r="FO32" i="16"/>
  <c r="FL32" i="16"/>
  <c r="FK32" i="16"/>
  <c r="FJ32" i="16"/>
  <c r="FI32" i="16"/>
  <c r="FH32" i="16"/>
  <c r="FG32" i="16"/>
  <c r="FD32" i="16"/>
  <c r="FC32" i="16"/>
  <c r="FB32" i="16"/>
  <c r="FA32" i="16"/>
  <c r="EZ32" i="16"/>
  <c r="EY32" i="16"/>
  <c r="EV32" i="16"/>
  <c r="EU32" i="16"/>
  <c r="ET32" i="16"/>
  <c r="ES32" i="16"/>
  <c r="ER32" i="16"/>
  <c r="EQ32" i="16"/>
  <c r="EN32" i="16"/>
  <c r="EM32" i="16"/>
  <c r="EL32" i="16"/>
  <c r="EK32" i="16"/>
  <c r="EJ32" i="16"/>
  <c r="EI32" i="16"/>
  <c r="EF32" i="16"/>
  <c r="EE32" i="16"/>
  <c r="ED32" i="16"/>
  <c r="EC32" i="16"/>
  <c r="EB32" i="16"/>
  <c r="EA32" i="16"/>
  <c r="DX32" i="16"/>
  <c r="DW32" i="16"/>
  <c r="DV32" i="16"/>
  <c r="DU32" i="16"/>
  <c r="DT32" i="16"/>
  <c r="DS32" i="16"/>
  <c r="DP32" i="16"/>
  <c r="DO32" i="16"/>
  <c r="DN32" i="16"/>
  <c r="DM32" i="16"/>
  <c r="DL32" i="16"/>
  <c r="DK32" i="16"/>
  <c r="DG32" i="16"/>
  <c r="DE32" i="16"/>
  <c r="DD32" i="16"/>
  <c r="DC32" i="16"/>
  <c r="DA32" i="16"/>
  <c r="CZ32" i="16"/>
  <c r="CY32" i="16"/>
  <c r="CX32" i="16"/>
  <c r="CU32" i="16"/>
  <c r="CT32" i="16"/>
  <c r="CS32" i="16"/>
  <c r="CR32" i="16"/>
  <c r="CO32" i="16"/>
  <c r="CN32" i="16"/>
  <c r="CM32" i="16"/>
  <c r="CL32" i="16"/>
  <c r="CI32" i="16"/>
  <c r="CH32" i="16"/>
  <c r="CG32" i="16"/>
  <c r="CF32" i="16"/>
  <c r="CC32" i="16"/>
  <c r="CB32" i="16"/>
  <c r="CA32" i="16"/>
  <c r="BZ32" i="16"/>
  <c r="BW32" i="16"/>
  <c r="BV32" i="16"/>
  <c r="BU32" i="16"/>
  <c r="BT32" i="16"/>
  <c r="BQ32" i="16"/>
  <c r="BP32" i="16"/>
  <c r="BO32" i="16"/>
  <c r="BN32" i="16"/>
  <c r="BK32" i="16"/>
  <c r="BJ32" i="16"/>
  <c r="BI32" i="16"/>
  <c r="BH32" i="16"/>
  <c r="BE32" i="16"/>
  <c r="BD32" i="16"/>
  <c r="BC32" i="16"/>
  <c r="BB32" i="16"/>
  <c r="AY32" i="16"/>
  <c r="AX32" i="16"/>
  <c r="AW32" i="16"/>
  <c r="AV32" i="16"/>
  <c r="AS32" i="16"/>
  <c r="AR32" i="16"/>
  <c r="AQ32" i="16"/>
  <c r="AP32" i="16"/>
  <c r="AM32" i="16"/>
  <c r="AL32" i="16"/>
  <c r="AK32" i="16"/>
  <c r="AJ32" i="16"/>
  <c r="AG32" i="16"/>
  <c r="AF32" i="16"/>
  <c r="AE32" i="16"/>
  <c r="AD32" i="16"/>
  <c r="AA32" i="16"/>
  <c r="Z32" i="16"/>
  <c r="Y32" i="16"/>
  <c r="X32" i="16"/>
  <c r="U32" i="16"/>
  <c r="T32" i="16"/>
  <c r="S32" i="16"/>
  <c r="R32" i="16"/>
  <c r="O32" i="16"/>
  <c r="N32" i="16"/>
  <c r="M32" i="16"/>
  <c r="L32" i="16"/>
  <c r="I32" i="16"/>
  <c r="H32" i="16"/>
  <c r="G32" i="16"/>
  <c r="F32" i="16"/>
  <c r="OW31" i="16"/>
  <c r="OV31" i="16"/>
  <c r="OU31" i="16"/>
  <c r="OT31" i="16"/>
  <c r="OS31" i="16"/>
  <c r="OR31" i="16"/>
  <c r="OQ31" i="16"/>
  <c r="OP31" i="16"/>
  <c r="OO31" i="16"/>
  <c r="ON31" i="16"/>
  <c r="OK31" i="16"/>
  <c r="OJ31" i="16"/>
  <c r="OI31" i="16"/>
  <c r="OH31" i="16"/>
  <c r="OG31" i="16"/>
  <c r="OF31" i="16"/>
  <c r="OE31" i="16"/>
  <c r="OB31" i="16"/>
  <c r="OA31" i="16"/>
  <c r="NZ31" i="16"/>
  <c r="NY31" i="16"/>
  <c r="NX31" i="16"/>
  <c r="NW31" i="16"/>
  <c r="NV31" i="16"/>
  <c r="NS31" i="16"/>
  <c r="NR31" i="16"/>
  <c r="NQ31" i="16"/>
  <c r="NP31" i="16"/>
  <c r="NO31" i="16"/>
  <c r="NN31" i="16"/>
  <c r="NM31" i="16"/>
  <c r="NJ31" i="16"/>
  <c r="NI31" i="16"/>
  <c r="NH31" i="16"/>
  <c r="NG31" i="16"/>
  <c r="NF31" i="16"/>
  <c r="NE31" i="16"/>
  <c r="ND31" i="16"/>
  <c r="NA31" i="16"/>
  <c r="MZ31" i="16"/>
  <c r="MY31" i="16"/>
  <c r="MX31" i="16"/>
  <c r="MW31" i="16"/>
  <c r="MV31" i="16"/>
  <c r="MU31" i="16"/>
  <c r="MR31" i="16"/>
  <c r="MQ31" i="16"/>
  <c r="MP31" i="16"/>
  <c r="MO31" i="16"/>
  <c r="MN31" i="16"/>
  <c r="MM31" i="16"/>
  <c r="ML31" i="16"/>
  <c r="MI31" i="16"/>
  <c r="MH31" i="16"/>
  <c r="MG31" i="16"/>
  <c r="MF31" i="16"/>
  <c r="ME31" i="16"/>
  <c r="MD31" i="16"/>
  <c r="MC31" i="16"/>
  <c r="LZ31" i="16"/>
  <c r="LY31" i="16"/>
  <c r="LX31" i="16"/>
  <c r="LW31" i="16"/>
  <c r="LV31" i="16"/>
  <c r="LU31" i="16"/>
  <c r="LT31" i="16"/>
  <c r="LQ31" i="16"/>
  <c r="LP31" i="16"/>
  <c r="LO31" i="16"/>
  <c r="LN31" i="16"/>
  <c r="LM31" i="16"/>
  <c r="LL31" i="16"/>
  <c r="LK31" i="16"/>
  <c r="LH31" i="16"/>
  <c r="LG31" i="16"/>
  <c r="LF31" i="16"/>
  <c r="LE31" i="16"/>
  <c r="LD31" i="16"/>
  <c r="LC31" i="16"/>
  <c r="LB31" i="16"/>
  <c r="KY31" i="16"/>
  <c r="KX31" i="16"/>
  <c r="KW31" i="16"/>
  <c r="KV31" i="16"/>
  <c r="KU31" i="16"/>
  <c r="KT31" i="16"/>
  <c r="KS31" i="16"/>
  <c r="KP31" i="16"/>
  <c r="KO31" i="16"/>
  <c r="KN31" i="16"/>
  <c r="KM31" i="16"/>
  <c r="KL31" i="16"/>
  <c r="KK31" i="16"/>
  <c r="KJ31" i="16"/>
  <c r="KG31" i="16"/>
  <c r="KF31" i="16"/>
  <c r="KE31" i="16"/>
  <c r="KD31" i="16"/>
  <c r="KC31" i="16"/>
  <c r="KB31" i="16"/>
  <c r="KA31" i="16"/>
  <c r="JX31" i="16"/>
  <c r="JW31" i="16"/>
  <c r="JV31" i="16"/>
  <c r="JU31" i="16"/>
  <c r="JT31" i="16"/>
  <c r="JS31" i="16"/>
  <c r="JR31" i="16"/>
  <c r="JO31" i="16"/>
  <c r="JN31" i="16"/>
  <c r="JM31" i="16"/>
  <c r="JL31" i="16"/>
  <c r="JK31" i="16"/>
  <c r="JJ31" i="16"/>
  <c r="JI31" i="16"/>
  <c r="JF31" i="16"/>
  <c r="JE31" i="16"/>
  <c r="JD31" i="16"/>
  <c r="JC31" i="16"/>
  <c r="JB31" i="16"/>
  <c r="JA31" i="16"/>
  <c r="IZ31" i="16"/>
  <c r="IQ31" i="16"/>
  <c r="IP31" i="16"/>
  <c r="IO31" i="16"/>
  <c r="IN31" i="16"/>
  <c r="IM31" i="16"/>
  <c r="IL31" i="16"/>
  <c r="IK31" i="16"/>
  <c r="IJ31" i="16"/>
  <c r="II31" i="16"/>
  <c r="IF31" i="16"/>
  <c r="IE31" i="16"/>
  <c r="ID31" i="16"/>
  <c r="IC31" i="16"/>
  <c r="IB31" i="16"/>
  <c r="IA31" i="16"/>
  <c r="HX31" i="16"/>
  <c r="HW31" i="16"/>
  <c r="HV31" i="16"/>
  <c r="HU31" i="16"/>
  <c r="HT31" i="16"/>
  <c r="HS31" i="16"/>
  <c r="HP31" i="16"/>
  <c r="HO31" i="16"/>
  <c r="HN31" i="16"/>
  <c r="HM31" i="16"/>
  <c r="HL31" i="16"/>
  <c r="HK31" i="16"/>
  <c r="HH31" i="16"/>
  <c r="HG31" i="16"/>
  <c r="HF31" i="16"/>
  <c r="HE31" i="16"/>
  <c r="HD31" i="16"/>
  <c r="HC31" i="16"/>
  <c r="GZ31" i="16"/>
  <c r="GY31" i="16"/>
  <c r="GX31" i="16"/>
  <c r="GW31" i="16"/>
  <c r="GV31" i="16"/>
  <c r="GU31" i="16"/>
  <c r="GR31" i="16"/>
  <c r="GQ31" i="16"/>
  <c r="GP31" i="16"/>
  <c r="GO31" i="16"/>
  <c r="GN31" i="16"/>
  <c r="GM31" i="16"/>
  <c r="GJ31" i="16"/>
  <c r="GI31" i="16"/>
  <c r="GH31" i="16"/>
  <c r="GG31" i="16"/>
  <c r="GF31" i="16"/>
  <c r="GE31" i="16"/>
  <c r="GB31" i="16"/>
  <c r="GA31" i="16"/>
  <c r="FZ31" i="16"/>
  <c r="FY31" i="16"/>
  <c r="FX31" i="16"/>
  <c r="FW31" i="16"/>
  <c r="FT31" i="16"/>
  <c r="FS31" i="16"/>
  <c r="FR31" i="16"/>
  <c r="FQ31" i="16"/>
  <c r="FP31" i="16"/>
  <c r="FO31" i="16"/>
  <c r="FL31" i="16"/>
  <c r="FK31" i="16"/>
  <c r="FJ31" i="16"/>
  <c r="FI31" i="16"/>
  <c r="FH31" i="16"/>
  <c r="FG31" i="16"/>
  <c r="FD31" i="16"/>
  <c r="FC31" i="16"/>
  <c r="FB31" i="16"/>
  <c r="FA31" i="16"/>
  <c r="EZ31" i="16"/>
  <c r="EY31" i="16"/>
  <c r="EV31" i="16"/>
  <c r="EU31" i="16"/>
  <c r="ET31" i="16"/>
  <c r="ES31" i="16"/>
  <c r="ER31" i="16"/>
  <c r="EQ31" i="16"/>
  <c r="EN31" i="16"/>
  <c r="EM31" i="16"/>
  <c r="EL31" i="16"/>
  <c r="EK31" i="16"/>
  <c r="EJ31" i="16"/>
  <c r="EI31" i="16"/>
  <c r="EF31" i="16"/>
  <c r="EE31" i="16"/>
  <c r="ED31" i="16"/>
  <c r="EC31" i="16"/>
  <c r="EB31" i="16"/>
  <c r="EA31" i="16"/>
  <c r="DX31" i="16"/>
  <c r="DW31" i="16"/>
  <c r="DV31" i="16"/>
  <c r="DU31" i="16"/>
  <c r="DT31" i="16"/>
  <c r="DS31" i="16"/>
  <c r="DP31" i="16"/>
  <c r="DO31" i="16"/>
  <c r="DN31" i="16"/>
  <c r="DM31" i="16"/>
  <c r="DL31" i="16"/>
  <c r="DK31" i="16"/>
  <c r="DG31" i="16"/>
  <c r="DE31" i="16"/>
  <c r="DD31" i="16"/>
  <c r="DC31" i="16"/>
  <c r="DA31" i="16"/>
  <c r="CZ31" i="16"/>
  <c r="CY31" i="16"/>
  <c r="CX31" i="16"/>
  <c r="CU31" i="16"/>
  <c r="CT31" i="16"/>
  <c r="CS31" i="16"/>
  <c r="CR31" i="16"/>
  <c r="CO31" i="16"/>
  <c r="CN31" i="16"/>
  <c r="CM31" i="16"/>
  <c r="CL31" i="16"/>
  <c r="CI31" i="16"/>
  <c r="CH31" i="16"/>
  <c r="CG31" i="16"/>
  <c r="CF31" i="16"/>
  <c r="CC31" i="16"/>
  <c r="CB31" i="16"/>
  <c r="CA31" i="16"/>
  <c r="BZ31" i="16"/>
  <c r="BW31" i="16"/>
  <c r="BV31" i="16"/>
  <c r="BU31" i="16"/>
  <c r="BT31" i="16"/>
  <c r="BQ31" i="16"/>
  <c r="BP31" i="16"/>
  <c r="BO31" i="16"/>
  <c r="BN31" i="16"/>
  <c r="BK31" i="16"/>
  <c r="BJ31" i="16"/>
  <c r="BI31" i="16"/>
  <c r="BH31" i="16"/>
  <c r="BE31" i="16"/>
  <c r="BD31" i="16"/>
  <c r="BC31" i="16"/>
  <c r="BB31" i="16"/>
  <c r="AY31" i="16"/>
  <c r="AX31" i="16"/>
  <c r="AW31" i="16"/>
  <c r="AV31" i="16"/>
  <c r="AS31" i="16"/>
  <c r="AR31" i="16"/>
  <c r="AQ31" i="16"/>
  <c r="AP31" i="16"/>
  <c r="AM31" i="16"/>
  <c r="AL31" i="16"/>
  <c r="AK31" i="16"/>
  <c r="AJ31" i="16"/>
  <c r="AG31" i="16"/>
  <c r="AF31" i="16"/>
  <c r="AE31" i="16"/>
  <c r="AD31" i="16"/>
  <c r="AA31" i="16"/>
  <c r="Z31" i="16"/>
  <c r="Y31" i="16"/>
  <c r="X31" i="16"/>
  <c r="U31" i="16"/>
  <c r="T31" i="16"/>
  <c r="S31" i="16"/>
  <c r="R31" i="16"/>
  <c r="O31" i="16"/>
  <c r="N31" i="16"/>
  <c r="M31" i="16"/>
  <c r="L31" i="16"/>
  <c r="I31" i="16"/>
  <c r="H31" i="16"/>
  <c r="G31" i="16"/>
  <c r="F31" i="16"/>
  <c r="OW30" i="16"/>
  <c r="OV30" i="16"/>
  <c r="OU30" i="16"/>
  <c r="OT30" i="16"/>
  <c r="OS30" i="16"/>
  <c r="OR30" i="16"/>
  <c r="OQ30" i="16"/>
  <c r="OP30" i="16"/>
  <c r="OO30" i="16"/>
  <c r="ON30" i="16"/>
  <c r="OK30" i="16"/>
  <c r="OJ30" i="16"/>
  <c r="OI30" i="16"/>
  <c r="OH30" i="16"/>
  <c r="OG30" i="16"/>
  <c r="OF30" i="16"/>
  <c r="OE30" i="16"/>
  <c r="OB30" i="16"/>
  <c r="OA30" i="16"/>
  <c r="NZ30" i="16"/>
  <c r="NY30" i="16"/>
  <c r="NX30" i="16"/>
  <c r="NW30" i="16"/>
  <c r="NV30" i="16"/>
  <c r="NS30" i="16"/>
  <c r="NR30" i="16"/>
  <c r="NQ30" i="16"/>
  <c r="NP30" i="16"/>
  <c r="NO30" i="16"/>
  <c r="NN30" i="16"/>
  <c r="NM30" i="16"/>
  <c r="NJ30" i="16"/>
  <c r="NI30" i="16"/>
  <c r="NH30" i="16"/>
  <c r="NG30" i="16"/>
  <c r="NF30" i="16"/>
  <c r="NE30" i="16"/>
  <c r="ND30" i="16"/>
  <c r="NA30" i="16"/>
  <c r="MZ30" i="16"/>
  <c r="MY30" i="16"/>
  <c r="MX30" i="16"/>
  <c r="MW30" i="16"/>
  <c r="MV30" i="16"/>
  <c r="MU30" i="16"/>
  <c r="MR30" i="16"/>
  <c r="MQ30" i="16"/>
  <c r="MP30" i="16"/>
  <c r="MO30" i="16"/>
  <c r="MN30" i="16"/>
  <c r="MM30" i="16"/>
  <c r="ML30" i="16"/>
  <c r="MI30" i="16"/>
  <c r="MH30" i="16"/>
  <c r="MG30" i="16"/>
  <c r="MF30" i="16"/>
  <c r="ME30" i="16"/>
  <c r="MD30" i="16"/>
  <c r="MC30" i="16"/>
  <c r="LZ30" i="16"/>
  <c r="LY30" i="16"/>
  <c r="LX30" i="16"/>
  <c r="LW30" i="16"/>
  <c r="LV30" i="16"/>
  <c r="LU30" i="16"/>
  <c r="LT30" i="16"/>
  <c r="LQ30" i="16"/>
  <c r="LP30" i="16"/>
  <c r="LO30" i="16"/>
  <c r="LN30" i="16"/>
  <c r="LM30" i="16"/>
  <c r="LL30" i="16"/>
  <c r="LK30" i="16"/>
  <c r="LH30" i="16"/>
  <c r="LG30" i="16"/>
  <c r="LF30" i="16"/>
  <c r="LE30" i="16"/>
  <c r="LD30" i="16"/>
  <c r="LC30" i="16"/>
  <c r="LB30" i="16"/>
  <c r="KY30" i="16"/>
  <c r="KX30" i="16"/>
  <c r="KW30" i="16"/>
  <c r="KV30" i="16"/>
  <c r="KU30" i="16"/>
  <c r="KT30" i="16"/>
  <c r="KS30" i="16"/>
  <c r="KP30" i="16"/>
  <c r="KO30" i="16"/>
  <c r="KN30" i="16"/>
  <c r="KM30" i="16"/>
  <c r="KL30" i="16"/>
  <c r="KK30" i="16"/>
  <c r="KJ30" i="16"/>
  <c r="KG30" i="16"/>
  <c r="KF30" i="16"/>
  <c r="KE30" i="16"/>
  <c r="KD30" i="16"/>
  <c r="KC30" i="16"/>
  <c r="KB30" i="16"/>
  <c r="KA30" i="16"/>
  <c r="JX30" i="16"/>
  <c r="JW30" i="16"/>
  <c r="JV30" i="16"/>
  <c r="JU30" i="16"/>
  <c r="JT30" i="16"/>
  <c r="JS30" i="16"/>
  <c r="JR30" i="16"/>
  <c r="JO30" i="16"/>
  <c r="JN30" i="16"/>
  <c r="JM30" i="16"/>
  <c r="JL30" i="16"/>
  <c r="JK30" i="16"/>
  <c r="JJ30" i="16"/>
  <c r="JI30" i="16"/>
  <c r="JF30" i="16"/>
  <c r="JE30" i="16"/>
  <c r="JD30" i="16"/>
  <c r="JC30" i="16"/>
  <c r="JB30" i="16"/>
  <c r="JA30" i="16"/>
  <c r="IZ30" i="16"/>
  <c r="IQ30" i="16"/>
  <c r="IP30" i="16"/>
  <c r="IO30" i="16"/>
  <c r="IN30" i="16"/>
  <c r="IM30" i="16"/>
  <c r="IL30" i="16"/>
  <c r="IK30" i="16"/>
  <c r="IJ30" i="16"/>
  <c r="II30" i="16"/>
  <c r="IF30" i="16"/>
  <c r="IE30" i="16"/>
  <c r="ID30" i="16"/>
  <c r="IC30" i="16"/>
  <c r="IB30" i="16"/>
  <c r="IA30" i="16"/>
  <c r="HX30" i="16"/>
  <c r="HW30" i="16"/>
  <c r="HV30" i="16"/>
  <c r="HU30" i="16"/>
  <c r="HT30" i="16"/>
  <c r="HS30" i="16"/>
  <c r="HP30" i="16"/>
  <c r="HO30" i="16"/>
  <c r="HN30" i="16"/>
  <c r="HM30" i="16"/>
  <c r="HL30" i="16"/>
  <c r="HK30" i="16"/>
  <c r="HH30" i="16"/>
  <c r="HG30" i="16"/>
  <c r="HF30" i="16"/>
  <c r="HE30" i="16"/>
  <c r="HD30" i="16"/>
  <c r="HC30" i="16"/>
  <c r="GZ30" i="16"/>
  <c r="GY30" i="16"/>
  <c r="GX30" i="16"/>
  <c r="GW30" i="16"/>
  <c r="GV30" i="16"/>
  <c r="GU30" i="16"/>
  <c r="GR30" i="16"/>
  <c r="GQ30" i="16"/>
  <c r="GP30" i="16"/>
  <c r="GO30" i="16"/>
  <c r="GN30" i="16"/>
  <c r="GM30" i="16"/>
  <c r="GJ30" i="16"/>
  <c r="GI30" i="16"/>
  <c r="GH30" i="16"/>
  <c r="GG30" i="16"/>
  <c r="GF30" i="16"/>
  <c r="GE30" i="16"/>
  <c r="GB30" i="16"/>
  <c r="GA30" i="16"/>
  <c r="FZ30" i="16"/>
  <c r="FY30" i="16"/>
  <c r="FX30" i="16"/>
  <c r="FW30" i="16"/>
  <c r="FT30" i="16"/>
  <c r="FS30" i="16"/>
  <c r="FR30" i="16"/>
  <c r="FQ30" i="16"/>
  <c r="FP30" i="16"/>
  <c r="FO30" i="16"/>
  <c r="FL30" i="16"/>
  <c r="FK30" i="16"/>
  <c r="FJ30" i="16"/>
  <c r="FI30" i="16"/>
  <c r="FH30" i="16"/>
  <c r="FG30" i="16"/>
  <c r="FD30" i="16"/>
  <c r="FC30" i="16"/>
  <c r="FB30" i="16"/>
  <c r="FA30" i="16"/>
  <c r="EZ30" i="16"/>
  <c r="EY30" i="16"/>
  <c r="EV30" i="16"/>
  <c r="EU30" i="16"/>
  <c r="ET30" i="16"/>
  <c r="ES30" i="16"/>
  <c r="ER30" i="16"/>
  <c r="EQ30" i="16"/>
  <c r="EN30" i="16"/>
  <c r="EM30" i="16"/>
  <c r="EL30" i="16"/>
  <c r="EK30" i="16"/>
  <c r="EJ30" i="16"/>
  <c r="EI30" i="16"/>
  <c r="EF30" i="16"/>
  <c r="EE30" i="16"/>
  <c r="ED30" i="16"/>
  <c r="EC30" i="16"/>
  <c r="EB30" i="16"/>
  <c r="EA30" i="16"/>
  <c r="DX30" i="16"/>
  <c r="DW30" i="16"/>
  <c r="DV30" i="16"/>
  <c r="DU30" i="16"/>
  <c r="DT30" i="16"/>
  <c r="DS30" i="16"/>
  <c r="DP30" i="16"/>
  <c r="DO30" i="16"/>
  <c r="DN30" i="16"/>
  <c r="DM30" i="16"/>
  <c r="DL30" i="16"/>
  <c r="DK30" i="16"/>
  <c r="DG30" i="16"/>
  <c r="DE30" i="16"/>
  <c r="DD30" i="16"/>
  <c r="DC30" i="16"/>
  <c r="DA30" i="16"/>
  <c r="CZ30" i="16"/>
  <c r="CY30" i="16"/>
  <c r="CX30" i="16"/>
  <c r="CU30" i="16"/>
  <c r="CT30" i="16"/>
  <c r="CS30" i="16"/>
  <c r="CR30" i="16"/>
  <c r="CO30" i="16"/>
  <c r="CN30" i="16"/>
  <c r="CM30" i="16"/>
  <c r="CL30" i="16"/>
  <c r="CI30" i="16"/>
  <c r="CH30" i="16"/>
  <c r="CG30" i="16"/>
  <c r="CF30" i="16"/>
  <c r="CC30" i="16"/>
  <c r="CB30" i="16"/>
  <c r="CA30" i="16"/>
  <c r="BZ30" i="16"/>
  <c r="BW30" i="16"/>
  <c r="BV30" i="16"/>
  <c r="BU30" i="16"/>
  <c r="BT30" i="16"/>
  <c r="BQ30" i="16"/>
  <c r="BP30" i="16"/>
  <c r="BO30" i="16"/>
  <c r="BN30" i="16"/>
  <c r="BK30" i="16"/>
  <c r="BJ30" i="16"/>
  <c r="BI30" i="16"/>
  <c r="BH30" i="16"/>
  <c r="BE30" i="16"/>
  <c r="BD30" i="16"/>
  <c r="BC30" i="16"/>
  <c r="BB30" i="16"/>
  <c r="AY30" i="16"/>
  <c r="AX30" i="16"/>
  <c r="AW30" i="16"/>
  <c r="AV30" i="16"/>
  <c r="AS30" i="16"/>
  <c r="AR30" i="16"/>
  <c r="AQ30" i="16"/>
  <c r="AP30" i="16"/>
  <c r="AM30" i="16"/>
  <c r="AL30" i="16"/>
  <c r="AK30" i="16"/>
  <c r="AJ30" i="16"/>
  <c r="AG30" i="16"/>
  <c r="AF30" i="16"/>
  <c r="AE30" i="16"/>
  <c r="AD30" i="16"/>
  <c r="AA30" i="16"/>
  <c r="Z30" i="16"/>
  <c r="Y30" i="16"/>
  <c r="X30" i="16"/>
  <c r="U30" i="16"/>
  <c r="T30" i="16"/>
  <c r="S30" i="16"/>
  <c r="R30" i="16"/>
  <c r="O30" i="16"/>
  <c r="N30" i="16"/>
  <c r="M30" i="16"/>
  <c r="L30" i="16"/>
  <c r="I30" i="16"/>
  <c r="H30" i="16"/>
  <c r="G30" i="16"/>
  <c r="F30" i="16"/>
  <c r="OW29" i="16"/>
  <c r="OV29" i="16"/>
  <c r="OU29" i="16"/>
  <c r="OT29" i="16"/>
  <c r="OS29" i="16"/>
  <c r="OR29" i="16"/>
  <c r="OQ29" i="16"/>
  <c r="OP29" i="16"/>
  <c r="OO29" i="16"/>
  <c r="ON29" i="16"/>
  <c r="OK29" i="16"/>
  <c r="OJ29" i="16"/>
  <c r="OI29" i="16"/>
  <c r="OH29" i="16"/>
  <c r="OG29" i="16"/>
  <c r="OF29" i="16"/>
  <c r="OE29" i="16"/>
  <c r="OB29" i="16"/>
  <c r="OA29" i="16"/>
  <c r="NZ29" i="16"/>
  <c r="NY29" i="16"/>
  <c r="NX29" i="16"/>
  <c r="NW29" i="16"/>
  <c r="NV29" i="16"/>
  <c r="NS29" i="16"/>
  <c r="NR29" i="16"/>
  <c r="NQ29" i="16"/>
  <c r="NP29" i="16"/>
  <c r="NO29" i="16"/>
  <c r="NN29" i="16"/>
  <c r="NM29" i="16"/>
  <c r="NJ29" i="16"/>
  <c r="NI29" i="16"/>
  <c r="NH29" i="16"/>
  <c r="NG29" i="16"/>
  <c r="NF29" i="16"/>
  <c r="NE29" i="16"/>
  <c r="ND29" i="16"/>
  <c r="NA29" i="16"/>
  <c r="MZ29" i="16"/>
  <c r="MY29" i="16"/>
  <c r="MX29" i="16"/>
  <c r="MW29" i="16"/>
  <c r="MV29" i="16"/>
  <c r="MU29" i="16"/>
  <c r="MR29" i="16"/>
  <c r="MQ29" i="16"/>
  <c r="MP29" i="16"/>
  <c r="MO29" i="16"/>
  <c r="MN29" i="16"/>
  <c r="MM29" i="16"/>
  <c r="ML29" i="16"/>
  <c r="MI29" i="16"/>
  <c r="MH29" i="16"/>
  <c r="MG29" i="16"/>
  <c r="MF29" i="16"/>
  <c r="ME29" i="16"/>
  <c r="MD29" i="16"/>
  <c r="MC29" i="16"/>
  <c r="LZ29" i="16"/>
  <c r="LY29" i="16"/>
  <c r="LX29" i="16"/>
  <c r="LW29" i="16"/>
  <c r="LV29" i="16"/>
  <c r="LU29" i="16"/>
  <c r="LT29" i="16"/>
  <c r="LQ29" i="16"/>
  <c r="LP29" i="16"/>
  <c r="LO29" i="16"/>
  <c r="LN29" i="16"/>
  <c r="LM29" i="16"/>
  <c r="LL29" i="16"/>
  <c r="LK29" i="16"/>
  <c r="LH29" i="16"/>
  <c r="LG29" i="16"/>
  <c r="LF29" i="16"/>
  <c r="LE29" i="16"/>
  <c r="LD29" i="16"/>
  <c r="LC29" i="16"/>
  <c r="LB29" i="16"/>
  <c r="KY29" i="16"/>
  <c r="KX29" i="16"/>
  <c r="KW29" i="16"/>
  <c r="KV29" i="16"/>
  <c r="KU29" i="16"/>
  <c r="KT29" i="16"/>
  <c r="KS29" i="16"/>
  <c r="KP29" i="16"/>
  <c r="KO29" i="16"/>
  <c r="KN29" i="16"/>
  <c r="KM29" i="16"/>
  <c r="KL29" i="16"/>
  <c r="KK29" i="16"/>
  <c r="KJ29" i="16"/>
  <c r="KG29" i="16"/>
  <c r="KF29" i="16"/>
  <c r="KE29" i="16"/>
  <c r="KD29" i="16"/>
  <c r="KC29" i="16"/>
  <c r="KB29" i="16"/>
  <c r="KA29" i="16"/>
  <c r="JX29" i="16"/>
  <c r="JW29" i="16"/>
  <c r="JV29" i="16"/>
  <c r="JU29" i="16"/>
  <c r="JT29" i="16"/>
  <c r="JS29" i="16"/>
  <c r="JR29" i="16"/>
  <c r="JO29" i="16"/>
  <c r="JN29" i="16"/>
  <c r="JM29" i="16"/>
  <c r="JL29" i="16"/>
  <c r="JK29" i="16"/>
  <c r="JJ29" i="16"/>
  <c r="JI29" i="16"/>
  <c r="JF29" i="16"/>
  <c r="JE29" i="16"/>
  <c r="JD29" i="16"/>
  <c r="JC29" i="16"/>
  <c r="JB29" i="16"/>
  <c r="JA29" i="16"/>
  <c r="IZ29" i="16"/>
  <c r="IQ29" i="16"/>
  <c r="IP29" i="16"/>
  <c r="IO29" i="16"/>
  <c r="IN29" i="16"/>
  <c r="IM29" i="16"/>
  <c r="IL29" i="16"/>
  <c r="IK29" i="16"/>
  <c r="IJ29" i="16"/>
  <c r="II29" i="16"/>
  <c r="IF29" i="16"/>
  <c r="IE29" i="16"/>
  <c r="ID29" i="16"/>
  <c r="IC29" i="16"/>
  <c r="IB29" i="16"/>
  <c r="IA29" i="16"/>
  <c r="HX29" i="16"/>
  <c r="HW29" i="16"/>
  <c r="HV29" i="16"/>
  <c r="HU29" i="16"/>
  <c r="HT29" i="16"/>
  <c r="HS29" i="16"/>
  <c r="HP29" i="16"/>
  <c r="HO29" i="16"/>
  <c r="HN29" i="16"/>
  <c r="HM29" i="16"/>
  <c r="HL29" i="16"/>
  <c r="HK29" i="16"/>
  <c r="HH29" i="16"/>
  <c r="HG29" i="16"/>
  <c r="HF29" i="16"/>
  <c r="HE29" i="16"/>
  <c r="HD29" i="16"/>
  <c r="HC29" i="16"/>
  <c r="GZ29" i="16"/>
  <c r="GY29" i="16"/>
  <c r="GX29" i="16"/>
  <c r="GW29" i="16"/>
  <c r="GV29" i="16"/>
  <c r="GU29" i="16"/>
  <c r="GR29" i="16"/>
  <c r="GQ29" i="16"/>
  <c r="GP29" i="16"/>
  <c r="GO29" i="16"/>
  <c r="GN29" i="16"/>
  <c r="GM29" i="16"/>
  <c r="GJ29" i="16"/>
  <c r="GI29" i="16"/>
  <c r="GH29" i="16"/>
  <c r="GG29" i="16"/>
  <c r="GF29" i="16"/>
  <c r="GE29" i="16"/>
  <c r="GB29" i="16"/>
  <c r="GA29" i="16"/>
  <c r="FZ29" i="16"/>
  <c r="FY29" i="16"/>
  <c r="FX29" i="16"/>
  <c r="FW29" i="16"/>
  <c r="FT29" i="16"/>
  <c r="FS29" i="16"/>
  <c r="FR29" i="16"/>
  <c r="FQ29" i="16"/>
  <c r="FP29" i="16"/>
  <c r="FO29" i="16"/>
  <c r="FL29" i="16"/>
  <c r="FK29" i="16"/>
  <c r="FJ29" i="16"/>
  <c r="FI29" i="16"/>
  <c r="FH29" i="16"/>
  <c r="FG29" i="16"/>
  <c r="FD29" i="16"/>
  <c r="FC29" i="16"/>
  <c r="FB29" i="16"/>
  <c r="FA29" i="16"/>
  <c r="EZ29" i="16"/>
  <c r="EY29" i="16"/>
  <c r="EV29" i="16"/>
  <c r="EU29" i="16"/>
  <c r="ET29" i="16"/>
  <c r="ES29" i="16"/>
  <c r="ER29" i="16"/>
  <c r="EQ29" i="16"/>
  <c r="EN29" i="16"/>
  <c r="EM29" i="16"/>
  <c r="EL29" i="16"/>
  <c r="EK29" i="16"/>
  <c r="EJ29" i="16"/>
  <c r="EI29" i="16"/>
  <c r="EF29" i="16"/>
  <c r="EE29" i="16"/>
  <c r="ED29" i="16"/>
  <c r="EC29" i="16"/>
  <c r="EB29" i="16"/>
  <c r="EA29" i="16"/>
  <c r="DX29" i="16"/>
  <c r="DW29" i="16"/>
  <c r="DV29" i="16"/>
  <c r="DU29" i="16"/>
  <c r="DT29" i="16"/>
  <c r="DS29" i="16"/>
  <c r="DP29" i="16"/>
  <c r="DO29" i="16"/>
  <c r="DN29" i="16"/>
  <c r="DM29" i="16"/>
  <c r="DL29" i="16"/>
  <c r="DK29" i="16"/>
  <c r="DG29" i="16"/>
  <c r="DE29" i="16"/>
  <c r="DD29" i="16"/>
  <c r="DC29" i="16"/>
  <c r="DA29" i="16"/>
  <c r="CZ29" i="16"/>
  <c r="CY29" i="16"/>
  <c r="CX29" i="16"/>
  <c r="CU29" i="16"/>
  <c r="CT29" i="16"/>
  <c r="CS29" i="16"/>
  <c r="CR29" i="16"/>
  <c r="CO29" i="16"/>
  <c r="CN29" i="16"/>
  <c r="CM29" i="16"/>
  <c r="CL29" i="16"/>
  <c r="CI29" i="16"/>
  <c r="CH29" i="16"/>
  <c r="CG29" i="16"/>
  <c r="CF29" i="16"/>
  <c r="CC29" i="16"/>
  <c r="CB29" i="16"/>
  <c r="CA29" i="16"/>
  <c r="BZ29" i="16"/>
  <c r="BW29" i="16"/>
  <c r="BV29" i="16"/>
  <c r="BU29" i="16"/>
  <c r="BT29" i="16"/>
  <c r="BQ29" i="16"/>
  <c r="BP29" i="16"/>
  <c r="BO29" i="16"/>
  <c r="BN29" i="16"/>
  <c r="BK29" i="16"/>
  <c r="BJ29" i="16"/>
  <c r="BI29" i="16"/>
  <c r="BH29" i="16"/>
  <c r="BE29" i="16"/>
  <c r="BD29" i="16"/>
  <c r="BC29" i="16"/>
  <c r="BB29" i="16"/>
  <c r="AY29" i="16"/>
  <c r="AX29" i="16"/>
  <c r="AW29" i="16"/>
  <c r="AV29" i="16"/>
  <c r="AS29" i="16"/>
  <c r="AR29" i="16"/>
  <c r="AQ29" i="16"/>
  <c r="AP29" i="16"/>
  <c r="AM29" i="16"/>
  <c r="AL29" i="16"/>
  <c r="AK29" i="16"/>
  <c r="AJ29" i="16"/>
  <c r="AG29" i="16"/>
  <c r="AF29" i="16"/>
  <c r="AE29" i="16"/>
  <c r="AD29" i="16"/>
  <c r="AA29" i="16"/>
  <c r="Z29" i="16"/>
  <c r="Y29" i="16"/>
  <c r="X29" i="16"/>
  <c r="U29" i="16"/>
  <c r="T29" i="16"/>
  <c r="S29" i="16"/>
  <c r="R29" i="16"/>
  <c r="O29" i="16"/>
  <c r="N29" i="16"/>
  <c r="M29" i="16"/>
  <c r="L29" i="16"/>
  <c r="I29" i="16"/>
  <c r="H29" i="16"/>
  <c r="G29" i="16"/>
  <c r="F29" i="16"/>
  <c r="OW28" i="16"/>
  <c r="OV28" i="16"/>
  <c r="OU28" i="16"/>
  <c r="OT28" i="16"/>
  <c r="OS28" i="16"/>
  <c r="OR28" i="16"/>
  <c r="OQ28" i="16"/>
  <c r="OP28" i="16"/>
  <c r="OO28" i="16"/>
  <c r="ON28" i="16"/>
  <c r="OK28" i="16"/>
  <c r="OJ28" i="16"/>
  <c r="OI28" i="16"/>
  <c r="OH28" i="16"/>
  <c r="OG28" i="16"/>
  <c r="OF28" i="16"/>
  <c r="OE28" i="16"/>
  <c r="OB28" i="16"/>
  <c r="OA28" i="16"/>
  <c r="NZ28" i="16"/>
  <c r="NY28" i="16"/>
  <c r="NX28" i="16"/>
  <c r="NW28" i="16"/>
  <c r="NV28" i="16"/>
  <c r="NS28" i="16"/>
  <c r="NR28" i="16"/>
  <c r="NQ28" i="16"/>
  <c r="NP28" i="16"/>
  <c r="NO28" i="16"/>
  <c r="NN28" i="16"/>
  <c r="NM28" i="16"/>
  <c r="NJ28" i="16"/>
  <c r="NI28" i="16"/>
  <c r="NH28" i="16"/>
  <c r="NG28" i="16"/>
  <c r="NF28" i="16"/>
  <c r="NE28" i="16"/>
  <c r="ND28" i="16"/>
  <c r="NA28" i="16"/>
  <c r="MZ28" i="16"/>
  <c r="MY28" i="16"/>
  <c r="MX28" i="16"/>
  <c r="MW28" i="16"/>
  <c r="MV28" i="16"/>
  <c r="MU28" i="16"/>
  <c r="MR28" i="16"/>
  <c r="MQ28" i="16"/>
  <c r="MP28" i="16"/>
  <c r="MO28" i="16"/>
  <c r="MN28" i="16"/>
  <c r="MM28" i="16"/>
  <c r="ML28" i="16"/>
  <c r="MI28" i="16"/>
  <c r="MH28" i="16"/>
  <c r="MG28" i="16"/>
  <c r="MF28" i="16"/>
  <c r="ME28" i="16"/>
  <c r="MD28" i="16"/>
  <c r="MC28" i="16"/>
  <c r="LZ28" i="16"/>
  <c r="LY28" i="16"/>
  <c r="LX28" i="16"/>
  <c r="LW28" i="16"/>
  <c r="LV28" i="16"/>
  <c r="LU28" i="16"/>
  <c r="LT28" i="16"/>
  <c r="LQ28" i="16"/>
  <c r="LP28" i="16"/>
  <c r="LO28" i="16"/>
  <c r="LN28" i="16"/>
  <c r="LM28" i="16"/>
  <c r="LL28" i="16"/>
  <c r="LK28" i="16"/>
  <c r="LH28" i="16"/>
  <c r="LG28" i="16"/>
  <c r="LF28" i="16"/>
  <c r="LE28" i="16"/>
  <c r="LD28" i="16"/>
  <c r="LC28" i="16"/>
  <c r="LB28" i="16"/>
  <c r="KY28" i="16"/>
  <c r="KX28" i="16"/>
  <c r="KW28" i="16"/>
  <c r="KV28" i="16"/>
  <c r="KU28" i="16"/>
  <c r="KT28" i="16"/>
  <c r="KS28" i="16"/>
  <c r="KP28" i="16"/>
  <c r="KO28" i="16"/>
  <c r="KN28" i="16"/>
  <c r="KM28" i="16"/>
  <c r="KL28" i="16"/>
  <c r="KK28" i="16"/>
  <c r="KJ28" i="16"/>
  <c r="KG28" i="16"/>
  <c r="KF28" i="16"/>
  <c r="KE28" i="16"/>
  <c r="KD28" i="16"/>
  <c r="KC28" i="16"/>
  <c r="KB28" i="16"/>
  <c r="KA28" i="16"/>
  <c r="JX28" i="16"/>
  <c r="JW28" i="16"/>
  <c r="JV28" i="16"/>
  <c r="JU28" i="16"/>
  <c r="JT28" i="16"/>
  <c r="JS28" i="16"/>
  <c r="JR28" i="16"/>
  <c r="JO28" i="16"/>
  <c r="JN28" i="16"/>
  <c r="JM28" i="16"/>
  <c r="JL28" i="16"/>
  <c r="JK28" i="16"/>
  <c r="JJ28" i="16"/>
  <c r="JI28" i="16"/>
  <c r="JF28" i="16"/>
  <c r="JE28" i="16"/>
  <c r="JD28" i="16"/>
  <c r="JC28" i="16"/>
  <c r="JB28" i="16"/>
  <c r="JA28" i="16"/>
  <c r="IZ28" i="16"/>
  <c r="IQ28" i="16"/>
  <c r="IP28" i="16"/>
  <c r="IO28" i="16"/>
  <c r="IN28" i="16"/>
  <c r="IM28" i="16"/>
  <c r="IL28" i="16"/>
  <c r="IK28" i="16"/>
  <c r="IJ28" i="16"/>
  <c r="II28" i="16"/>
  <c r="IF28" i="16"/>
  <c r="IE28" i="16"/>
  <c r="ID28" i="16"/>
  <c r="IC28" i="16"/>
  <c r="IB28" i="16"/>
  <c r="IA28" i="16"/>
  <c r="HX28" i="16"/>
  <c r="HW28" i="16"/>
  <c r="HV28" i="16"/>
  <c r="HU28" i="16"/>
  <c r="HT28" i="16"/>
  <c r="HS28" i="16"/>
  <c r="HP28" i="16"/>
  <c r="HO28" i="16"/>
  <c r="HN28" i="16"/>
  <c r="HM28" i="16"/>
  <c r="HL28" i="16"/>
  <c r="HK28" i="16"/>
  <c r="HH28" i="16"/>
  <c r="HG28" i="16"/>
  <c r="HF28" i="16"/>
  <c r="HE28" i="16"/>
  <c r="HD28" i="16"/>
  <c r="HC28" i="16"/>
  <c r="GZ28" i="16"/>
  <c r="GY28" i="16"/>
  <c r="GX28" i="16"/>
  <c r="GW28" i="16"/>
  <c r="GV28" i="16"/>
  <c r="GU28" i="16"/>
  <c r="GR28" i="16"/>
  <c r="GQ28" i="16"/>
  <c r="GP28" i="16"/>
  <c r="GO28" i="16"/>
  <c r="GN28" i="16"/>
  <c r="GM28" i="16"/>
  <c r="GJ28" i="16"/>
  <c r="GI28" i="16"/>
  <c r="GH28" i="16"/>
  <c r="GG28" i="16"/>
  <c r="GF28" i="16"/>
  <c r="GE28" i="16"/>
  <c r="GB28" i="16"/>
  <c r="GA28" i="16"/>
  <c r="FZ28" i="16"/>
  <c r="FY28" i="16"/>
  <c r="FX28" i="16"/>
  <c r="FW28" i="16"/>
  <c r="FT28" i="16"/>
  <c r="FS28" i="16"/>
  <c r="FR28" i="16"/>
  <c r="FQ28" i="16"/>
  <c r="FP28" i="16"/>
  <c r="FO28" i="16"/>
  <c r="FL28" i="16"/>
  <c r="FK28" i="16"/>
  <c r="FJ28" i="16"/>
  <c r="FI28" i="16"/>
  <c r="FH28" i="16"/>
  <c r="FG28" i="16"/>
  <c r="FD28" i="16"/>
  <c r="FC28" i="16"/>
  <c r="FB28" i="16"/>
  <c r="FA28" i="16"/>
  <c r="EZ28" i="16"/>
  <c r="EY28" i="16"/>
  <c r="EV28" i="16"/>
  <c r="EU28" i="16"/>
  <c r="ET28" i="16"/>
  <c r="ES28" i="16"/>
  <c r="ER28" i="16"/>
  <c r="EQ28" i="16"/>
  <c r="EN28" i="16"/>
  <c r="EM28" i="16"/>
  <c r="EL28" i="16"/>
  <c r="EK28" i="16"/>
  <c r="EJ28" i="16"/>
  <c r="EI28" i="16"/>
  <c r="EF28" i="16"/>
  <c r="EE28" i="16"/>
  <c r="ED28" i="16"/>
  <c r="EC28" i="16"/>
  <c r="EB28" i="16"/>
  <c r="EA28" i="16"/>
  <c r="DX28" i="16"/>
  <c r="DW28" i="16"/>
  <c r="DV28" i="16"/>
  <c r="DU28" i="16"/>
  <c r="DT28" i="16"/>
  <c r="DS28" i="16"/>
  <c r="DP28" i="16"/>
  <c r="DO28" i="16"/>
  <c r="DN28" i="16"/>
  <c r="DM28" i="16"/>
  <c r="DL28" i="16"/>
  <c r="DK28" i="16"/>
  <c r="DG28" i="16"/>
  <c r="DE28" i="16"/>
  <c r="DD28" i="16"/>
  <c r="DC28" i="16"/>
  <c r="DA28" i="16"/>
  <c r="CZ28" i="16"/>
  <c r="CY28" i="16"/>
  <c r="CX28" i="16"/>
  <c r="CU28" i="16"/>
  <c r="CT28" i="16"/>
  <c r="CS28" i="16"/>
  <c r="CR28" i="16"/>
  <c r="CO28" i="16"/>
  <c r="CN28" i="16"/>
  <c r="CM28" i="16"/>
  <c r="CL28" i="16"/>
  <c r="CI28" i="16"/>
  <c r="CH28" i="16"/>
  <c r="CG28" i="16"/>
  <c r="CF28" i="16"/>
  <c r="CC28" i="16"/>
  <c r="CB28" i="16"/>
  <c r="CA28" i="16"/>
  <c r="BZ28" i="16"/>
  <c r="BW28" i="16"/>
  <c r="BV28" i="16"/>
  <c r="BU28" i="16"/>
  <c r="BT28" i="16"/>
  <c r="BQ28" i="16"/>
  <c r="BP28" i="16"/>
  <c r="BO28" i="16"/>
  <c r="BN28" i="16"/>
  <c r="BK28" i="16"/>
  <c r="BJ28" i="16"/>
  <c r="BI28" i="16"/>
  <c r="BH28" i="16"/>
  <c r="BE28" i="16"/>
  <c r="BD28" i="16"/>
  <c r="BC28" i="16"/>
  <c r="BB28" i="16"/>
  <c r="AY28" i="16"/>
  <c r="AX28" i="16"/>
  <c r="AW28" i="16"/>
  <c r="AV28" i="16"/>
  <c r="AS28" i="16"/>
  <c r="AR28" i="16"/>
  <c r="AQ28" i="16"/>
  <c r="AP28" i="16"/>
  <c r="AM28" i="16"/>
  <c r="AL28" i="16"/>
  <c r="AK28" i="16"/>
  <c r="AJ28" i="16"/>
  <c r="AG28" i="16"/>
  <c r="AF28" i="16"/>
  <c r="AE28" i="16"/>
  <c r="AD28" i="16"/>
  <c r="AA28" i="16"/>
  <c r="Z28" i="16"/>
  <c r="Y28" i="16"/>
  <c r="X28" i="16"/>
  <c r="U28" i="16"/>
  <c r="T28" i="16"/>
  <c r="S28" i="16"/>
  <c r="R28" i="16"/>
  <c r="O28" i="16"/>
  <c r="N28" i="16"/>
  <c r="M28" i="16"/>
  <c r="L28" i="16"/>
  <c r="I28" i="16"/>
  <c r="H28" i="16"/>
  <c r="G28" i="16"/>
  <c r="F28" i="16"/>
  <c r="OW27" i="16"/>
  <c r="OV27" i="16"/>
  <c r="OU27" i="16"/>
  <c r="OT27" i="16"/>
  <c r="OS27" i="16"/>
  <c r="OR27" i="16"/>
  <c r="OQ27" i="16"/>
  <c r="OP27" i="16"/>
  <c r="OO27" i="16"/>
  <c r="ON27" i="16"/>
  <c r="OK27" i="16"/>
  <c r="OJ27" i="16"/>
  <c r="OI27" i="16"/>
  <c r="OH27" i="16"/>
  <c r="OG27" i="16"/>
  <c r="OF27" i="16"/>
  <c r="OE27" i="16"/>
  <c r="OB27" i="16"/>
  <c r="OA27" i="16"/>
  <c r="NZ27" i="16"/>
  <c r="NY27" i="16"/>
  <c r="NX27" i="16"/>
  <c r="NW27" i="16"/>
  <c r="NV27" i="16"/>
  <c r="NS27" i="16"/>
  <c r="NR27" i="16"/>
  <c r="NQ27" i="16"/>
  <c r="NP27" i="16"/>
  <c r="NO27" i="16"/>
  <c r="NN27" i="16"/>
  <c r="NM27" i="16"/>
  <c r="NJ27" i="16"/>
  <c r="NI27" i="16"/>
  <c r="NH27" i="16"/>
  <c r="NG27" i="16"/>
  <c r="NF27" i="16"/>
  <c r="NE27" i="16"/>
  <c r="ND27" i="16"/>
  <c r="NA27" i="16"/>
  <c r="MZ27" i="16"/>
  <c r="MY27" i="16"/>
  <c r="MX27" i="16"/>
  <c r="MW27" i="16"/>
  <c r="MV27" i="16"/>
  <c r="MU27" i="16"/>
  <c r="MR27" i="16"/>
  <c r="MQ27" i="16"/>
  <c r="MP27" i="16"/>
  <c r="MO27" i="16"/>
  <c r="MN27" i="16"/>
  <c r="MM27" i="16"/>
  <c r="ML27" i="16"/>
  <c r="MI27" i="16"/>
  <c r="MH27" i="16"/>
  <c r="MG27" i="16"/>
  <c r="MF27" i="16"/>
  <c r="ME27" i="16"/>
  <c r="MD27" i="16"/>
  <c r="MC27" i="16"/>
  <c r="LZ27" i="16"/>
  <c r="LY27" i="16"/>
  <c r="LX27" i="16"/>
  <c r="LW27" i="16"/>
  <c r="LV27" i="16"/>
  <c r="LU27" i="16"/>
  <c r="LT27" i="16"/>
  <c r="LQ27" i="16"/>
  <c r="LP27" i="16"/>
  <c r="LO27" i="16"/>
  <c r="LN27" i="16"/>
  <c r="LM27" i="16"/>
  <c r="LL27" i="16"/>
  <c r="LK27" i="16"/>
  <c r="LH27" i="16"/>
  <c r="LG27" i="16"/>
  <c r="LF27" i="16"/>
  <c r="LE27" i="16"/>
  <c r="LD27" i="16"/>
  <c r="LC27" i="16"/>
  <c r="LB27" i="16"/>
  <c r="KY27" i="16"/>
  <c r="KX27" i="16"/>
  <c r="KW27" i="16"/>
  <c r="KV27" i="16"/>
  <c r="KU27" i="16"/>
  <c r="KT27" i="16"/>
  <c r="KS27" i="16"/>
  <c r="KP27" i="16"/>
  <c r="KO27" i="16"/>
  <c r="KN27" i="16"/>
  <c r="KM27" i="16"/>
  <c r="KL27" i="16"/>
  <c r="KK27" i="16"/>
  <c r="KJ27" i="16"/>
  <c r="KG27" i="16"/>
  <c r="KF27" i="16"/>
  <c r="KE27" i="16"/>
  <c r="KD27" i="16"/>
  <c r="KC27" i="16"/>
  <c r="KB27" i="16"/>
  <c r="KA27" i="16"/>
  <c r="JX27" i="16"/>
  <c r="JW27" i="16"/>
  <c r="JV27" i="16"/>
  <c r="JU27" i="16"/>
  <c r="JT27" i="16"/>
  <c r="JS27" i="16"/>
  <c r="JR27" i="16"/>
  <c r="JO27" i="16"/>
  <c r="JN27" i="16"/>
  <c r="JM27" i="16"/>
  <c r="JL27" i="16"/>
  <c r="JK27" i="16"/>
  <c r="JJ27" i="16"/>
  <c r="JI27" i="16"/>
  <c r="JF27" i="16"/>
  <c r="JE27" i="16"/>
  <c r="JD27" i="16"/>
  <c r="JC27" i="16"/>
  <c r="JB27" i="16"/>
  <c r="JA27" i="16"/>
  <c r="IZ27" i="16"/>
  <c r="IQ27" i="16"/>
  <c r="IP27" i="16"/>
  <c r="IO27" i="16"/>
  <c r="IN27" i="16"/>
  <c r="IM27" i="16"/>
  <c r="IL27" i="16"/>
  <c r="IK27" i="16"/>
  <c r="IJ27" i="16"/>
  <c r="II27" i="16"/>
  <c r="IF27" i="16"/>
  <c r="IE27" i="16"/>
  <c r="ID27" i="16"/>
  <c r="IC27" i="16"/>
  <c r="IB27" i="16"/>
  <c r="IA27" i="16"/>
  <c r="HX27" i="16"/>
  <c r="HW27" i="16"/>
  <c r="HV27" i="16"/>
  <c r="HU27" i="16"/>
  <c r="HT27" i="16"/>
  <c r="HS27" i="16"/>
  <c r="HP27" i="16"/>
  <c r="HO27" i="16"/>
  <c r="HN27" i="16"/>
  <c r="HM27" i="16"/>
  <c r="HL27" i="16"/>
  <c r="HK27" i="16"/>
  <c r="HH27" i="16"/>
  <c r="HG27" i="16"/>
  <c r="HF27" i="16"/>
  <c r="HE27" i="16"/>
  <c r="HD27" i="16"/>
  <c r="HC27" i="16"/>
  <c r="GZ27" i="16"/>
  <c r="GY27" i="16"/>
  <c r="GX27" i="16"/>
  <c r="GW27" i="16"/>
  <c r="GV27" i="16"/>
  <c r="GU27" i="16"/>
  <c r="GR27" i="16"/>
  <c r="GQ27" i="16"/>
  <c r="GP27" i="16"/>
  <c r="GO27" i="16"/>
  <c r="GN27" i="16"/>
  <c r="GM27" i="16"/>
  <c r="GJ27" i="16"/>
  <c r="GI27" i="16"/>
  <c r="GH27" i="16"/>
  <c r="GG27" i="16"/>
  <c r="GF27" i="16"/>
  <c r="GE27" i="16"/>
  <c r="GB27" i="16"/>
  <c r="GA27" i="16"/>
  <c r="FZ27" i="16"/>
  <c r="FY27" i="16"/>
  <c r="FX27" i="16"/>
  <c r="FW27" i="16"/>
  <c r="FT27" i="16"/>
  <c r="FS27" i="16"/>
  <c r="FR27" i="16"/>
  <c r="FQ27" i="16"/>
  <c r="FP27" i="16"/>
  <c r="FO27" i="16"/>
  <c r="FL27" i="16"/>
  <c r="FK27" i="16"/>
  <c r="FJ27" i="16"/>
  <c r="FI27" i="16"/>
  <c r="FH27" i="16"/>
  <c r="FG27" i="16"/>
  <c r="FD27" i="16"/>
  <c r="FC27" i="16"/>
  <c r="FB27" i="16"/>
  <c r="FA27" i="16"/>
  <c r="EZ27" i="16"/>
  <c r="EY27" i="16"/>
  <c r="EV27" i="16"/>
  <c r="EU27" i="16"/>
  <c r="ET27" i="16"/>
  <c r="ES27" i="16"/>
  <c r="ER27" i="16"/>
  <c r="EQ27" i="16"/>
  <c r="EN27" i="16"/>
  <c r="EM27" i="16"/>
  <c r="EL27" i="16"/>
  <c r="EK27" i="16"/>
  <c r="EJ27" i="16"/>
  <c r="EI27" i="16"/>
  <c r="EF27" i="16"/>
  <c r="EE27" i="16"/>
  <c r="ED27" i="16"/>
  <c r="EC27" i="16"/>
  <c r="EB27" i="16"/>
  <c r="EA27" i="16"/>
  <c r="DX27" i="16"/>
  <c r="DW27" i="16"/>
  <c r="DV27" i="16"/>
  <c r="DU27" i="16"/>
  <c r="DT27" i="16"/>
  <c r="DS27" i="16"/>
  <c r="DP27" i="16"/>
  <c r="DO27" i="16"/>
  <c r="DN27" i="16"/>
  <c r="DM27" i="16"/>
  <c r="DL27" i="16"/>
  <c r="DK27" i="16"/>
  <c r="DG27" i="16"/>
  <c r="DE27" i="16"/>
  <c r="DD27" i="16"/>
  <c r="DC27" i="16"/>
  <c r="DA27" i="16"/>
  <c r="CZ27" i="16"/>
  <c r="CY27" i="16"/>
  <c r="CX27" i="16"/>
  <c r="CU27" i="16"/>
  <c r="CT27" i="16"/>
  <c r="CS27" i="16"/>
  <c r="CR27" i="16"/>
  <c r="CO27" i="16"/>
  <c r="CN27" i="16"/>
  <c r="CM27" i="16"/>
  <c r="CL27" i="16"/>
  <c r="CI27" i="16"/>
  <c r="CH27" i="16"/>
  <c r="CG27" i="16"/>
  <c r="CF27" i="16"/>
  <c r="CC27" i="16"/>
  <c r="CB27" i="16"/>
  <c r="CA27" i="16"/>
  <c r="BZ27" i="16"/>
  <c r="BW27" i="16"/>
  <c r="BV27" i="16"/>
  <c r="BU27" i="16"/>
  <c r="BT27" i="16"/>
  <c r="BQ27" i="16"/>
  <c r="BP27" i="16"/>
  <c r="BO27" i="16"/>
  <c r="BN27" i="16"/>
  <c r="BK27" i="16"/>
  <c r="BJ27" i="16"/>
  <c r="BI27" i="16"/>
  <c r="BH27" i="16"/>
  <c r="BE27" i="16"/>
  <c r="BD27" i="16"/>
  <c r="BC27" i="16"/>
  <c r="BB27" i="16"/>
  <c r="AY27" i="16"/>
  <c r="AX27" i="16"/>
  <c r="AW27" i="16"/>
  <c r="AV27" i="16"/>
  <c r="AS27" i="16"/>
  <c r="AR27" i="16"/>
  <c r="AQ27" i="16"/>
  <c r="AP27" i="16"/>
  <c r="AM27" i="16"/>
  <c r="AL27" i="16"/>
  <c r="AK27" i="16"/>
  <c r="AJ27" i="16"/>
  <c r="AG27" i="16"/>
  <c r="AF27" i="16"/>
  <c r="AE27" i="16"/>
  <c r="AD27" i="16"/>
  <c r="AA27" i="16"/>
  <c r="Z27" i="16"/>
  <c r="Y27" i="16"/>
  <c r="X27" i="16"/>
  <c r="U27" i="16"/>
  <c r="T27" i="16"/>
  <c r="S27" i="16"/>
  <c r="R27" i="16"/>
  <c r="O27" i="16"/>
  <c r="N27" i="16"/>
  <c r="M27" i="16"/>
  <c r="L27" i="16"/>
  <c r="I27" i="16"/>
  <c r="H27" i="16"/>
  <c r="G27" i="16"/>
  <c r="F27" i="16"/>
  <c r="OW26" i="16"/>
  <c r="OV26" i="16"/>
  <c r="OU26" i="16"/>
  <c r="OT26" i="16"/>
  <c r="OS26" i="16"/>
  <c r="OR26" i="16"/>
  <c r="OQ26" i="16"/>
  <c r="OP26" i="16"/>
  <c r="OO26" i="16"/>
  <c r="ON26" i="16"/>
  <c r="OK26" i="16"/>
  <c r="OJ26" i="16"/>
  <c r="OI26" i="16"/>
  <c r="OH26" i="16"/>
  <c r="OG26" i="16"/>
  <c r="OF26" i="16"/>
  <c r="OE26" i="16"/>
  <c r="OB26" i="16"/>
  <c r="OA26" i="16"/>
  <c r="NZ26" i="16"/>
  <c r="NY26" i="16"/>
  <c r="NX26" i="16"/>
  <c r="NW26" i="16"/>
  <c r="NV26" i="16"/>
  <c r="NS26" i="16"/>
  <c r="NR26" i="16"/>
  <c r="NQ26" i="16"/>
  <c r="NP26" i="16"/>
  <c r="NO26" i="16"/>
  <c r="NN26" i="16"/>
  <c r="NM26" i="16"/>
  <c r="NJ26" i="16"/>
  <c r="NI26" i="16"/>
  <c r="NH26" i="16"/>
  <c r="NG26" i="16"/>
  <c r="NF26" i="16"/>
  <c r="NE26" i="16"/>
  <c r="ND26" i="16"/>
  <c r="NA26" i="16"/>
  <c r="MZ26" i="16"/>
  <c r="MY26" i="16"/>
  <c r="MX26" i="16"/>
  <c r="MW26" i="16"/>
  <c r="MV26" i="16"/>
  <c r="MU26" i="16"/>
  <c r="MR26" i="16"/>
  <c r="MQ26" i="16"/>
  <c r="MP26" i="16"/>
  <c r="MO26" i="16"/>
  <c r="MN26" i="16"/>
  <c r="MM26" i="16"/>
  <c r="ML26" i="16"/>
  <c r="MI26" i="16"/>
  <c r="MH26" i="16"/>
  <c r="MG26" i="16"/>
  <c r="MF26" i="16"/>
  <c r="ME26" i="16"/>
  <c r="MD26" i="16"/>
  <c r="MC26" i="16"/>
  <c r="LZ26" i="16"/>
  <c r="LY26" i="16"/>
  <c r="LX26" i="16"/>
  <c r="LW26" i="16"/>
  <c r="LV26" i="16"/>
  <c r="LU26" i="16"/>
  <c r="LT26" i="16"/>
  <c r="LQ26" i="16"/>
  <c r="LP26" i="16"/>
  <c r="LO26" i="16"/>
  <c r="LN26" i="16"/>
  <c r="LM26" i="16"/>
  <c r="LL26" i="16"/>
  <c r="LK26" i="16"/>
  <c r="LH26" i="16"/>
  <c r="LG26" i="16"/>
  <c r="LF26" i="16"/>
  <c r="LE26" i="16"/>
  <c r="LD26" i="16"/>
  <c r="LC26" i="16"/>
  <c r="LB26" i="16"/>
  <c r="KY26" i="16"/>
  <c r="KX26" i="16"/>
  <c r="KW26" i="16"/>
  <c r="KV26" i="16"/>
  <c r="KU26" i="16"/>
  <c r="KT26" i="16"/>
  <c r="KS26" i="16"/>
  <c r="KP26" i="16"/>
  <c r="KO26" i="16"/>
  <c r="KN26" i="16"/>
  <c r="KM26" i="16"/>
  <c r="KL26" i="16"/>
  <c r="KK26" i="16"/>
  <c r="KJ26" i="16"/>
  <c r="KG26" i="16"/>
  <c r="KF26" i="16"/>
  <c r="KE26" i="16"/>
  <c r="KD26" i="16"/>
  <c r="KC26" i="16"/>
  <c r="KB26" i="16"/>
  <c r="KA26" i="16"/>
  <c r="JX26" i="16"/>
  <c r="JW26" i="16"/>
  <c r="JV26" i="16"/>
  <c r="JU26" i="16"/>
  <c r="JT26" i="16"/>
  <c r="JS26" i="16"/>
  <c r="JR26" i="16"/>
  <c r="JO26" i="16"/>
  <c r="JN26" i="16"/>
  <c r="JM26" i="16"/>
  <c r="JL26" i="16"/>
  <c r="JK26" i="16"/>
  <c r="JJ26" i="16"/>
  <c r="JI26" i="16"/>
  <c r="JF26" i="16"/>
  <c r="JE26" i="16"/>
  <c r="JD26" i="16"/>
  <c r="JC26" i="16"/>
  <c r="JB26" i="16"/>
  <c r="JA26" i="16"/>
  <c r="IZ26" i="16"/>
  <c r="IQ26" i="16"/>
  <c r="IP26" i="16"/>
  <c r="IO26" i="16"/>
  <c r="IN26" i="16"/>
  <c r="IM26" i="16"/>
  <c r="IL26" i="16"/>
  <c r="IK26" i="16"/>
  <c r="IJ26" i="16"/>
  <c r="II26" i="16"/>
  <c r="IF26" i="16"/>
  <c r="IE26" i="16"/>
  <c r="ID26" i="16"/>
  <c r="IC26" i="16"/>
  <c r="IB26" i="16"/>
  <c r="IA26" i="16"/>
  <c r="HX26" i="16"/>
  <c r="HW26" i="16"/>
  <c r="HV26" i="16"/>
  <c r="HU26" i="16"/>
  <c r="HT26" i="16"/>
  <c r="HS26" i="16"/>
  <c r="HP26" i="16"/>
  <c r="HO26" i="16"/>
  <c r="HN26" i="16"/>
  <c r="HM26" i="16"/>
  <c r="HL26" i="16"/>
  <c r="HK26" i="16"/>
  <c r="HH26" i="16"/>
  <c r="HG26" i="16"/>
  <c r="HF26" i="16"/>
  <c r="HE26" i="16"/>
  <c r="HD26" i="16"/>
  <c r="HC26" i="16"/>
  <c r="GZ26" i="16"/>
  <c r="GY26" i="16"/>
  <c r="GX26" i="16"/>
  <c r="GW26" i="16"/>
  <c r="GV26" i="16"/>
  <c r="GU26" i="16"/>
  <c r="GR26" i="16"/>
  <c r="GQ26" i="16"/>
  <c r="GP26" i="16"/>
  <c r="GO26" i="16"/>
  <c r="GN26" i="16"/>
  <c r="GM26" i="16"/>
  <c r="GJ26" i="16"/>
  <c r="GI26" i="16"/>
  <c r="GH26" i="16"/>
  <c r="GG26" i="16"/>
  <c r="GF26" i="16"/>
  <c r="GE26" i="16"/>
  <c r="GB26" i="16"/>
  <c r="GA26" i="16"/>
  <c r="FZ26" i="16"/>
  <c r="FY26" i="16"/>
  <c r="FX26" i="16"/>
  <c r="FW26" i="16"/>
  <c r="FT26" i="16"/>
  <c r="FS26" i="16"/>
  <c r="FR26" i="16"/>
  <c r="FQ26" i="16"/>
  <c r="FP26" i="16"/>
  <c r="FO26" i="16"/>
  <c r="FL26" i="16"/>
  <c r="FK26" i="16"/>
  <c r="FJ26" i="16"/>
  <c r="FI26" i="16"/>
  <c r="FH26" i="16"/>
  <c r="FG26" i="16"/>
  <c r="FD26" i="16"/>
  <c r="FC26" i="16"/>
  <c r="FB26" i="16"/>
  <c r="FA26" i="16"/>
  <c r="EZ26" i="16"/>
  <c r="EY26" i="16"/>
  <c r="EV26" i="16"/>
  <c r="EU26" i="16"/>
  <c r="ET26" i="16"/>
  <c r="ES26" i="16"/>
  <c r="ER26" i="16"/>
  <c r="EQ26" i="16"/>
  <c r="EN26" i="16"/>
  <c r="EM26" i="16"/>
  <c r="EL26" i="16"/>
  <c r="EK26" i="16"/>
  <c r="EJ26" i="16"/>
  <c r="EI26" i="16"/>
  <c r="EF26" i="16"/>
  <c r="EE26" i="16"/>
  <c r="ED26" i="16"/>
  <c r="EC26" i="16"/>
  <c r="EB26" i="16"/>
  <c r="EA26" i="16"/>
  <c r="DX26" i="16"/>
  <c r="DW26" i="16"/>
  <c r="DV26" i="16"/>
  <c r="DU26" i="16"/>
  <c r="DT26" i="16"/>
  <c r="DS26" i="16"/>
  <c r="DP26" i="16"/>
  <c r="DO26" i="16"/>
  <c r="DN26" i="16"/>
  <c r="DM26" i="16"/>
  <c r="DL26" i="16"/>
  <c r="DK26" i="16"/>
  <c r="DG26" i="16"/>
  <c r="DE26" i="16"/>
  <c r="DD26" i="16"/>
  <c r="DC26" i="16"/>
  <c r="DA26" i="16"/>
  <c r="CZ26" i="16"/>
  <c r="CY26" i="16"/>
  <c r="CX26" i="16"/>
  <c r="CU26" i="16"/>
  <c r="CT26" i="16"/>
  <c r="CS26" i="16"/>
  <c r="CR26" i="16"/>
  <c r="CO26" i="16"/>
  <c r="CN26" i="16"/>
  <c r="CM26" i="16"/>
  <c r="CL26" i="16"/>
  <c r="CI26" i="16"/>
  <c r="CH26" i="16"/>
  <c r="CG26" i="16"/>
  <c r="CF26" i="16"/>
  <c r="CC26" i="16"/>
  <c r="CB26" i="16"/>
  <c r="CA26" i="16"/>
  <c r="BZ26" i="16"/>
  <c r="BW26" i="16"/>
  <c r="BV26" i="16"/>
  <c r="BU26" i="16"/>
  <c r="BT26" i="16"/>
  <c r="BQ26" i="16"/>
  <c r="BP26" i="16"/>
  <c r="BO26" i="16"/>
  <c r="BN26" i="16"/>
  <c r="BK26" i="16"/>
  <c r="BJ26" i="16"/>
  <c r="BI26" i="16"/>
  <c r="BH26" i="16"/>
  <c r="BE26" i="16"/>
  <c r="BD26" i="16"/>
  <c r="BC26" i="16"/>
  <c r="BB26" i="16"/>
  <c r="AY26" i="16"/>
  <c r="AX26" i="16"/>
  <c r="AW26" i="16"/>
  <c r="AV26" i="16"/>
  <c r="AS26" i="16"/>
  <c r="AR26" i="16"/>
  <c r="AQ26" i="16"/>
  <c r="AP26" i="16"/>
  <c r="AM26" i="16"/>
  <c r="AL26" i="16"/>
  <c r="AK26" i="16"/>
  <c r="AJ26" i="16"/>
  <c r="AG26" i="16"/>
  <c r="AF26" i="16"/>
  <c r="AE26" i="16"/>
  <c r="AD26" i="16"/>
  <c r="AA26" i="16"/>
  <c r="Z26" i="16"/>
  <c r="Y26" i="16"/>
  <c r="X26" i="16"/>
  <c r="U26" i="16"/>
  <c r="T26" i="16"/>
  <c r="S26" i="16"/>
  <c r="R26" i="16"/>
  <c r="O26" i="16"/>
  <c r="N26" i="16"/>
  <c r="M26" i="16"/>
  <c r="L26" i="16"/>
  <c r="I26" i="16"/>
  <c r="H26" i="16"/>
  <c r="G26" i="16"/>
  <c r="F26" i="16"/>
  <c r="OW25" i="16"/>
  <c r="OV25" i="16"/>
  <c r="OU25" i="16"/>
  <c r="OT25" i="16"/>
  <c r="OS25" i="16"/>
  <c r="OR25" i="16"/>
  <c r="OQ25" i="16"/>
  <c r="OP25" i="16"/>
  <c r="OO25" i="16"/>
  <c r="ON25" i="16"/>
  <c r="OK25" i="16"/>
  <c r="OJ25" i="16"/>
  <c r="OI25" i="16"/>
  <c r="OH25" i="16"/>
  <c r="OG25" i="16"/>
  <c r="OF25" i="16"/>
  <c r="OE25" i="16"/>
  <c r="OB25" i="16"/>
  <c r="OA25" i="16"/>
  <c r="NZ25" i="16"/>
  <c r="NY25" i="16"/>
  <c r="NX25" i="16"/>
  <c r="NW25" i="16"/>
  <c r="NV25" i="16"/>
  <c r="NS25" i="16"/>
  <c r="NR25" i="16"/>
  <c r="NQ25" i="16"/>
  <c r="NP25" i="16"/>
  <c r="NO25" i="16"/>
  <c r="NN25" i="16"/>
  <c r="NM25" i="16"/>
  <c r="NJ25" i="16"/>
  <c r="NI25" i="16"/>
  <c r="NH25" i="16"/>
  <c r="NG25" i="16"/>
  <c r="NF25" i="16"/>
  <c r="NE25" i="16"/>
  <c r="ND25" i="16"/>
  <c r="NA25" i="16"/>
  <c r="MZ25" i="16"/>
  <c r="MY25" i="16"/>
  <c r="MX25" i="16"/>
  <c r="MW25" i="16"/>
  <c r="MV25" i="16"/>
  <c r="MU25" i="16"/>
  <c r="MR25" i="16"/>
  <c r="MQ25" i="16"/>
  <c r="MP25" i="16"/>
  <c r="MO25" i="16"/>
  <c r="MN25" i="16"/>
  <c r="MM25" i="16"/>
  <c r="ML25" i="16"/>
  <c r="MI25" i="16"/>
  <c r="MH25" i="16"/>
  <c r="MG25" i="16"/>
  <c r="MF25" i="16"/>
  <c r="ME25" i="16"/>
  <c r="MD25" i="16"/>
  <c r="MC25" i="16"/>
  <c r="LZ25" i="16"/>
  <c r="LY25" i="16"/>
  <c r="LX25" i="16"/>
  <c r="LW25" i="16"/>
  <c r="LV25" i="16"/>
  <c r="LU25" i="16"/>
  <c r="LT25" i="16"/>
  <c r="LQ25" i="16"/>
  <c r="LP25" i="16"/>
  <c r="LO25" i="16"/>
  <c r="LN25" i="16"/>
  <c r="LM25" i="16"/>
  <c r="LL25" i="16"/>
  <c r="LK25" i="16"/>
  <c r="LH25" i="16"/>
  <c r="LG25" i="16"/>
  <c r="LF25" i="16"/>
  <c r="LE25" i="16"/>
  <c r="LD25" i="16"/>
  <c r="LC25" i="16"/>
  <c r="LB25" i="16"/>
  <c r="KY25" i="16"/>
  <c r="KX25" i="16"/>
  <c r="KW25" i="16"/>
  <c r="KV25" i="16"/>
  <c r="KU25" i="16"/>
  <c r="KT25" i="16"/>
  <c r="KS25" i="16"/>
  <c r="KP25" i="16"/>
  <c r="KO25" i="16"/>
  <c r="KN25" i="16"/>
  <c r="KM25" i="16"/>
  <c r="KL25" i="16"/>
  <c r="KK25" i="16"/>
  <c r="KJ25" i="16"/>
  <c r="KG25" i="16"/>
  <c r="KF25" i="16"/>
  <c r="KE25" i="16"/>
  <c r="KD25" i="16"/>
  <c r="KC25" i="16"/>
  <c r="KB25" i="16"/>
  <c r="KA25" i="16"/>
  <c r="JX25" i="16"/>
  <c r="JW25" i="16"/>
  <c r="JV25" i="16"/>
  <c r="JU25" i="16"/>
  <c r="JT25" i="16"/>
  <c r="JS25" i="16"/>
  <c r="JR25" i="16"/>
  <c r="JO25" i="16"/>
  <c r="JN25" i="16"/>
  <c r="JM25" i="16"/>
  <c r="JL25" i="16"/>
  <c r="JK25" i="16"/>
  <c r="JJ25" i="16"/>
  <c r="JI25" i="16"/>
  <c r="JF25" i="16"/>
  <c r="JE25" i="16"/>
  <c r="JD25" i="16"/>
  <c r="JC25" i="16"/>
  <c r="JB25" i="16"/>
  <c r="JA25" i="16"/>
  <c r="IZ25" i="16"/>
  <c r="IQ25" i="16"/>
  <c r="IP25" i="16"/>
  <c r="IO25" i="16"/>
  <c r="IN25" i="16"/>
  <c r="IM25" i="16"/>
  <c r="IL25" i="16"/>
  <c r="IK25" i="16"/>
  <c r="IJ25" i="16"/>
  <c r="II25" i="16"/>
  <c r="IF25" i="16"/>
  <c r="IE25" i="16"/>
  <c r="ID25" i="16"/>
  <c r="IC25" i="16"/>
  <c r="IB25" i="16"/>
  <c r="IA25" i="16"/>
  <c r="HX25" i="16"/>
  <c r="HW25" i="16"/>
  <c r="HV25" i="16"/>
  <c r="HU25" i="16"/>
  <c r="HT25" i="16"/>
  <c r="HS25" i="16"/>
  <c r="HP25" i="16"/>
  <c r="HO25" i="16"/>
  <c r="HN25" i="16"/>
  <c r="HM25" i="16"/>
  <c r="HL25" i="16"/>
  <c r="HK25" i="16"/>
  <c r="HH25" i="16"/>
  <c r="HG25" i="16"/>
  <c r="HF25" i="16"/>
  <c r="HE25" i="16"/>
  <c r="HD25" i="16"/>
  <c r="HC25" i="16"/>
  <c r="GZ25" i="16"/>
  <c r="GY25" i="16"/>
  <c r="GX25" i="16"/>
  <c r="GW25" i="16"/>
  <c r="GV25" i="16"/>
  <c r="GU25" i="16"/>
  <c r="GR25" i="16"/>
  <c r="GQ25" i="16"/>
  <c r="GP25" i="16"/>
  <c r="GO25" i="16"/>
  <c r="GN25" i="16"/>
  <c r="GM25" i="16"/>
  <c r="GJ25" i="16"/>
  <c r="GI25" i="16"/>
  <c r="GH25" i="16"/>
  <c r="GG25" i="16"/>
  <c r="GF25" i="16"/>
  <c r="GE25" i="16"/>
  <c r="GB25" i="16"/>
  <c r="GA25" i="16"/>
  <c r="FZ25" i="16"/>
  <c r="FY25" i="16"/>
  <c r="FX25" i="16"/>
  <c r="FW25" i="16"/>
  <c r="FT25" i="16"/>
  <c r="FS25" i="16"/>
  <c r="FR25" i="16"/>
  <c r="FQ25" i="16"/>
  <c r="FP25" i="16"/>
  <c r="FO25" i="16"/>
  <c r="FL25" i="16"/>
  <c r="FK25" i="16"/>
  <c r="FJ25" i="16"/>
  <c r="FI25" i="16"/>
  <c r="FH25" i="16"/>
  <c r="FG25" i="16"/>
  <c r="FD25" i="16"/>
  <c r="FC25" i="16"/>
  <c r="FB25" i="16"/>
  <c r="FA25" i="16"/>
  <c r="EZ25" i="16"/>
  <c r="EY25" i="16"/>
  <c r="EV25" i="16"/>
  <c r="EU25" i="16"/>
  <c r="ET25" i="16"/>
  <c r="ES25" i="16"/>
  <c r="ER25" i="16"/>
  <c r="EQ25" i="16"/>
  <c r="EN25" i="16"/>
  <c r="EM25" i="16"/>
  <c r="EL25" i="16"/>
  <c r="EK25" i="16"/>
  <c r="EJ25" i="16"/>
  <c r="EI25" i="16"/>
  <c r="EF25" i="16"/>
  <c r="EE25" i="16"/>
  <c r="ED25" i="16"/>
  <c r="EC25" i="16"/>
  <c r="EB25" i="16"/>
  <c r="EA25" i="16"/>
  <c r="DX25" i="16"/>
  <c r="DW25" i="16"/>
  <c r="DV25" i="16"/>
  <c r="DU25" i="16"/>
  <c r="DT25" i="16"/>
  <c r="DS25" i="16"/>
  <c r="DP25" i="16"/>
  <c r="DO25" i="16"/>
  <c r="DN25" i="16"/>
  <c r="DM25" i="16"/>
  <c r="DL25" i="16"/>
  <c r="DK25" i="16"/>
  <c r="DG25" i="16"/>
  <c r="DE25" i="16"/>
  <c r="DD25" i="16"/>
  <c r="DC25" i="16"/>
  <c r="DA25" i="16"/>
  <c r="CZ25" i="16"/>
  <c r="CY25" i="16"/>
  <c r="CX25" i="16"/>
  <c r="CU25" i="16"/>
  <c r="CT25" i="16"/>
  <c r="CS25" i="16"/>
  <c r="CR25" i="16"/>
  <c r="CO25" i="16"/>
  <c r="CN25" i="16"/>
  <c r="CM25" i="16"/>
  <c r="CL25" i="16"/>
  <c r="CI25" i="16"/>
  <c r="CH25" i="16"/>
  <c r="CG25" i="16"/>
  <c r="CF25" i="16"/>
  <c r="CC25" i="16"/>
  <c r="CB25" i="16"/>
  <c r="CA25" i="16"/>
  <c r="BZ25" i="16"/>
  <c r="BW25" i="16"/>
  <c r="BV25" i="16"/>
  <c r="BU25" i="16"/>
  <c r="BT25" i="16"/>
  <c r="BQ25" i="16"/>
  <c r="BP25" i="16"/>
  <c r="BO25" i="16"/>
  <c r="BN25" i="16"/>
  <c r="BK25" i="16"/>
  <c r="BJ25" i="16"/>
  <c r="BI25" i="16"/>
  <c r="BH25" i="16"/>
  <c r="BE25" i="16"/>
  <c r="BD25" i="16"/>
  <c r="BC25" i="16"/>
  <c r="BB25" i="16"/>
  <c r="AY25" i="16"/>
  <c r="AX25" i="16"/>
  <c r="AW25" i="16"/>
  <c r="AV25" i="16"/>
  <c r="AS25" i="16"/>
  <c r="AR25" i="16"/>
  <c r="AQ25" i="16"/>
  <c r="AP25" i="16"/>
  <c r="AM25" i="16"/>
  <c r="AL25" i="16"/>
  <c r="AK25" i="16"/>
  <c r="AJ25" i="16"/>
  <c r="AG25" i="16"/>
  <c r="AF25" i="16"/>
  <c r="AE25" i="16"/>
  <c r="AD25" i="16"/>
  <c r="AA25" i="16"/>
  <c r="Z25" i="16"/>
  <c r="Y25" i="16"/>
  <c r="X25" i="16"/>
  <c r="U25" i="16"/>
  <c r="T25" i="16"/>
  <c r="S25" i="16"/>
  <c r="R25" i="16"/>
  <c r="O25" i="16"/>
  <c r="N25" i="16"/>
  <c r="M25" i="16"/>
  <c r="L25" i="16"/>
  <c r="I25" i="16"/>
  <c r="H25" i="16"/>
  <c r="G25" i="16"/>
  <c r="F25" i="16"/>
  <c r="OW24" i="16"/>
  <c r="OV24" i="16"/>
  <c r="OU24" i="16"/>
  <c r="OT24" i="16"/>
  <c r="OS24" i="16"/>
  <c r="OR24" i="16"/>
  <c r="OQ24" i="16"/>
  <c r="OP24" i="16"/>
  <c r="OO24" i="16"/>
  <c r="ON24" i="16"/>
  <c r="OK24" i="16"/>
  <c r="OJ24" i="16"/>
  <c r="OI24" i="16"/>
  <c r="OH24" i="16"/>
  <c r="OG24" i="16"/>
  <c r="OF24" i="16"/>
  <c r="OE24" i="16"/>
  <c r="OB24" i="16"/>
  <c r="OA24" i="16"/>
  <c r="NZ24" i="16"/>
  <c r="NY24" i="16"/>
  <c r="NX24" i="16"/>
  <c r="NW24" i="16"/>
  <c r="NV24" i="16"/>
  <c r="NS24" i="16"/>
  <c r="NR24" i="16"/>
  <c r="NQ24" i="16"/>
  <c r="NP24" i="16"/>
  <c r="NO24" i="16"/>
  <c r="NN24" i="16"/>
  <c r="NM24" i="16"/>
  <c r="NJ24" i="16"/>
  <c r="NI24" i="16"/>
  <c r="NH24" i="16"/>
  <c r="NG24" i="16"/>
  <c r="NF24" i="16"/>
  <c r="NE24" i="16"/>
  <c r="ND24" i="16"/>
  <c r="NA24" i="16"/>
  <c r="MZ24" i="16"/>
  <c r="MY24" i="16"/>
  <c r="MX24" i="16"/>
  <c r="MW24" i="16"/>
  <c r="MV24" i="16"/>
  <c r="MU24" i="16"/>
  <c r="MR24" i="16"/>
  <c r="MQ24" i="16"/>
  <c r="MP24" i="16"/>
  <c r="MO24" i="16"/>
  <c r="MN24" i="16"/>
  <c r="MM24" i="16"/>
  <c r="ML24" i="16"/>
  <c r="MI24" i="16"/>
  <c r="MH24" i="16"/>
  <c r="MG24" i="16"/>
  <c r="MF24" i="16"/>
  <c r="ME24" i="16"/>
  <c r="MD24" i="16"/>
  <c r="MC24" i="16"/>
  <c r="LZ24" i="16"/>
  <c r="LY24" i="16"/>
  <c r="LX24" i="16"/>
  <c r="LW24" i="16"/>
  <c r="LV24" i="16"/>
  <c r="LU24" i="16"/>
  <c r="LT24" i="16"/>
  <c r="LQ24" i="16"/>
  <c r="LP24" i="16"/>
  <c r="LO24" i="16"/>
  <c r="LN24" i="16"/>
  <c r="LM24" i="16"/>
  <c r="LL24" i="16"/>
  <c r="LK24" i="16"/>
  <c r="LH24" i="16"/>
  <c r="LG24" i="16"/>
  <c r="LF24" i="16"/>
  <c r="LE24" i="16"/>
  <c r="LD24" i="16"/>
  <c r="LC24" i="16"/>
  <c r="LB24" i="16"/>
  <c r="KY24" i="16"/>
  <c r="KX24" i="16"/>
  <c r="KW24" i="16"/>
  <c r="KV24" i="16"/>
  <c r="KU24" i="16"/>
  <c r="KT24" i="16"/>
  <c r="KS24" i="16"/>
  <c r="KP24" i="16"/>
  <c r="KO24" i="16"/>
  <c r="KN24" i="16"/>
  <c r="KM24" i="16"/>
  <c r="KL24" i="16"/>
  <c r="KK24" i="16"/>
  <c r="KJ24" i="16"/>
  <c r="KG24" i="16"/>
  <c r="KF24" i="16"/>
  <c r="KE24" i="16"/>
  <c r="KD24" i="16"/>
  <c r="KC24" i="16"/>
  <c r="KB24" i="16"/>
  <c r="KA24" i="16"/>
  <c r="JX24" i="16"/>
  <c r="JW24" i="16"/>
  <c r="JV24" i="16"/>
  <c r="JU24" i="16"/>
  <c r="JT24" i="16"/>
  <c r="JS24" i="16"/>
  <c r="JR24" i="16"/>
  <c r="JO24" i="16"/>
  <c r="JN24" i="16"/>
  <c r="JM24" i="16"/>
  <c r="JL24" i="16"/>
  <c r="JK24" i="16"/>
  <c r="JJ24" i="16"/>
  <c r="JI24" i="16"/>
  <c r="JF24" i="16"/>
  <c r="JE24" i="16"/>
  <c r="JD24" i="16"/>
  <c r="JC24" i="16"/>
  <c r="JB24" i="16"/>
  <c r="JA24" i="16"/>
  <c r="IZ24" i="16"/>
  <c r="IQ24" i="16"/>
  <c r="IP24" i="16"/>
  <c r="IO24" i="16"/>
  <c r="IN24" i="16"/>
  <c r="IM24" i="16"/>
  <c r="IL24" i="16"/>
  <c r="IK24" i="16"/>
  <c r="IJ24" i="16"/>
  <c r="II24" i="16"/>
  <c r="IF24" i="16"/>
  <c r="IE24" i="16"/>
  <c r="ID24" i="16"/>
  <c r="IC24" i="16"/>
  <c r="IB24" i="16"/>
  <c r="IA24" i="16"/>
  <c r="HX24" i="16"/>
  <c r="HW24" i="16"/>
  <c r="HV24" i="16"/>
  <c r="HU24" i="16"/>
  <c r="HT24" i="16"/>
  <c r="HS24" i="16"/>
  <c r="HP24" i="16"/>
  <c r="HO24" i="16"/>
  <c r="HN24" i="16"/>
  <c r="HM24" i="16"/>
  <c r="HL24" i="16"/>
  <c r="HK24" i="16"/>
  <c r="HH24" i="16"/>
  <c r="HG24" i="16"/>
  <c r="HF24" i="16"/>
  <c r="HE24" i="16"/>
  <c r="HD24" i="16"/>
  <c r="HC24" i="16"/>
  <c r="GZ24" i="16"/>
  <c r="GY24" i="16"/>
  <c r="GX24" i="16"/>
  <c r="GW24" i="16"/>
  <c r="GV24" i="16"/>
  <c r="GU24" i="16"/>
  <c r="GR24" i="16"/>
  <c r="GQ24" i="16"/>
  <c r="GP24" i="16"/>
  <c r="GO24" i="16"/>
  <c r="GN24" i="16"/>
  <c r="GM24" i="16"/>
  <c r="GJ24" i="16"/>
  <c r="GI24" i="16"/>
  <c r="GH24" i="16"/>
  <c r="GG24" i="16"/>
  <c r="GF24" i="16"/>
  <c r="GE24" i="16"/>
  <c r="GB24" i="16"/>
  <c r="GA24" i="16"/>
  <c r="FZ24" i="16"/>
  <c r="FY24" i="16"/>
  <c r="FX24" i="16"/>
  <c r="FW24" i="16"/>
  <c r="FT24" i="16"/>
  <c r="FS24" i="16"/>
  <c r="FR24" i="16"/>
  <c r="FQ24" i="16"/>
  <c r="FP24" i="16"/>
  <c r="FO24" i="16"/>
  <c r="FL24" i="16"/>
  <c r="FK24" i="16"/>
  <c r="FJ24" i="16"/>
  <c r="FI24" i="16"/>
  <c r="FH24" i="16"/>
  <c r="FG24" i="16"/>
  <c r="FD24" i="16"/>
  <c r="FC24" i="16"/>
  <c r="FB24" i="16"/>
  <c r="FA24" i="16"/>
  <c r="EZ24" i="16"/>
  <c r="EY24" i="16"/>
  <c r="EV24" i="16"/>
  <c r="EU24" i="16"/>
  <c r="ET24" i="16"/>
  <c r="ES24" i="16"/>
  <c r="ER24" i="16"/>
  <c r="EQ24" i="16"/>
  <c r="EN24" i="16"/>
  <c r="EM24" i="16"/>
  <c r="EL24" i="16"/>
  <c r="EK24" i="16"/>
  <c r="EJ24" i="16"/>
  <c r="EI24" i="16"/>
  <c r="EF24" i="16"/>
  <c r="EE24" i="16"/>
  <c r="ED24" i="16"/>
  <c r="EC24" i="16"/>
  <c r="EB24" i="16"/>
  <c r="EA24" i="16"/>
  <c r="DX24" i="16"/>
  <c r="DW24" i="16"/>
  <c r="DV24" i="16"/>
  <c r="DU24" i="16"/>
  <c r="DT24" i="16"/>
  <c r="DS24" i="16"/>
  <c r="DP24" i="16"/>
  <c r="DO24" i="16"/>
  <c r="DN24" i="16"/>
  <c r="DM24" i="16"/>
  <c r="DL24" i="16"/>
  <c r="DK24" i="16"/>
  <c r="DG24" i="16"/>
  <c r="DE24" i="16"/>
  <c r="DD24" i="16"/>
  <c r="DC24" i="16"/>
  <c r="DA24" i="16"/>
  <c r="CZ24" i="16"/>
  <c r="CY24" i="16"/>
  <c r="CX24" i="16"/>
  <c r="CU24" i="16"/>
  <c r="CT24" i="16"/>
  <c r="CS24" i="16"/>
  <c r="CR24" i="16"/>
  <c r="CO24" i="16"/>
  <c r="CN24" i="16"/>
  <c r="CM24" i="16"/>
  <c r="CL24" i="16"/>
  <c r="CI24" i="16"/>
  <c r="CH24" i="16"/>
  <c r="CG24" i="16"/>
  <c r="CF24" i="16"/>
  <c r="CC24" i="16"/>
  <c r="CB24" i="16"/>
  <c r="CA24" i="16"/>
  <c r="BZ24" i="16"/>
  <c r="BW24" i="16"/>
  <c r="BV24" i="16"/>
  <c r="BU24" i="16"/>
  <c r="BT24" i="16"/>
  <c r="BQ24" i="16"/>
  <c r="BP24" i="16"/>
  <c r="BO24" i="16"/>
  <c r="BN24" i="16"/>
  <c r="BK24" i="16"/>
  <c r="BJ24" i="16"/>
  <c r="BI24" i="16"/>
  <c r="BH24" i="16"/>
  <c r="BE24" i="16"/>
  <c r="BD24" i="16"/>
  <c r="BC24" i="16"/>
  <c r="BB24" i="16"/>
  <c r="AY24" i="16"/>
  <c r="AX24" i="16"/>
  <c r="AW24" i="16"/>
  <c r="AV24" i="16"/>
  <c r="AS24" i="16"/>
  <c r="AR24" i="16"/>
  <c r="AQ24" i="16"/>
  <c r="AP24" i="16"/>
  <c r="AM24" i="16"/>
  <c r="AL24" i="16"/>
  <c r="AK24" i="16"/>
  <c r="AJ24" i="16"/>
  <c r="AG24" i="16"/>
  <c r="AF24" i="16"/>
  <c r="AE24" i="16"/>
  <c r="AD24" i="16"/>
  <c r="AA24" i="16"/>
  <c r="Z24" i="16"/>
  <c r="Y24" i="16"/>
  <c r="X24" i="16"/>
  <c r="U24" i="16"/>
  <c r="T24" i="16"/>
  <c r="S24" i="16"/>
  <c r="R24" i="16"/>
  <c r="O24" i="16"/>
  <c r="N24" i="16"/>
  <c r="M24" i="16"/>
  <c r="L24" i="16"/>
  <c r="I24" i="16"/>
  <c r="H24" i="16"/>
  <c r="G24" i="16"/>
  <c r="F24" i="16"/>
  <c r="OW23" i="16"/>
  <c r="OV23" i="16"/>
  <c r="OU23" i="16"/>
  <c r="OT23" i="16"/>
  <c r="OS23" i="16"/>
  <c r="OR23" i="16"/>
  <c r="OQ23" i="16"/>
  <c r="OP23" i="16"/>
  <c r="OO23" i="16"/>
  <c r="ON23" i="16"/>
  <c r="OK23" i="16"/>
  <c r="OJ23" i="16"/>
  <c r="OI23" i="16"/>
  <c r="OH23" i="16"/>
  <c r="OG23" i="16"/>
  <c r="OF23" i="16"/>
  <c r="OE23" i="16"/>
  <c r="OB23" i="16"/>
  <c r="OA23" i="16"/>
  <c r="NZ23" i="16"/>
  <c r="NY23" i="16"/>
  <c r="NX23" i="16"/>
  <c r="NW23" i="16"/>
  <c r="NV23" i="16"/>
  <c r="NS23" i="16"/>
  <c r="NR23" i="16"/>
  <c r="NQ23" i="16"/>
  <c r="NP23" i="16"/>
  <c r="NO23" i="16"/>
  <c r="NN23" i="16"/>
  <c r="NM23" i="16"/>
  <c r="NJ23" i="16"/>
  <c r="NI23" i="16"/>
  <c r="NH23" i="16"/>
  <c r="NG23" i="16"/>
  <c r="NF23" i="16"/>
  <c r="NE23" i="16"/>
  <c r="ND23" i="16"/>
  <c r="NA23" i="16"/>
  <c r="MZ23" i="16"/>
  <c r="MY23" i="16"/>
  <c r="MX23" i="16"/>
  <c r="MW23" i="16"/>
  <c r="MV23" i="16"/>
  <c r="MU23" i="16"/>
  <c r="MR23" i="16"/>
  <c r="MQ23" i="16"/>
  <c r="MP23" i="16"/>
  <c r="MO23" i="16"/>
  <c r="MN23" i="16"/>
  <c r="MM23" i="16"/>
  <c r="ML23" i="16"/>
  <c r="MI23" i="16"/>
  <c r="MH23" i="16"/>
  <c r="MG23" i="16"/>
  <c r="MF23" i="16"/>
  <c r="ME23" i="16"/>
  <c r="MD23" i="16"/>
  <c r="MC23" i="16"/>
  <c r="LZ23" i="16"/>
  <c r="LY23" i="16"/>
  <c r="LX23" i="16"/>
  <c r="LW23" i="16"/>
  <c r="LV23" i="16"/>
  <c r="LU23" i="16"/>
  <c r="LT23" i="16"/>
  <c r="LQ23" i="16"/>
  <c r="LP23" i="16"/>
  <c r="LO23" i="16"/>
  <c r="LN23" i="16"/>
  <c r="LM23" i="16"/>
  <c r="LL23" i="16"/>
  <c r="LK23" i="16"/>
  <c r="LH23" i="16"/>
  <c r="LG23" i="16"/>
  <c r="LF23" i="16"/>
  <c r="LE23" i="16"/>
  <c r="LD23" i="16"/>
  <c r="LC23" i="16"/>
  <c r="LB23" i="16"/>
  <c r="KY23" i="16"/>
  <c r="KX23" i="16"/>
  <c r="KW23" i="16"/>
  <c r="KV23" i="16"/>
  <c r="KU23" i="16"/>
  <c r="KT23" i="16"/>
  <c r="KS23" i="16"/>
  <c r="KP23" i="16"/>
  <c r="KO23" i="16"/>
  <c r="KN23" i="16"/>
  <c r="KM23" i="16"/>
  <c r="KL23" i="16"/>
  <c r="KK23" i="16"/>
  <c r="KJ23" i="16"/>
  <c r="KG23" i="16"/>
  <c r="KF23" i="16"/>
  <c r="KE23" i="16"/>
  <c r="KD23" i="16"/>
  <c r="KC23" i="16"/>
  <c r="KB23" i="16"/>
  <c r="KA23" i="16"/>
  <c r="JX23" i="16"/>
  <c r="JW23" i="16"/>
  <c r="JV23" i="16"/>
  <c r="JU23" i="16"/>
  <c r="JT23" i="16"/>
  <c r="JS23" i="16"/>
  <c r="JR23" i="16"/>
  <c r="JO23" i="16"/>
  <c r="JN23" i="16"/>
  <c r="JM23" i="16"/>
  <c r="JL23" i="16"/>
  <c r="JK23" i="16"/>
  <c r="JJ23" i="16"/>
  <c r="JI23" i="16"/>
  <c r="JF23" i="16"/>
  <c r="JE23" i="16"/>
  <c r="JD23" i="16"/>
  <c r="JC23" i="16"/>
  <c r="JB23" i="16"/>
  <c r="JA23" i="16"/>
  <c r="IZ23" i="16"/>
  <c r="IQ23" i="16"/>
  <c r="IP23" i="16"/>
  <c r="IO23" i="16"/>
  <c r="IN23" i="16"/>
  <c r="IM23" i="16"/>
  <c r="IL23" i="16"/>
  <c r="IK23" i="16"/>
  <c r="IJ23" i="16"/>
  <c r="II23" i="16"/>
  <c r="IF23" i="16"/>
  <c r="IE23" i="16"/>
  <c r="ID23" i="16"/>
  <c r="IC23" i="16"/>
  <c r="IB23" i="16"/>
  <c r="IA23" i="16"/>
  <c r="HX23" i="16"/>
  <c r="HW23" i="16"/>
  <c r="HV23" i="16"/>
  <c r="HU23" i="16"/>
  <c r="HT23" i="16"/>
  <c r="HS23" i="16"/>
  <c r="HP23" i="16"/>
  <c r="HO23" i="16"/>
  <c r="HN23" i="16"/>
  <c r="HM23" i="16"/>
  <c r="HL23" i="16"/>
  <c r="HK23" i="16"/>
  <c r="HH23" i="16"/>
  <c r="HG23" i="16"/>
  <c r="HF23" i="16"/>
  <c r="HE23" i="16"/>
  <c r="HD23" i="16"/>
  <c r="HC23" i="16"/>
  <c r="GZ23" i="16"/>
  <c r="GY23" i="16"/>
  <c r="GX23" i="16"/>
  <c r="GW23" i="16"/>
  <c r="GV23" i="16"/>
  <c r="GU23" i="16"/>
  <c r="GR23" i="16"/>
  <c r="GQ23" i="16"/>
  <c r="GP23" i="16"/>
  <c r="GO23" i="16"/>
  <c r="GN23" i="16"/>
  <c r="GM23" i="16"/>
  <c r="GJ23" i="16"/>
  <c r="GI23" i="16"/>
  <c r="GH23" i="16"/>
  <c r="GG23" i="16"/>
  <c r="GF23" i="16"/>
  <c r="GE23" i="16"/>
  <c r="GB23" i="16"/>
  <c r="GA23" i="16"/>
  <c r="FZ23" i="16"/>
  <c r="FY23" i="16"/>
  <c r="FX23" i="16"/>
  <c r="FW23" i="16"/>
  <c r="FT23" i="16"/>
  <c r="FS23" i="16"/>
  <c r="FR23" i="16"/>
  <c r="FQ23" i="16"/>
  <c r="FP23" i="16"/>
  <c r="FO23" i="16"/>
  <c r="FL23" i="16"/>
  <c r="FK23" i="16"/>
  <c r="FJ23" i="16"/>
  <c r="FI23" i="16"/>
  <c r="FH23" i="16"/>
  <c r="FG23" i="16"/>
  <c r="FD23" i="16"/>
  <c r="FC23" i="16"/>
  <c r="FB23" i="16"/>
  <c r="FA23" i="16"/>
  <c r="EZ23" i="16"/>
  <c r="EY23" i="16"/>
  <c r="EV23" i="16"/>
  <c r="EU23" i="16"/>
  <c r="ET23" i="16"/>
  <c r="ES23" i="16"/>
  <c r="ER23" i="16"/>
  <c r="EQ23" i="16"/>
  <c r="EN23" i="16"/>
  <c r="EM23" i="16"/>
  <c r="EL23" i="16"/>
  <c r="EK23" i="16"/>
  <c r="EJ23" i="16"/>
  <c r="EI23" i="16"/>
  <c r="EF23" i="16"/>
  <c r="EE23" i="16"/>
  <c r="ED23" i="16"/>
  <c r="EC23" i="16"/>
  <c r="EB23" i="16"/>
  <c r="EA23" i="16"/>
  <c r="DX23" i="16"/>
  <c r="DW23" i="16"/>
  <c r="DV23" i="16"/>
  <c r="DU23" i="16"/>
  <c r="DT23" i="16"/>
  <c r="DS23" i="16"/>
  <c r="DP23" i="16"/>
  <c r="DO23" i="16"/>
  <c r="DN23" i="16"/>
  <c r="DM23" i="16"/>
  <c r="DL23" i="16"/>
  <c r="DK23" i="16"/>
  <c r="DG23" i="16"/>
  <c r="DE23" i="16"/>
  <c r="DD23" i="16"/>
  <c r="DC23" i="16"/>
  <c r="DA23" i="16"/>
  <c r="CZ23" i="16"/>
  <c r="CY23" i="16"/>
  <c r="CX23" i="16"/>
  <c r="CU23" i="16"/>
  <c r="CT23" i="16"/>
  <c r="CS23" i="16"/>
  <c r="CR23" i="16"/>
  <c r="CO23" i="16"/>
  <c r="CN23" i="16"/>
  <c r="CM23" i="16"/>
  <c r="CL23" i="16"/>
  <c r="CI23" i="16"/>
  <c r="CH23" i="16"/>
  <c r="CG23" i="16"/>
  <c r="CF23" i="16"/>
  <c r="CC23" i="16"/>
  <c r="CB23" i="16"/>
  <c r="CA23" i="16"/>
  <c r="BZ23" i="16"/>
  <c r="BW23" i="16"/>
  <c r="BV23" i="16"/>
  <c r="BU23" i="16"/>
  <c r="BT23" i="16"/>
  <c r="BQ23" i="16"/>
  <c r="BP23" i="16"/>
  <c r="BO23" i="16"/>
  <c r="BN23" i="16"/>
  <c r="BK23" i="16"/>
  <c r="BJ23" i="16"/>
  <c r="BI23" i="16"/>
  <c r="BH23" i="16"/>
  <c r="BE23" i="16"/>
  <c r="BD23" i="16"/>
  <c r="BC23" i="16"/>
  <c r="BB23" i="16"/>
  <c r="AY23" i="16"/>
  <c r="AX23" i="16"/>
  <c r="AW23" i="16"/>
  <c r="AV23" i="16"/>
  <c r="AS23" i="16"/>
  <c r="AR23" i="16"/>
  <c r="AQ23" i="16"/>
  <c r="AP23" i="16"/>
  <c r="AM23" i="16"/>
  <c r="AL23" i="16"/>
  <c r="AK23" i="16"/>
  <c r="AJ23" i="16"/>
  <c r="AG23" i="16"/>
  <c r="AF23" i="16"/>
  <c r="AE23" i="16"/>
  <c r="AD23" i="16"/>
  <c r="AA23" i="16"/>
  <c r="Z23" i="16"/>
  <c r="Y23" i="16"/>
  <c r="X23" i="16"/>
  <c r="U23" i="16"/>
  <c r="T23" i="16"/>
  <c r="S23" i="16"/>
  <c r="R23" i="16"/>
  <c r="O23" i="16"/>
  <c r="N23" i="16"/>
  <c r="M23" i="16"/>
  <c r="L23" i="16"/>
  <c r="I23" i="16"/>
  <c r="H23" i="16"/>
  <c r="G23" i="16"/>
  <c r="F23" i="16"/>
  <c r="OW22" i="16"/>
  <c r="OV22" i="16"/>
  <c r="OU22" i="16"/>
  <c r="OT22" i="16"/>
  <c r="OS22" i="16"/>
  <c r="OR22" i="16"/>
  <c r="OQ22" i="16"/>
  <c r="OP22" i="16"/>
  <c r="OO22" i="16"/>
  <c r="ON22" i="16"/>
  <c r="OK22" i="16"/>
  <c r="OJ22" i="16"/>
  <c r="OI22" i="16"/>
  <c r="OH22" i="16"/>
  <c r="OG22" i="16"/>
  <c r="OF22" i="16"/>
  <c r="OE22" i="16"/>
  <c r="OB22" i="16"/>
  <c r="OA22" i="16"/>
  <c r="NZ22" i="16"/>
  <c r="NY22" i="16"/>
  <c r="NX22" i="16"/>
  <c r="NW22" i="16"/>
  <c r="NV22" i="16"/>
  <c r="NS22" i="16"/>
  <c r="NR22" i="16"/>
  <c r="NQ22" i="16"/>
  <c r="NP22" i="16"/>
  <c r="NO22" i="16"/>
  <c r="NN22" i="16"/>
  <c r="NM22" i="16"/>
  <c r="NJ22" i="16"/>
  <c r="NI22" i="16"/>
  <c r="NH22" i="16"/>
  <c r="NG22" i="16"/>
  <c r="NF22" i="16"/>
  <c r="NE22" i="16"/>
  <c r="ND22" i="16"/>
  <c r="NA22" i="16"/>
  <c r="MZ22" i="16"/>
  <c r="MY22" i="16"/>
  <c r="MX22" i="16"/>
  <c r="MW22" i="16"/>
  <c r="MV22" i="16"/>
  <c r="MU22" i="16"/>
  <c r="MR22" i="16"/>
  <c r="MQ22" i="16"/>
  <c r="MP22" i="16"/>
  <c r="MO22" i="16"/>
  <c r="MN22" i="16"/>
  <c r="MM22" i="16"/>
  <c r="ML22" i="16"/>
  <c r="MI22" i="16"/>
  <c r="MH22" i="16"/>
  <c r="MG22" i="16"/>
  <c r="MF22" i="16"/>
  <c r="ME22" i="16"/>
  <c r="MD22" i="16"/>
  <c r="MC22" i="16"/>
  <c r="LZ22" i="16"/>
  <c r="LY22" i="16"/>
  <c r="LX22" i="16"/>
  <c r="LW22" i="16"/>
  <c r="LV22" i="16"/>
  <c r="LU22" i="16"/>
  <c r="LT22" i="16"/>
  <c r="LQ22" i="16"/>
  <c r="LP22" i="16"/>
  <c r="LO22" i="16"/>
  <c r="LN22" i="16"/>
  <c r="LM22" i="16"/>
  <c r="LL22" i="16"/>
  <c r="LK22" i="16"/>
  <c r="LH22" i="16"/>
  <c r="LG22" i="16"/>
  <c r="LF22" i="16"/>
  <c r="LE22" i="16"/>
  <c r="LD22" i="16"/>
  <c r="LC22" i="16"/>
  <c r="LB22" i="16"/>
  <c r="KY22" i="16"/>
  <c r="KX22" i="16"/>
  <c r="KW22" i="16"/>
  <c r="KV22" i="16"/>
  <c r="KU22" i="16"/>
  <c r="KT22" i="16"/>
  <c r="KS22" i="16"/>
  <c r="KP22" i="16"/>
  <c r="KO22" i="16"/>
  <c r="KN22" i="16"/>
  <c r="KM22" i="16"/>
  <c r="KL22" i="16"/>
  <c r="KK22" i="16"/>
  <c r="KJ22" i="16"/>
  <c r="KG22" i="16"/>
  <c r="KF22" i="16"/>
  <c r="KE22" i="16"/>
  <c r="KD22" i="16"/>
  <c r="KC22" i="16"/>
  <c r="KB22" i="16"/>
  <c r="KA22" i="16"/>
  <c r="JX22" i="16"/>
  <c r="JW22" i="16"/>
  <c r="JV22" i="16"/>
  <c r="JU22" i="16"/>
  <c r="JT22" i="16"/>
  <c r="JS22" i="16"/>
  <c r="JR22" i="16"/>
  <c r="JO22" i="16"/>
  <c r="JN22" i="16"/>
  <c r="JM22" i="16"/>
  <c r="JL22" i="16"/>
  <c r="JK22" i="16"/>
  <c r="JJ22" i="16"/>
  <c r="JI22" i="16"/>
  <c r="JF22" i="16"/>
  <c r="JE22" i="16"/>
  <c r="JD22" i="16"/>
  <c r="JC22" i="16"/>
  <c r="JB22" i="16"/>
  <c r="JA22" i="16"/>
  <c r="IZ22" i="16"/>
  <c r="IQ22" i="16"/>
  <c r="IP22" i="16"/>
  <c r="IO22" i="16"/>
  <c r="IN22" i="16"/>
  <c r="IM22" i="16"/>
  <c r="IL22" i="16"/>
  <c r="IK22" i="16"/>
  <c r="IJ22" i="16"/>
  <c r="II22" i="16"/>
  <c r="IF22" i="16"/>
  <c r="IE22" i="16"/>
  <c r="ID22" i="16"/>
  <c r="IC22" i="16"/>
  <c r="IB22" i="16"/>
  <c r="IA22" i="16"/>
  <c r="HX22" i="16"/>
  <c r="HW22" i="16"/>
  <c r="HV22" i="16"/>
  <c r="HU22" i="16"/>
  <c r="HT22" i="16"/>
  <c r="HS22" i="16"/>
  <c r="HP22" i="16"/>
  <c r="HO22" i="16"/>
  <c r="HN22" i="16"/>
  <c r="HM22" i="16"/>
  <c r="HL22" i="16"/>
  <c r="HK22" i="16"/>
  <c r="HH22" i="16"/>
  <c r="HG22" i="16"/>
  <c r="HF22" i="16"/>
  <c r="HE22" i="16"/>
  <c r="HD22" i="16"/>
  <c r="HC22" i="16"/>
  <c r="GZ22" i="16"/>
  <c r="GY22" i="16"/>
  <c r="GX22" i="16"/>
  <c r="GW22" i="16"/>
  <c r="GV22" i="16"/>
  <c r="GU22" i="16"/>
  <c r="GR22" i="16"/>
  <c r="GQ22" i="16"/>
  <c r="GP22" i="16"/>
  <c r="GO22" i="16"/>
  <c r="GN22" i="16"/>
  <c r="GM22" i="16"/>
  <c r="GJ22" i="16"/>
  <c r="GI22" i="16"/>
  <c r="GH22" i="16"/>
  <c r="GG22" i="16"/>
  <c r="GF22" i="16"/>
  <c r="GE22" i="16"/>
  <c r="GB22" i="16"/>
  <c r="GA22" i="16"/>
  <c r="FZ22" i="16"/>
  <c r="FY22" i="16"/>
  <c r="FX22" i="16"/>
  <c r="FW22" i="16"/>
  <c r="FT22" i="16"/>
  <c r="FS22" i="16"/>
  <c r="FR22" i="16"/>
  <c r="FQ22" i="16"/>
  <c r="FP22" i="16"/>
  <c r="FO22" i="16"/>
  <c r="FL22" i="16"/>
  <c r="FK22" i="16"/>
  <c r="FJ22" i="16"/>
  <c r="FI22" i="16"/>
  <c r="FH22" i="16"/>
  <c r="FG22" i="16"/>
  <c r="FD22" i="16"/>
  <c r="FC22" i="16"/>
  <c r="FB22" i="16"/>
  <c r="FA22" i="16"/>
  <c r="EZ22" i="16"/>
  <c r="EY22" i="16"/>
  <c r="EV22" i="16"/>
  <c r="EU22" i="16"/>
  <c r="ET22" i="16"/>
  <c r="ES22" i="16"/>
  <c r="ER22" i="16"/>
  <c r="EQ22" i="16"/>
  <c r="EN22" i="16"/>
  <c r="EM22" i="16"/>
  <c r="EL22" i="16"/>
  <c r="EK22" i="16"/>
  <c r="EJ22" i="16"/>
  <c r="EI22" i="16"/>
  <c r="EF22" i="16"/>
  <c r="EE22" i="16"/>
  <c r="ED22" i="16"/>
  <c r="EC22" i="16"/>
  <c r="EB22" i="16"/>
  <c r="EA22" i="16"/>
  <c r="DX22" i="16"/>
  <c r="DW22" i="16"/>
  <c r="DV22" i="16"/>
  <c r="DU22" i="16"/>
  <c r="DT22" i="16"/>
  <c r="DS22" i="16"/>
  <c r="DP22" i="16"/>
  <c r="DO22" i="16"/>
  <c r="DN22" i="16"/>
  <c r="DM22" i="16"/>
  <c r="DL22" i="16"/>
  <c r="DK22" i="16"/>
  <c r="DG22" i="16"/>
  <c r="DE22" i="16"/>
  <c r="DD22" i="16"/>
  <c r="DC22" i="16"/>
  <c r="DA22" i="16"/>
  <c r="CZ22" i="16"/>
  <c r="CY22" i="16"/>
  <c r="CX22" i="16"/>
  <c r="CU22" i="16"/>
  <c r="CT22" i="16"/>
  <c r="CS22" i="16"/>
  <c r="CR22" i="16"/>
  <c r="CO22" i="16"/>
  <c r="CN22" i="16"/>
  <c r="CM22" i="16"/>
  <c r="CL22" i="16"/>
  <c r="CI22" i="16"/>
  <c r="CH22" i="16"/>
  <c r="CG22" i="16"/>
  <c r="CF22" i="16"/>
  <c r="CC22" i="16"/>
  <c r="CB22" i="16"/>
  <c r="CA22" i="16"/>
  <c r="BZ22" i="16"/>
  <c r="BW22" i="16"/>
  <c r="BV22" i="16"/>
  <c r="BU22" i="16"/>
  <c r="BT22" i="16"/>
  <c r="BQ22" i="16"/>
  <c r="BP22" i="16"/>
  <c r="BO22" i="16"/>
  <c r="BN22" i="16"/>
  <c r="BK22" i="16"/>
  <c r="BJ22" i="16"/>
  <c r="BI22" i="16"/>
  <c r="BH22" i="16"/>
  <c r="BE22" i="16"/>
  <c r="BD22" i="16"/>
  <c r="BC22" i="16"/>
  <c r="BB22" i="16"/>
  <c r="AY22" i="16"/>
  <c r="AX22" i="16"/>
  <c r="AW22" i="16"/>
  <c r="AV22" i="16"/>
  <c r="AS22" i="16"/>
  <c r="AR22" i="16"/>
  <c r="AQ22" i="16"/>
  <c r="AP22" i="16"/>
  <c r="AM22" i="16"/>
  <c r="AL22" i="16"/>
  <c r="AK22" i="16"/>
  <c r="AJ22" i="16"/>
  <c r="AG22" i="16"/>
  <c r="AF22" i="16"/>
  <c r="AE22" i="16"/>
  <c r="AD22" i="16"/>
  <c r="AA22" i="16"/>
  <c r="Z22" i="16"/>
  <c r="Y22" i="16"/>
  <c r="X22" i="16"/>
  <c r="U22" i="16"/>
  <c r="T22" i="16"/>
  <c r="S22" i="16"/>
  <c r="R22" i="16"/>
  <c r="O22" i="16"/>
  <c r="N22" i="16"/>
  <c r="M22" i="16"/>
  <c r="L22" i="16"/>
  <c r="I22" i="16"/>
  <c r="H22" i="16"/>
  <c r="G22" i="16"/>
  <c r="F22" i="16"/>
  <c r="OW21" i="16"/>
  <c r="OV21" i="16"/>
  <c r="OU21" i="16"/>
  <c r="OT21" i="16"/>
  <c r="OS21" i="16"/>
  <c r="OR21" i="16"/>
  <c r="OQ21" i="16"/>
  <c r="OP21" i="16"/>
  <c r="OO21" i="16"/>
  <c r="ON21" i="16"/>
  <c r="OK21" i="16"/>
  <c r="OJ21" i="16"/>
  <c r="OI21" i="16"/>
  <c r="OH21" i="16"/>
  <c r="OG21" i="16"/>
  <c r="OF21" i="16"/>
  <c r="OE21" i="16"/>
  <c r="OB21" i="16"/>
  <c r="OA21" i="16"/>
  <c r="NZ21" i="16"/>
  <c r="NY21" i="16"/>
  <c r="NX21" i="16"/>
  <c r="NW21" i="16"/>
  <c r="NV21" i="16"/>
  <c r="NS21" i="16"/>
  <c r="NR21" i="16"/>
  <c r="NQ21" i="16"/>
  <c r="NP21" i="16"/>
  <c r="NO21" i="16"/>
  <c r="NN21" i="16"/>
  <c r="NM21" i="16"/>
  <c r="NJ21" i="16"/>
  <c r="NI21" i="16"/>
  <c r="NH21" i="16"/>
  <c r="NG21" i="16"/>
  <c r="NF21" i="16"/>
  <c r="NE21" i="16"/>
  <c r="ND21" i="16"/>
  <c r="NA21" i="16"/>
  <c r="MZ21" i="16"/>
  <c r="MY21" i="16"/>
  <c r="MX21" i="16"/>
  <c r="MW21" i="16"/>
  <c r="MV21" i="16"/>
  <c r="MU21" i="16"/>
  <c r="MR21" i="16"/>
  <c r="MQ21" i="16"/>
  <c r="MP21" i="16"/>
  <c r="MO21" i="16"/>
  <c r="MN21" i="16"/>
  <c r="MM21" i="16"/>
  <c r="ML21" i="16"/>
  <c r="MI21" i="16"/>
  <c r="MH21" i="16"/>
  <c r="MG21" i="16"/>
  <c r="MF21" i="16"/>
  <c r="ME21" i="16"/>
  <c r="MD21" i="16"/>
  <c r="MC21" i="16"/>
  <c r="LZ21" i="16"/>
  <c r="LY21" i="16"/>
  <c r="LX21" i="16"/>
  <c r="LW21" i="16"/>
  <c r="LV21" i="16"/>
  <c r="LU21" i="16"/>
  <c r="LT21" i="16"/>
  <c r="LQ21" i="16"/>
  <c r="LP21" i="16"/>
  <c r="LO21" i="16"/>
  <c r="LN21" i="16"/>
  <c r="LM21" i="16"/>
  <c r="LL21" i="16"/>
  <c r="LK21" i="16"/>
  <c r="LH21" i="16"/>
  <c r="LG21" i="16"/>
  <c r="LF21" i="16"/>
  <c r="LE21" i="16"/>
  <c r="LD21" i="16"/>
  <c r="LC21" i="16"/>
  <c r="LB21" i="16"/>
  <c r="KY21" i="16"/>
  <c r="KX21" i="16"/>
  <c r="KW21" i="16"/>
  <c r="KV21" i="16"/>
  <c r="KU21" i="16"/>
  <c r="KT21" i="16"/>
  <c r="KS21" i="16"/>
  <c r="KP21" i="16"/>
  <c r="KO21" i="16"/>
  <c r="KN21" i="16"/>
  <c r="KM21" i="16"/>
  <c r="KL21" i="16"/>
  <c r="KK21" i="16"/>
  <c r="KJ21" i="16"/>
  <c r="KG21" i="16"/>
  <c r="KF21" i="16"/>
  <c r="KE21" i="16"/>
  <c r="KD21" i="16"/>
  <c r="KC21" i="16"/>
  <c r="KB21" i="16"/>
  <c r="KA21" i="16"/>
  <c r="JX21" i="16"/>
  <c r="JW21" i="16"/>
  <c r="JV21" i="16"/>
  <c r="JU21" i="16"/>
  <c r="JT21" i="16"/>
  <c r="JS21" i="16"/>
  <c r="JR21" i="16"/>
  <c r="JO21" i="16"/>
  <c r="JN21" i="16"/>
  <c r="JM21" i="16"/>
  <c r="JL21" i="16"/>
  <c r="JK21" i="16"/>
  <c r="JJ21" i="16"/>
  <c r="JI21" i="16"/>
  <c r="JF21" i="16"/>
  <c r="JE21" i="16"/>
  <c r="JD21" i="16"/>
  <c r="JC21" i="16"/>
  <c r="JB21" i="16"/>
  <c r="JA21" i="16"/>
  <c r="IZ21" i="16"/>
  <c r="IQ21" i="16"/>
  <c r="IP21" i="16"/>
  <c r="IO21" i="16"/>
  <c r="IN21" i="16"/>
  <c r="IM21" i="16"/>
  <c r="IL21" i="16"/>
  <c r="IK21" i="16"/>
  <c r="IJ21" i="16"/>
  <c r="II21" i="16"/>
  <c r="IF21" i="16"/>
  <c r="IE21" i="16"/>
  <c r="ID21" i="16"/>
  <c r="IC21" i="16"/>
  <c r="IB21" i="16"/>
  <c r="IA21" i="16"/>
  <c r="HX21" i="16"/>
  <c r="HW21" i="16"/>
  <c r="HV21" i="16"/>
  <c r="HU21" i="16"/>
  <c r="HT21" i="16"/>
  <c r="HS21" i="16"/>
  <c r="HP21" i="16"/>
  <c r="HO21" i="16"/>
  <c r="HN21" i="16"/>
  <c r="HM21" i="16"/>
  <c r="HL21" i="16"/>
  <c r="HK21" i="16"/>
  <c r="HH21" i="16"/>
  <c r="HG21" i="16"/>
  <c r="HF21" i="16"/>
  <c r="HE21" i="16"/>
  <c r="HD21" i="16"/>
  <c r="HC21" i="16"/>
  <c r="GZ21" i="16"/>
  <c r="GY21" i="16"/>
  <c r="GX21" i="16"/>
  <c r="GW21" i="16"/>
  <c r="GV21" i="16"/>
  <c r="GU21" i="16"/>
  <c r="GR21" i="16"/>
  <c r="GQ21" i="16"/>
  <c r="GP21" i="16"/>
  <c r="GO21" i="16"/>
  <c r="GN21" i="16"/>
  <c r="GM21" i="16"/>
  <c r="GJ21" i="16"/>
  <c r="GI21" i="16"/>
  <c r="GH21" i="16"/>
  <c r="GG21" i="16"/>
  <c r="GF21" i="16"/>
  <c r="GE21" i="16"/>
  <c r="GB21" i="16"/>
  <c r="GA21" i="16"/>
  <c r="FZ21" i="16"/>
  <c r="FY21" i="16"/>
  <c r="FX21" i="16"/>
  <c r="FW21" i="16"/>
  <c r="FT21" i="16"/>
  <c r="FS21" i="16"/>
  <c r="FR21" i="16"/>
  <c r="FQ21" i="16"/>
  <c r="FP21" i="16"/>
  <c r="FO21" i="16"/>
  <c r="FL21" i="16"/>
  <c r="FK21" i="16"/>
  <c r="FJ21" i="16"/>
  <c r="FI21" i="16"/>
  <c r="FH21" i="16"/>
  <c r="FG21" i="16"/>
  <c r="FD21" i="16"/>
  <c r="FC21" i="16"/>
  <c r="FB21" i="16"/>
  <c r="FA21" i="16"/>
  <c r="EZ21" i="16"/>
  <c r="EY21" i="16"/>
  <c r="EV21" i="16"/>
  <c r="EU21" i="16"/>
  <c r="ET21" i="16"/>
  <c r="ES21" i="16"/>
  <c r="ER21" i="16"/>
  <c r="EQ21" i="16"/>
  <c r="EN21" i="16"/>
  <c r="EM21" i="16"/>
  <c r="EL21" i="16"/>
  <c r="EK21" i="16"/>
  <c r="EJ21" i="16"/>
  <c r="EI21" i="16"/>
  <c r="EF21" i="16"/>
  <c r="EE21" i="16"/>
  <c r="ED21" i="16"/>
  <c r="EC21" i="16"/>
  <c r="EB21" i="16"/>
  <c r="EA21" i="16"/>
  <c r="DX21" i="16"/>
  <c r="DW21" i="16"/>
  <c r="DV21" i="16"/>
  <c r="DU21" i="16"/>
  <c r="DT21" i="16"/>
  <c r="DS21" i="16"/>
  <c r="DP21" i="16"/>
  <c r="DO21" i="16"/>
  <c r="DN21" i="16"/>
  <c r="DM21" i="16"/>
  <c r="DL21" i="16"/>
  <c r="DK21" i="16"/>
  <c r="DG21" i="16"/>
  <c r="DE21" i="16"/>
  <c r="DD21" i="16"/>
  <c r="DC21" i="16"/>
  <c r="DA21" i="16"/>
  <c r="CZ21" i="16"/>
  <c r="CY21" i="16"/>
  <c r="CX21" i="16"/>
  <c r="CU21" i="16"/>
  <c r="CT21" i="16"/>
  <c r="CS21" i="16"/>
  <c r="CR21" i="16"/>
  <c r="CO21" i="16"/>
  <c r="CN21" i="16"/>
  <c r="CM21" i="16"/>
  <c r="CL21" i="16"/>
  <c r="CI21" i="16"/>
  <c r="CH21" i="16"/>
  <c r="CG21" i="16"/>
  <c r="CF21" i="16"/>
  <c r="CC21" i="16"/>
  <c r="CB21" i="16"/>
  <c r="CA21" i="16"/>
  <c r="BZ21" i="16"/>
  <c r="BW21" i="16"/>
  <c r="BV21" i="16"/>
  <c r="BU21" i="16"/>
  <c r="BT21" i="16"/>
  <c r="BQ21" i="16"/>
  <c r="BP21" i="16"/>
  <c r="BO21" i="16"/>
  <c r="BN21" i="16"/>
  <c r="BK21" i="16"/>
  <c r="BJ21" i="16"/>
  <c r="BI21" i="16"/>
  <c r="BH21" i="16"/>
  <c r="BE21" i="16"/>
  <c r="BD21" i="16"/>
  <c r="BC21" i="16"/>
  <c r="BB21" i="16"/>
  <c r="AY21" i="16"/>
  <c r="AX21" i="16"/>
  <c r="AW21" i="16"/>
  <c r="AV21" i="16"/>
  <c r="AS21" i="16"/>
  <c r="AR21" i="16"/>
  <c r="AQ21" i="16"/>
  <c r="AP21" i="16"/>
  <c r="AM21" i="16"/>
  <c r="AL21" i="16"/>
  <c r="AK21" i="16"/>
  <c r="AJ21" i="16"/>
  <c r="AG21" i="16"/>
  <c r="AF21" i="16"/>
  <c r="AE21" i="16"/>
  <c r="AD21" i="16"/>
  <c r="AA21" i="16"/>
  <c r="Z21" i="16"/>
  <c r="Y21" i="16"/>
  <c r="X21" i="16"/>
  <c r="U21" i="16"/>
  <c r="T21" i="16"/>
  <c r="S21" i="16"/>
  <c r="R21" i="16"/>
  <c r="O21" i="16"/>
  <c r="N21" i="16"/>
  <c r="M21" i="16"/>
  <c r="L21" i="16"/>
  <c r="I21" i="16"/>
  <c r="H21" i="16"/>
  <c r="G21" i="16"/>
  <c r="F21" i="16"/>
  <c r="OW20" i="16"/>
  <c r="OV20" i="16"/>
  <c r="OU20" i="16"/>
  <c r="OT20" i="16"/>
  <c r="OS20" i="16"/>
  <c r="OR20" i="16"/>
  <c r="OQ20" i="16"/>
  <c r="OP20" i="16"/>
  <c r="OO20" i="16"/>
  <c r="ON20" i="16"/>
  <c r="OK20" i="16"/>
  <c r="OJ20" i="16"/>
  <c r="OI20" i="16"/>
  <c r="OH20" i="16"/>
  <c r="OG20" i="16"/>
  <c r="OF20" i="16"/>
  <c r="OE20" i="16"/>
  <c r="OB20" i="16"/>
  <c r="OA20" i="16"/>
  <c r="NZ20" i="16"/>
  <c r="NY20" i="16"/>
  <c r="NX20" i="16"/>
  <c r="NW20" i="16"/>
  <c r="NV20" i="16"/>
  <c r="NS20" i="16"/>
  <c r="NR20" i="16"/>
  <c r="NQ20" i="16"/>
  <c r="NP20" i="16"/>
  <c r="NO20" i="16"/>
  <c r="NN20" i="16"/>
  <c r="NM20" i="16"/>
  <c r="NJ20" i="16"/>
  <c r="NI20" i="16"/>
  <c r="NH20" i="16"/>
  <c r="NG20" i="16"/>
  <c r="NF20" i="16"/>
  <c r="NE20" i="16"/>
  <c r="ND20" i="16"/>
  <c r="NA20" i="16"/>
  <c r="MZ20" i="16"/>
  <c r="MY20" i="16"/>
  <c r="MX20" i="16"/>
  <c r="MW20" i="16"/>
  <c r="MV20" i="16"/>
  <c r="MU20" i="16"/>
  <c r="MR20" i="16"/>
  <c r="MQ20" i="16"/>
  <c r="MP20" i="16"/>
  <c r="MO20" i="16"/>
  <c r="MN20" i="16"/>
  <c r="MM20" i="16"/>
  <c r="ML20" i="16"/>
  <c r="MI20" i="16"/>
  <c r="MH20" i="16"/>
  <c r="MG20" i="16"/>
  <c r="MF20" i="16"/>
  <c r="ME20" i="16"/>
  <c r="MD20" i="16"/>
  <c r="MC20" i="16"/>
  <c r="LZ20" i="16"/>
  <c r="LY20" i="16"/>
  <c r="LX20" i="16"/>
  <c r="LW20" i="16"/>
  <c r="LV20" i="16"/>
  <c r="LU20" i="16"/>
  <c r="LT20" i="16"/>
  <c r="LQ20" i="16"/>
  <c r="LP20" i="16"/>
  <c r="LO20" i="16"/>
  <c r="LN20" i="16"/>
  <c r="LM20" i="16"/>
  <c r="LL20" i="16"/>
  <c r="LK20" i="16"/>
  <c r="LH20" i="16"/>
  <c r="LG20" i="16"/>
  <c r="LF20" i="16"/>
  <c r="LE20" i="16"/>
  <c r="LD20" i="16"/>
  <c r="LC20" i="16"/>
  <c r="LB20" i="16"/>
  <c r="KY20" i="16"/>
  <c r="KX20" i="16"/>
  <c r="KW20" i="16"/>
  <c r="KV20" i="16"/>
  <c r="KU20" i="16"/>
  <c r="KT20" i="16"/>
  <c r="KS20" i="16"/>
  <c r="KP20" i="16"/>
  <c r="KO20" i="16"/>
  <c r="KN20" i="16"/>
  <c r="KM20" i="16"/>
  <c r="KL20" i="16"/>
  <c r="KK20" i="16"/>
  <c r="KJ20" i="16"/>
  <c r="KG20" i="16"/>
  <c r="KF20" i="16"/>
  <c r="KE20" i="16"/>
  <c r="KD20" i="16"/>
  <c r="KC20" i="16"/>
  <c r="KB20" i="16"/>
  <c r="KA20" i="16"/>
  <c r="JX20" i="16"/>
  <c r="JW20" i="16"/>
  <c r="JV20" i="16"/>
  <c r="JU20" i="16"/>
  <c r="JT20" i="16"/>
  <c r="JS20" i="16"/>
  <c r="JR20" i="16"/>
  <c r="JO20" i="16"/>
  <c r="JN20" i="16"/>
  <c r="JM20" i="16"/>
  <c r="JL20" i="16"/>
  <c r="JK20" i="16"/>
  <c r="JJ20" i="16"/>
  <c r="JI20" i="16"/>
  <c r="JF20" i="16"/>
  <c r="JE20" i="16"/>
  <c r="JD20" i="16"/>
  <c r="JC20" i="16"/>
  <c r="JB20" i="16"/>
  <c r="JA20" i="16"/>
  <c r="IZ20" i="16"/>
  <c r="IQ20" i="16"/>
  <c r="IP20" i="16"/>
  <c r="IO20" i="16"/>
  <c r="IN20" i="16"/>
  <c r="IM20" i="16"/>
  <c r="IL20" i="16"/>
  <c r="IK20" i="16"/>
  <c r="IJ20" i="16"/>
  <c r="II20" i="16"/>
  <c r="IF20" i="16"/>
  <c r="IE20" i="16"/>
  <c r="ID20" i="16"/>
  <c r="IC20" i="16"/>
  <c r="IB20" i="16"/>
  <c r="IA20" i="16"/>
  <c r="HX20" i="16"/>
  <c r="HW20" i="16"/>
  <c r="HV20" i="16"/>
  <c r="HU20" i="16"/>
  <c r="HT20" i="16"/>
  <c r="HS20" i="16"/>
  <c r="HP20" i="16"/>
  <c r="HO20" i="16"/>
  <c r="HN20" i="16"/>
  <c r="HM20" i="16"/>
  <c r="HL20" i="16"/>
  <c r="HK20" i="16"/>
  <c r="HH20" i="16"/>
  <c r="HG20" i="16"/>
  <c r="HF20" i="16"/>
  <c r="HE20" i="16"/>
  <c r="HD20" i="16"/>
  <c r="HC20" i="16"/>
  <c r="GZ20" i="16"/>
  <c r="GY20" i="16"/>
  <c r="GX20" i="16"/>
  <c r="GW20" i="16"/>
  <c r="GV20" i="16"/>
  <c r="GU20" i="16"/>
  <c r="GR20" i="16"/>
  <c r="GQ20" i="16"/>
  <c r="GP20" i="16"/>
  <c r="GO20" i="16"/>
  <c r="GN20" i="16"/>
  <c r="GM20" i="16"/>
  <c r="GJ20" i="16"/>
  <c r="GI20" i="16"/>
  <c r="GH20" i="16"/>
  <c r="GG20" i="16"/>
  <c r="GF20" i="16"/>
  <c r="GE20" i="16"/>
  <c r="GB20" i="16"/>
  <c r="GA20" i="16"/>
  <c r="FZ20" i="16"/>
  <c r="FY20" i="16"/>
  <c r="FX20" i="16"/>
  <c r="FW20" i="16"/>
  <c r="FT20" i="16"/>
  <c r="FS20" i="16"/>
  <c r="FR20" i="16"/>
  <c r="FQ20" i="16"/>
  <c r="FP20" i="16"/>
  <c r="FO20" i="16"/>
  <c r="FL20" i="16"/>
  <c r="FK20" i="16"/>
  <c r="FJ20" i="16"/>
  <c r="FI20" i="16"/>
  <c r="FH20" i="16"/>
  <c r="FG20" i="16"/>
  <c r="FD20" i="16"/>
  <c r="FC20" i="16"/>
  <c r="FB20" i="16"/>
  <c r="FA20" i="16"/>
  <c r="EZ20" i="16"/>
  <c r="EY20" i="16"/>
  <c r="EV20" i="16"/>
  <c r="EU20" i="16"/>
  <c r="ET20" i="16"/>
  <c r="ES20" i="16"/>
  <c r="ER20" i="16"/>
  <c r="EQ20" i="16"/>
  <c r="EN20" i="16"/>
  <c r="EM20" i="16"/>
  <c r="EL20" i="16"/>
  <c r="EK20" i="16"/>
  <c r="EJ20" i="16"/>
  <c r="EI20" i="16"/>
  <c r="EF20" i="16"/>
  <c r="EE20" i="16"/>
  <c r="ED20" i="16"/>
  <c r="EC20" i="16"/>
  <c r="EB20" i="16"/>
  <c r="EA20" i="16"/>
  <c r="DX20" i="16"/>
  <c r="DW20" i="16"/>
  <c r="DV20" i="16"/>
  <c r="DU20" i="16"/>
  <c r="DT20" i="16"/>
  <c r="DS20" i="16"/>
  <c r="DP20" i="16"/>
  <c r="DO20" i="16"/>
  <c r="DN20" i="16"/>
  <c r="DM20" i="16"/>
  <c r="DL20" i="16"/>
  <c r="DK20" i="16"/>
  <c r="DG20" i="16"/>
  <c r="DE20" i="16"/>
  <c r="DD20" i="16"/>
  <c r="DC20" i="16"/>
  <c r="DA20" i="16"/>
  <c r="CZ20" i="16"/>
  <c r="CY20" i="16"/>
  <c r="CX20" i="16"/>
  <c r="CU20" i="16"/>
  <c r="CT20" i="16"/>
  <c r="CS20" i="16"/>
  <c r="CR20" i="16"/>
  <c r="CO20" i="16"/>
  <c r="CN20" i="16"/>
  <c r="CM20" i="16"/>
  <c r="CL20" i="16"/>
  <c r="CI20" i="16"/>
  <c r="CH20" i="16"/>
  <c r="CG20" i="16"/>
  <c r="CF20" i="16"/>
  <c r="CC20" i="16"/>
  <c r="CB20" i="16"/>
  <c r="CA20" i="16"/>
  <c r="BZ20" i="16"/>
  <c r="BW20" i="16"/>
  <c r="BV20" i="16"/>
  <c r="BU20" i="16"/>
  <c r="BT20" i="16"/>
  <c r="BQ20" i="16"/>
  <c r="BP20" i="16"/>
  <c r="BO20" i="16"/>
  <c r="BN20" i="16"/>
  <c r="BK20" i="16"/>
  <c r="BJ20" i="16"/>
  <c r="BI20" i="16"/>
  <c r="BH20" i="16"/>
  <c r="BE20" i="16"/>
  <c r="BD20" i="16"/>
  <c r="BC20" i="16"/>
  <c r="BB20" i="16"/>
  <c r="AY20" i="16"/>
  <c r="AX20" i="16"/>
  <c r="AW20" i="16"/>
  <c r="AV20" i="16"/>
  <c r="AS20" i="16"/>
  <c r="AR20" i="16"/>
  <c r="AQ20" i="16"/>
  <c r="AP20" i="16"/>
  <c r="AM20" i="16"/>
  <c r="AL20" i="16"/>
  <c r="AK20" i="16"/>
  <c r="AJ20" i="16"/>
  <c r="AG20" i="16"/>
  <c r="AF20" i="16"/>
  <c r="AE20" i="16"/>
  <c r="AD20" i="16"/>
  <c r="AA20" i="16"/>
  <c r="Z20" i="16"/>
  <c r="Y20" i="16"/>
  <c r="X20" i="16"/>
  <c r="U20" i="16"/>
  <c r="T20" i="16"/>
  <c r="S20" i="16"/>
  <c r="R20" i="16"/>
  <c r="O20" i="16"/>
  <c r="N20" i="16"/>
  <c r="M20" i="16"/>
  <c r="L20" i="16"/>
  <c r="I20" i="16"/>
  <c r="H20" i="16"/>
  <c r="G20" i="16"/>
  <c r="F20" i="16"/>
  <c r="OW19" i="16"/>
  <c r="OV19" i="16"/>
  <c r="OU19" i="16"/>
  <c r="OT19" i="16"/>
  <c r="OS19" i="16"/>
  <c r="OR19" i="16"/>
  <c r="OQ19" i="16"/>
  <c r="OP19" i="16"/>
  <c r="OO19" i="16"/>
  <c r="ON19" i="16"/>
  <c r="OK19" i="16"/>
  <c r="OJ19" i="16"/>
  <c r="OI19" i="16"/>
  <c r="OH19" i="16"/>
  <c r="OG19" i="16"/>
  <c r="OF19" i="16"/>
  <c r="OE19" i="16"/>
  <c r="OB19" i="16"/>
  <c r="OA19" i="16"/>
  <c r="NZ19" i="16"/>
  <c r="NY19" i="16"/>
  <c r="NX19" i="16"/>
  <c r="NW19" i="16"/>
  <c r="NV19" i="16"/>
  <c r="NS19" i="16"/>
  <c r="NR19" i="16"/>
  <c r="NQ19" i="16"/>
  <c r="NP19" i="16"/>
  <c r="NO19" i="16"/>
  <c r="NN19" i="16"/>
  <c r="NM19" i="16"/>
  <c r="NJ19" i="16"/>
  <c r="NI19" i="16"/>
  <c r="NH19" i="16"/>
  <c r="NG19" i="16"/>
  <c r="NF19" i="16"/>
  <c r="NE19" i="16"/>
  <c r="ND19" i="16"/>
  <c r="NA19" i="16"/>
  <c r="MZ19" i="16"/>
  <c r="MY19" i="16"/>
  <c r="MX19" i="16"/>
  <c r="MW19" i="16"/>
  <c r="MV19" i="16"/>
  <c r="MU19" i="16"/>
  <c r="MR19" i="16"/>
  <c r="MQ19" i="16"/>
  <c r="MP19" i="16"/>
  <c r="MO19" i="16"/>
  <c r="MN19" i="16"/>
  <c r="MM19" i="16"/>
  <c r="ML19" i="16"/>
  <c r="MI19" i="16"/>
  <c r="MH19" i="16"/>
  <c r="MG19" i="16"/>
  <c r="MF19" i="16"/>
  <c r="ME19" i="16"/>
  <c r="MD19" i="16"/>
  <c r="MC19" i="16"/>
  <c r="LZ19" i="16"/>
  <c r="LY19" i="16"/>
  <c r="LX19" i="16"/>
  <c r="LW19" i="16"/>
  <c r="LV19" i="16"/>
  <c r="LU19" i="16"/>
  <c r="LT19" i="16"/>
  <c r="LQ19" i="16"/>
  <c r="LP19" i="16"/>
  <c r="LO19" i="16"/>
  <c r="LN19" i="16"/>
  <c r="LM19" i="16"/>
  <c r="LL19" i="16"/>
  <c r="LK19" i="16"/>
  <c r="LH19" i="16"/>
  <c r="LG19" i="16"/>
  <c r="LF19" i="16"/>
  <c r="LE19" i="16"/>
  <c r="LD19" i="16"/>
  <c r="LC19" i="16"/>
  <c r="LB19" i="16"/>
  <c r="KY19" i="16"/>
  <c r="KX19" i="16"/>
  <c r="KW19" i="16"/>
  <c r="KV19" i="16"/>
  <c r="KU19" i="16"/>
  <c r="KT19" i="16"/>
  <c r="KS19" i="16"/>
  <c r="KP19" i="16"/>
  <c r="KO19" i="16"/>
  <c r="KN19" i="16"/>
  <c r="KM19" i="16"/>
  <c r="KL19" i="16"/>
  <c r="KK19" i="16"/>
  <c r="KJ19" i="16"/>
  <c r="KG19" i="16"/>
  <c r="KF19" i="16"/>
  <c r="KE19" i="16"/>
  <c r="KD19" i="16"/>
  <c r="KC19" i="16"/>
  <c r="KB19" i="16"/>
  <c r="KA19" i="16"/>
  <c r="JX19" i="16"/>
  <c r="JW19" i="16"/>
  <c r="JV19" i="16"/>
  <c r="JU19" i="16"/>
  <c r="JT19" i="16"/>
  <c r="JS19" i="16"/>
  <c r="JR19" i="16"/>
  <c r="JO19" i="16"/>
  <c r="JN19" i="16"/>
  <c r="JM19" i="16"/>
  <c r="JL19" i="16"/>
  <c r="JK19" i="16"/>
  <c r="JJ19" i="16"/>
  <c r="JI19" i="16"/>
  <c r="JF19" i="16"/>
  <c r="JE19" i="16"/>
  <c r="JD19" i="16"/>
  <c r="JC19" i="16"/>
  <c r="JB19" i="16"/>
  <c r="JA19" i="16"/>
  <c r="IZ19" i="16"/>
  <c r="IQ19" i="16"/>
  <c r="IP19" i="16"/>
  <c r="IO19" i="16"/>
  <c r="IN19" i="16"/>
  <c r="IM19" i="16"/>
  <c r="IL19" i="16"/>
  <c r="IK19" i="16"/>
  <c r="IJ19" i="16"/>
  <c r="II19" i="16"/>
  <c r="IF19" i="16"/>
  <c r="IE19" i="16"/>
  <c r="ID19" i="16"/>
  <c r="IC19" i="16"/>
  <c r="IB19" i="16"/>
  <c r="IA19" i="16"/>
  <c r="HX19" i="16"/>
  <c r="HW19" i="16"/>
  <c r="HV19" i="16"/>
  <c r="HU19" i="16"/>
  <c r="HT19" i="16"/>
  <c r="HS19" i="16"/>
  <c r="HP19" i="16"/>
  <c r="HO19" i="16"/>
  <c r="HN19" i="16"/>
  <c r="HM19" i="16"/>
  <c r="HL19" i="16"/>
  <c r="HK19" i="16"/>
  <c r="HH19" i="16"/>
  <c r="HG19" i="16"/>
  <c r="HF19" i="16"/>
  <c r="HE19" i="16"/>
  <c r="HD19" i="16"/>
  <c r="HC19" i="16"/>
  <c r="GZ19" i="16"/>
  <c r="GY19" i="16"/>
  <c r="GX19" i="16"/>
  <c r="GW19" i="16"/>
  <c r="GV19" i="16"/>
  <c r="GU19" i="16"/>
  <c r="GR19" i="16"/>
  <c r="GQ19" i="16"/>
  <c r="GP19" i="16"/>
  <c r="GO19" i="16"/>
  <c r="GN19" i="16"/>
  <c r="GM19" i="16"/>
  <c r="GJ19" i="16"/>
  <c r="GI19" i="16"/>
  <c r="GH19" i="16"/>
  <c r="GG19" i="16"/>
  <c r="GF19" i="16"/>
  <c r="GE19" i="16"/>
  <c r="GB19" i="16"/>
  <c r="GA19" i="16"/>
  <c r="FZ19" i="16"/>
  <c r="FY19" i="16"/>
  <c r="FX19" i="16"/>
  <c r="FW19" i="16"/>
  <c r="FT19" i="16"/>
  <c r="FS19" i="16"/>
  <c r="FR19" i="16"/>
  <c r="FQ19" i="16"/>
  <c r="FP19" i="16"/>
  <c r="FO19" i="16"/>
  <c r="FL19" i="16"/>
  <c r="FK19" i="16"/>
  <c r="FJ19" i="16"/>
  <c r="FI19" i="16"/>
  <c r="FH19" i="16"/>
  <c r="FG19" i="16"/>
  <c r="FD19" i="16"/>
  <c r="FC19" i="16"/>
  <c r="FB19" i="16"/>
  <c r="FA19" i="16"/>
  <c r="EZ19" i="16"/>
  <c r="EY19" i="16"/>
  <c r="EV19" i="16"/>
  <c r="EU19" i="16"/>
  <c r="ET19" i="16"/>
  <c r="ES19" i="16"/>
  <c r="ER19" i="16"/>
  <c r="EQ19" i="16"/>
  <c r="EN19" i="16"/>
  <c r="EM19" i="16"/>
  <c r="EL19" i="16"/>
  <c r="EK19" i="16"/>
  <c r="EJ19" i="16"/>
  <c r="EI19" i="16"/>
  <c r="EF19" i="16"/>
  <c r="EE19" i="16"/>
  <c r="ED19" i="16"/>
  <c r="EC19" i="16"/>
  <c r="EB19" i="16"/>
  <c r="EA19" i="16"/>
  <c r="DX19" i="16"/>
  <c r="DW19" i="16"/>
  <c r="DV19" i="16"/>
  <c r="DU19" i="16"/>
  <c r="DT19" i="16"/>
  <c r="DS19" i="16"/>
  <c r="DP19" i="16"/>
  <c r="DO19" i="16"/>
  <c r="DN19" i="16"/>
  <c r="DM19" i="16"/>
  <c r="DL19" i="16"/>
  <c r="DK19" i="16"/>
  <c r="DG19" i="16"/>
  <c r="DE19" i="16"/>
  <c r="DD19" i="16"/>
  <c r="DC19" i="16"/>
  <c r="DA19" i="16"/>
  <c r="CZ19" i="16"/>
  <c r="CY19" i="16"/>
  <c r="CX19" i="16"/>
  <c r="CU19" i="16"/>
  <c r="CT19" i="16"/>
  <c r="CS19" i="16"/>
  <c r="CR19" i="16"/>
  <c r="CO19" i="16"/>
  <c r="CN19" i="16"/>
  <c r="CM19" i="16"/>
  <c r="CL19" i="16"/>
  <c r="CI19" i="16"/>
  <c r="CH19" i="16"/>
  <c r="CG19" i="16"/>
  <c r="CF19" i="16"/>
  <c r="CC19" i="16"/>
  <c r="CB19" i="16"/>
  <c r="CA19" i="16"/>
  <c r="BZ19" i="16"/>
  <c r="BW19" i="16"/>
  <c r="BV19" i="16"/>
  <c r="BU19" i="16"/>
  <c r="BT19" i="16"/>
  <c r="BQ19" i="16"/>
  <c r="BP19" i="16"/>
  <c r="BO19" i="16"/>
  <c r="BN19" i="16"/>
  <c r="BK19" i="16"/>
  <c r="BJ19" i="16"/>
  <c r="BI19" i="16"/>
  <c r="BH19" i="16"/>
  <c r="BE19" i="16"/>
  <c r="BD19" i="16"/>
  <c r="BC19" i="16"/>
  <c r="BB19" i="16"/>
  <c r="AY19" i="16"/>
  <c r="AX19" i="16"/>
  <c r="AW19" i="16"/>
  <c r="AV19" i="16"/>
  <c r="AS19" i="16"/>
  <c r="AR19" i="16"/>
  <c r="AQ19" i="16"/>
  <c r="AP19" i="16"/>
  <c r="AM19" i="16"/>
  <c r="AL19" i="16"/>
  <c r="AK19" i="16"/>
  <c r="AJ19" i="16"/>
  <c r="AG19" i="16"/>
  <c r="AF19" i="16"/>
  <c r="AE19" i="16"/>
  <c r="AD19" i="16"/>
  <c r="AA19" i="16"/>
  <c r="Z19" i="16"/>
  <c r="Y19" i="16"/>
  <c r="X19" i="16"/>
  <c r="U19" i="16"/>
  <c r="T19" i="16"/>
  <c r="S19" i="16"/>
  <c r="R19" i="16"/>
  <c r="O19" i="16"/>
  <c r="N19" i="16"/>
  <c r="M19" i="16"/>
  <c r="L19" i="16"/>
  <c r="I19" i="16"/>
  <c r="H19" i="16"/>
  <c r="G19" i="16"/>
  <c r="F19" i="16"/>
  <c r="OW18" i="16"/>
  <c r="OV18" i="16"/>
  <c r="OU18" i="16"/>
  <c r="OT18" i="16"/>
  <c r="OS18" i="16"/>
  <c r="OR18" i="16"/>
  <c r="OQ18" i="16"/>
  <c r="OP18" i="16"/>
  <c r="OO18" i="16"/>
  <c r="ON18" i="16"/>
  <c r="OK18" i="16"/>
  <c r="OJ18" i="16"/>
  <c r="OI18" i="16"/>
  <c r="OH18" i="16"/>
  <c r="OG18" i="16"/>
  <c r="OF18" i="16"/>
  <c r="OE18" i="16"/>
  <c r="OB18" i="16"/>
  <c r="OA18" i="16"/>
  <c r="NZ18" i="16"/>
  <c r="NY18" i="16"/>
  <c r="NX18" i="16"/>
  <c r="NW18" i="16"/>
  <c r="NV18" i="16"/>
  <c r="NS18" i="16"/>
  <c r="NR18" i="16"/>
  <c r="NQ18" i="16"/>
  <c r="NP18" i="16"/>
  <c r="NO18" i="16"/>
  <c r="NN18" i="16"/>
  <c r="NM18" i="16"/>
  <c r="NJ18" i="16"/>
  <c r="NI18" i="16"/>
  <c r="NH18" i="16"/>
  <c r="NG18" i="16"/>
  <c r="NF18" i="16"/>
  <c r="NE18" i="16"/>
  <c r="ND18" i="16"/>
  <c r="NA18" i="16"/>
  <c r="MZ18" i="16"/>
  <c r="MY18" i="16"/>
  <c r="MX18" i="16"/>
  <c r="MW18" i="16"/>
  <c r="MV18" i="16"/>
  <c r="MU18" i="16"/>
  <c r="MR18" i="16"/>
  <c r="MQ18" i="16"/>
  <c r="MP18" i="16"/>
  <c r="MO18" i="16"/>
  <c r="MN18" i="16"/>
  <c r="MM18" i="16"/>
  <c r="ML18" i="16"/>
  <c r="MI18" i="16"/>
  <c r="MH18" i="16"/>
  <c r="MG18" i="16"/>
  <c r="MF18" i="16"/>
  <c r="ME18" i="16"/>
  <c r="MD18" i="16"/>
  <c r="MC18" i="16"/>
  <c r="LZ18" i="16"/>
  <c r="LY18" i="16"/>
  <c r="LX18" i="16"/>
  <c r="LW18" i="16"/>
  <c r="LV18" i="16"/>
  <c r="LU18" i="16"/>
  <c r="LT18" i="16"/>
  <c r="LQ18" i="16"/>
  <c r="LP18" i="16"/>
  <c r="LO18" i="16"/>
  <c r="LN18" i="16"/>
  <c r="LM18" i="16"/>
  <c r="LL18" i="16"/>
  <c r="LK18" i="16"/>
  <c r="LH18" i="16"/>
  <c r="LG18" i="16"/>
  <c r="LF18" i="16"/>
  <c r="LE18" i="16"/>
  <c r="LD18" i="16"/>
  <c r="LC18" i="16"/>
  <c r="LB18" i="16"/>
  <c r="KY18" i="16"/>
  <c r="KX18" i="16"/>
  <c r="KW18" i="16"/>
  <c r="KV18" i="16"/>
  <c r="KU18" i="16"/>
  <c r="KT18" i="16"/>
  <c r="KS18" i="16"/>
  <c r="KP18" i="16"/>
  <c r="KO18" i="16"/>
  <c r="KN18" i="16"/>
  <c r="KM18" i="16"/>
  <c r="KL18" i="16"/>
  <c r="KK18" i="16"/>
  <c r="KJ18" i="16"/>
  <c r="KG18" i="16"/>
  <c r="KF18" i="16"/>
  <c r="KE18" i="16"/>
  <c r="KD18" i="16"/>
  <c r="KC18" i="16"/>
  <c r="KB18" i="16"/>
  <c r="KA18" i="16"/>
  <c r="JX18" i="16"/>
  <c r="JW18" i="16"/>
  <c r="JV18" i="16"/>
  <c r="JU18" i="16"/>
  <c r="JT18" i="16"/>
  <c r="JS18" i="16"/>
  <c r="JR18" i="16"/>
  <c r="JO18" i="16"/>
  <c r="JN18" i="16"/>
  <c r="JM18" i="16"/>
  <c r="JL18" i="16"/>
  <c r="JK18" i="16"/>
  <c r="JJ18" i="16"/>
  <c r="JI18" i="16"/>
  <c r="JF18" i="16"/>
  <c r="JE18" i="16"/>
  <c r="JD18" i="16"/>
  <c r="JC18" i="16"/>
  <c r="JB18" i="16"/>
  <c r="JA18" i="16"/>
  <c r="IZ18" i="16"/>
  <c r="IQ18" i="16"/>
  <c r="IP18" i="16"/>
  <c r="IO18" i="16"/>
  <c r="IN18" i="16"/>
  <c r="IM18" i="16"/>
  <c r="IL18" i="16"/>
  <c r="IK18" i="16"/>
  <c r="IJ18" i="16"/>
  <c r="II18" i="16"/>
  <c r="IF18" i="16"/>
  <c r="IE18" i="16"/>
  <c r="ID18" i="16"/>
  <c r="IC18" i="16"/>
  <c r="IB18" i="16"/>
  <c r="IA18" i="16"/>
  <c r="HX18" i="16"/>
  <c r="HW18" i="16"/>
  <c r="HV18" i="16"/>
  <c r="HU18" i="16"/>
  <c r="HT18" i="16"/>
  <c r="HS18" i="16"/>
  <c r="HP18" i="16"/>
  <c r="HO18" i="16"/>
  <c r="HN18" i="16"/>
  <c r="HM18" i="16"/>
  <c r="HL18" i="16"/>
  <c r="HK18" i="16"/>
  <c r="HH18" i="16"/>
  <c r="HG18" i="16"/>
  <c r="HF18" i="16"/>
  <c r="HE18" i="16"/>
  <c r="HD18" i="16"/>
  <c r="HC18" i="16"/>
  <c r="GZ18" i="16"/>
  <c r="GY18" i="16"/>
  <c r="GX18" i="16"/>
  <c r="GW18" i="16"/>
  <c r="GV18" i="16"/>
  <c r="GU18" i="16"/>
  <c r="GR18" i="16"/>
  <c r="GQ18" i="16"/>
  <c r="GP18" i="16"/>
  <c r="GO18" i="16"/>
  <c r="GN18" i="16"/>
  <c r="GM18" i="16"/>
  <c r="GJ18" i="16"/>
  <c r="GI18" i="16"/>
  <c r="GH18" i="16"/>
  <c r="GG18" i="16"/>
  <c r="GF18" i="16"/>
  <c r="GE18" i="16"/>
  <c r="GB18" i="16"/>
  <c r="GA18" i="16"/>
  <c r="FZ18" i="16"/>
  <c r="FY18" i="16"/>
  <c r="FX18" i="16"/>
  <c r="FW18" i="16"/>
  <c r="FT18" i="16"/>
  <c r="FS18" i="16"/>
  <c r="FR18" i="16"/>
  <c r="FQ18" i="16"/>
  <c r="FP18" i="16"/>
  <c r="FO18" i="16"/>
  <c r="FL18" i="16"/>
  <c r="FK18" i="16"/>
  <c r="FJ18" i="16"/>
  <c r="FI18" i="16"/>
  <c r="FH18" i="16"/>
  <c r="FG18" i="16"/>
  <c r="FD18" i="16"/>
  <c r="FC18" i="16"/>
  <c r="FB18" i="16"/>
  <c r="FA18" i="16"/>
  <c r="EZ18" i="16"/>
  <c r="EY18" i="16"/>
  <c r="EV18" i="16"/>
  <c r="EU18" i="16"/>
  <c r="ET18" i="16"/>
  <c r="ES18" i="16"/>
  <c r="ER18" i="16"/>
  <c r="EQ18" i="16"/>
  <c r="EN18" i="16"/>
  <c r="EM18" i="16"/>
  <c r="EL18" i="16"/>
  <c r="EK18" i="16"/>
  <c r="EJ18" i="16"/>
  <c r="EI18" i="16"/>
  <c r="EF18" i="16"/>
  <c r="EE18" i="16"/>
  <c r="ED18" i="16"/>
  <c r="EC18" i="16"/>
  <c r="EB18" i="16"/>
  <c r="EA18" i="16"/>
  <c r="DX18" i="16"/>
  <c r="DW18" i="16"/>
  <c r="DV18" i="16"/>
  <c r="DU18" i="16"/>
  <c r="DT18" i="16"/>
  <c r="DS18" i="16"/>
  <c r="DP18" i="16"/>
  <c r="DO18" i="16"/>
  <c r="DN18" i="16"/>
  <c r="DM18" i="16"/>
  <c r="DL18" i="16"/>
  <c r="DK18" i="16"/>
  <c r="DG18" i="16"/>
  <c r="DE18" i="16"/>
  <c r="DD18" i="16"/>
  <c r="DC18" i="16"/>
  <c r="DA18" i="16"/>
  <c r="CZ18" i="16"/>
  <c r="CY18" i="16"/>
  <c r="CX18" i="16"/>
  <c r="CU18" i="16"/>
  <c r="CT18" i="16"/>
  <c r="CS18" i="16"/>
  <c r="CR18" i="16"/>
  <c r="CO18" i="16"/>
  <c r="CN18" i="16"/>
  <c r="CM18" i="16"/>
  <c r="CL18" i="16"/>
  <c r="CI18" i="16"/>
  <c r="CH18" i="16"/>
  <c r="CG18" i="16"/>
  <c r="CF18" i="16"/>
  <c r="CC18" i="16"/>
  <c r="CB18" i="16"/>
  <c r="CA18" i="16"/>
  <c r="BZ18" i="16"/>
  <c r="BW18" i="16"/>
  <c r="BV18" i="16"/>
  <c r="BU18" i="16"/>
  <c r="BT18" i="16"/>
  <c r="BQ18" i="16"/>
  <c r="BP18" i="16"/>
  <c r="BO18" i="16"/>
  <c r="BN18" i="16"/>
  <c r="BK18" i="16"/>
  <c r="BJ18" i="16"/>
  <c r="BI18" i="16"/>
  <c r="BH18" i="16"/>
  <c r="BE18" i="16"/>
  <c r="BD18" i="16"/>
  <c r="BC18" i="16"/>
  <c r="BB18" i="16"/>
  <c r="AY18" i="16"/>
  <c r="AX18" i="16"/>
  <c r="AW18" i="16"/>
  <c r="AV18" i="16"/>
  <c r="AS18" i="16"/>
  <c r="AR18" i="16"/>
  <c r="AQ18" i="16"/>
  <c r="AP18" i="16"/>
  <c r="AM18" i="16"/>
  <c r="AL18" i="16"/>
  <c r="AK18" i="16"/>
  <c r="AJ18" i="16"/>
  <c r="AG18" i="16"/>
  <c r="AF18" i="16"/>
  <c r="AE18" i="16"/>
  <c r="AD18" i="16"/>
  <c r="AA18" i="16"/>
  <c r="Z18" i="16"/>
  <c r="Y18" i="16"/>
  <c r="X18" i="16"/>
  <c r="U18" i="16"/>
  <c r="T18" i="16"/>
  <c r="S18" i="16"/>
  <c r="R18" i="16"/>
  <c r="O18" i="16"/>
  <c r="N18" i="16"/>
  <c r="M18" i="16"/>
  <c r="L18" i="16"/>
  <c r="I18" i="16"/>
  <c r="H18" i="16"/>
  <c r="G18" i="16"/>
  <c r="F18" i="16"/>
  <c r="OW17" i="16"/>
  <c r="OV17" i="16"/>
  <c r="OU17" i="16"/>
  <c r="OT17" i="16"/>
  <c r="OS17" i="16"/>
  <c r="OR17" i="16"/>
  <c r="OQ17" i="16"/>
  <c r="OP17" i="16"/>
  <c r="OO17" i="16"/>
  <c r="ON17" i="16"/>
  <c r="OK17" i="16"/>
  <c r="OJ17" i="16"/>
  <c r="OI17" i="16"/>
  <c r="OH17" i="16"/>
  <c r="OG17" i="16"/>
  <c r="OF17" i="16"/>
  <c r="OE17" i="16"/>
  <c r="OB17" i="16"/>
  <c r="OA17" i="16"/>
  <c r="NZ17" i="16"/>
  <c r="NY17" i="16"/>
  <c r="NX17" i="16"/>
  <c r="NW17" i="16"/>
  <c r="NV17" i="16"/>
  <c r="NS17" i="16"/>
  <c r="NR17" i="16"/>
  <c r="NQ17" i="16"/>
  <c r="NP17" i="16"/>
  <c r="NO17" i="16"/>
  <c r="NN17" i="16"/>
  <c r="NM17" i="16"/>
  <c r="NJ17" i="16"/>
  <c r="NI17" i="16"/>
  <c r="NH17" i="16"/>
  <c r="NG17" i="16"/>
  <c r="NF17" i="16"/>
  <c r="NE17" i="16"/>
  <c r="ND17" i="16"/>
  <c r="NA17" i="16"/>
  <c r="MZ17" i="16"/>
  <c r="MY17" i="16"/>
  <c r="MX17" i="16"/>
  <c r="MW17" i="16"/>
  <c r="MV17" i="16"/>
  <c r="MU17" i="16"/>
  <c r="MR17" i="16"/>
  <c r="MQ17" i="16"/>
  <c r="MP17" i="16"/>
  <c r="MO17" i="16"/>
  <c r="MN17" i="16"/>
  <c r="MM17" i="16"/>
  <c r="ML17" i="16"/>
  <c r="MI17" i="16"/>
  <c r="MH17" i="16"/>
  <c r="MG17" i="16"/>
  <c r="MF17" i="16"/>
  <c r="ME17" i="16"/>
  <c r="MD17" i="16"/>
  <c r="MC17" i="16"/>
  <c r="LZ17" i="16"/>
  <c r="LY17" i="16"/>
  <c r="LX17" i="16"/>
  <c r="LW17" i="16"/>
  <c r="LV17" i="16"/>
  <c r="LU17" i="16"/>
  <c r="LT17" i="16"/>
  <c r="LQ17" i="16"/>
  <c r="LP17" i="16"/>
  <c r="LO17" i="16"/>
  <c r="LN17" i="16"/>
  <c r="LM17" i="16"/>
  <c r="LL17" i="16"/>
  <c r="LK17" i="16"/>
  <c r="LH17" i="16"/>
  <c r="LG17" i="16"/>
  <c r="LF17" i="16"/>
  <c r="LE17" i="16"/>
  <c r="LD17" i="16"/>
  <c r="LC17" i="16"/>
  <c r="LB17" i="16"/>
  <c r="KY17" i="16"/>
  <c r="KX17" i="16"/>
  <c r="KW17" i="16"/>
  <c r="KV17" i="16"/>
  <c r="KU17" i="16"/>
  <c r="KT17" i="16"/>
  <c r="KS17" i="16"/>
  <c r="KP17" i="16"/>
  <c r="KO17" i="16"/>
  <c r="KN17" i="16"/>
  <c r="KM17" i="16"/>
  <c r="KL17" i="16"/>
  <c r="KK17" i="16"/>
  <c r="KJ17" i="16"/>
  <c r="KG17" i="16"/>
  <c r="KF17" i="16"/>
  <c r="KE17" i="16"/>
  <c r="KD17" i="16"/>
  <c r="KC17" i="16"/>
  <c r="KB17" i="16"/>
  <c r="KA17" i="16"/>
  <c r="JX17" i="16"/>
  <c r="JW17" i="16"/>
  <c r="JV17" i="16"/>
  <c r="JU17" i="16"/>
  <c r="JT17" i="16"/>
  <c r="JS17" i="16"/>
  <c r="JR17" i="16"/>
  <c r="JO17" i="16"/>
  <c r="JN17" i="16"/>
  <c r="JM17" i="16"/>
  <c r="JL17" i="16"/>
  <c r="JK17" i="16"/>
  <c r="JJ17" i="16"/>
  <c r="JI17" i="16"/>
  <c r="JF17" i="16"/>
  <c r="JE17" i="16"/>
  <c r="JD17" i="16"/>
  <c r="JC17" i="16"/>
  <c r="JB17" i="16"/>
  <c r="JA17" i="16"/>
  <c r="IZ17" i="16"/>
  <c r="IQ17" i="16"/>
  <c r="IP17" i="16"/>
  <c r="IO17" i="16"/>
  <c r="IN17" i="16"/>
  <c r="IM17" i="16"/>
  <c r="IL17" i="16"/>
  <c r="IK17" i="16"/>
  <c r="IJ17" i="16"/>
  <c r="II17" i="16"/>
  <c r="IF17" i="16"/>
  <c r="IE17" i="16"/>
  <c r="ID17" i="16"/>
  <c r="IC17" i="16"/>
  <c r="IB17" i="16"/>
  <c r="IA17" i="16"/>
  <c r="HX17" i="16"/>
  <c r="HW17" i="16"/>
  <c r="HV17" i="16"/>
  <c r="HU17" i="16"/>
  <c r="HT17" i="16"/>
  <c r="HS17" i="16"/>
  <c r="HP17" i="16"/>
  <c r="HO17" i="16"/>
  <c r="HN17" i="16"/>
  <c r="HM17" i="16"/>
  <c r="HL17" i="16"/>
  <c r="HK17" i="16"/>
  <c r="HH17" i="16"/>
  <c r="HG17" i="16"/>
  <c r="HF17" i="16"/>
  <c r="HE17" i="16"/>
  <c r="HD17" i="16"/>
  <c r="HC17" i="16"/>
  <c r="GZ17" i="16"/>
  <c r="GY17" i="16"/>
  <c r="GX17" i="16"/>
  <c r="GW17" i="16"/>
  <c r="GV17" i="16"/>
  <c r="GU17" i="16"/>
  <c r="GR17" i="16"/>
  <c r="GQ17" i="16"/>
  <c r="GP17" i="16"/>
  <c r="GO17" i="16"/>
  <c r="GN17" i="16"/>
  <c r="GM17" i="16"/>
  <c r="GJ17" i="16"/>
  <c r="GI17" i="16"/>
  <c r="GH17" i="16"/>
  <c r="GG17" i="16"/>
  <c r="GF17" i="16"/>
  <c r="GE17" i="16"/>
  <c r="GB17" i="16"/>
  <c r="GA17" i="16"/>
  <c r="FZ17" i="16"/>
  <c r="FY17" i="16"/>
  <c r="FX17" i="16"/>
  <c r="FW17" i="16"/>
  <c r="FT17" i="16"/>
  <c r="FS17" i="16"/>
  <c r="FR17" i="16"/>
  <c r="FQ17" i="16"/>
  <c r="FP17" i="16"/>
  <c r="FO17" i="16"/>
  <c r="FL17" i="16"/>
  <c r="FK17" i="16"/>
  <c r="FJ17" i="16"/>
  <c r="FI17" i="16"/>
  <c r="FH17" i="16"/>
  <c r="FG17" i="16"/>
  <c r="FD17" i="16"/>
  <c r="FC17" i="16"/>
  <c r="FB17" i="16"/>
  <c r="FA17" i="16"/>
  <c r="EZ17" i="16"/>
  <c r="EY17" i="16"/>
  <c r="EV17" i="16"/>
  <c r="EU17" i="16"/>
  <c r="ET17" i="16"/>
  <c r="ES17" i="16"/>
  <c r="ER17" i="16"/>
  <c r="EQ17" i="16"/>
  <c r="EN17" i="16"/>
  <c r="EM17" i="16"/>
  <c r="EL17" i="16"/>
  <c r="EK17" i="16"/>
  <c r="EJ17" i="16"/>
  <c r="EI17" i="16"/>
  <c r="EF17" i="16"/>
  <c r="EE17" i="16"/>
  <c r="ED17" i="16"/>
  <c r="EC17" i="16"/>
  <c r="EB17" i="16"/>
  <c r="EA17" i="16"/>
  <c r="DX17" i="16"/>
  <c r="DW17" i="16"/>
  <c r="DV17" i="16"/>
  <c r="DU17" i="16"/>
  <c r="DT17" i="16"/>
  <c r="DS17" i="16"/>
  <c r="DP17" i="16"/>
  <c r="DO17" i="16"/>
  <c r="DN17" i="16"/>
  <c r="DM17" i="16"/>
  <c r="DL17" i="16"/>
  <c r="DK17" i="16"/>
  <c r="DG17" i="16"/>
  <c r="DE17" i="16"/>
  <c r="DD17" i="16"/>
  <c r="DC17" i="16"/>
  <c r="DA17" i="16"/>
  <c r="CZ17" i="16"/>
  <c r="CY17" i="16"/>
  <c r="CX17" i="16"/>
  <c r="CU17" i="16"/>
  <c r="CT17" i="16"/>
  <c r="CS17" i="16"/>
  <c r="CR17" i="16"/>
  <c r="CO17" i="16"/>
  <c r="CN17" i="16"/>
  <c r="CM17" i="16"/>
  <c r="CL17" i="16"/>
  <c r="CI17" i="16"/>
  <c r="CH17" i="16"/>
  <c r="CG17" i="16"/>
  <c r="CF17" i="16"/>
  <c r="CC17" i="16"/>
  <c r="CB17" i="16"/>
  <c r="CA17" i="16"/>
  <c r="BZ17" i="16"/>
  <c r="BW17" i="16"/>
  <c r="BV17" i="16"/>
  <c r="BU17" i="16"/>
  <c r="BT17" i="16"/>
  <c r="BQ17" i="16"/>
  <c r="BP17" i="16"/>
  <c r="BO17" i="16"/>
  <c r="BN17" i="16"/>
  <c r="BK17" i="16"/>
  <c r="BJ17" i="16"/>
  <c r="BI17" i="16"/>
  <c r="BH17" i="16"/>
  <c r="BE17" i="16"/>
  <c r="BD17" i="16"/>
  <c r="BC17" i="16"/>
  <c r="BB17" i="16"/>
  <c r="AY17" i="16"/>
  <c r="AX17" i="16"/>
  <c r="AW17" i="16"/>
  <c r="AV17" i="16"/>
  <c r="AS17" i="16"/>
  <c r="AR17" i="16"/>
  <c r="AQ17" i="16"/>
  <c r="AP17" i="16"/>
  <c r="AM17" i="16"/>
  <c r="AL17" i="16"/>
  <c r="AK17" i="16"/>
  <c r="AJ17" i="16"/>
  <c r="AG17" i="16"/>
  <c r="AF17" i="16"/>
  <c r="AE17" i="16"/>
  <c r="AD17" i="16"/>
  <c r="AA17" i="16"/>
  <c r="Z17" i="16"/>
  <c r="Y17" i="16"/>
  <c r="X17" i="16"/>
  <c r="U17" i="16"/>
  <c r="T17" i="16"/>
  <c r="S17" i="16"/>
  <c r="R17" i="16"/>
  <c r="O17" i="16"/>
  <c r="N17" i="16"/>
  <c r="M17" i="16"/>
  <c r="L17" i="16"/>
  <c r="I17" i="16"/>
  <c r="H17" i="16"/>
  <c r="G17" i="16"/>
  <c r="F17" i="16"/>
  <c r="OW16" i="16"/>
  <c r="OV16" i="16"/>
  <c r="OU16" i="16"/>
  <c r="OT16" i="16"/>
  <c r="OS16" i="16"/>
  <c r="OR16" i="16"/>
  <c r="OQ16" i="16"/>
  <c r="OP16" i="16"/>
  <c r="OO16" i="16"/>
  <c r="ON16" i="16"/>
  <c r="OK16" i="16"/>
  <c r="OJ16" i="16"/>
  <c r="OI16" i="16"/>
  <c r="OH16" i="16"/>
  <c r="OG16" i="16"/>
  <c r="OF16" i="16"/>
  <c r="OE16" i="16"/>
  <c r="OB16" i="16"/>
  <c r="OA16" i="16"/>
  <c r="NZ16" i="16"/>
  <c r="NY16" i="16"/>
  <c r="NX16" i="16"/>
  <c r="NW16" i="16"/>
  <c r="NV16" i="16"/>
  <c r="NS16" i="16"/>
  <c r="NR16" i="16"/>
  <c r="NQ16" i="16"/>
  <c r="NP16" i="16"/>
  <c r="NO16" i="16"/>
  <c r="NN16" i="16"/>
  <c r="NM16" i="16"/>
  <c r="NJ16" i="16"/>
  <c r="NI16" i="16"/>
  <c r="NH16" i="16"/>
  <c r="NG16" i="16"/>
  <c r="NF16" i="16"/>
  <c r="NE16" i="16"/>
  <c r="ND16" i="16"/>
  <c r="NA16" i="16"/>
  <c r="MZ16" i="16"/>
  <c r="MY16" i="16"/>
  <c r="MX16" i="16"/>
  <c r="MW16" i="16"/>
  <c r="MV16" i="16"/>
  <c r="MU16" i="16"/>
  <c r="MR16" i="16"/>
  <c r="MQ16" i="16"/>
  <c r="MP16" i="16"/>
  <c r="MO16" i="16"/>
  <c r="MN16" i="16"/>
  <c r="MM16" i="16"/>
  <c r="ML16" i="16"/>
  <c r="MI16" i="16"/>
  <c r="MH16" i="16"/>
  <c r="MG16" i="16"/>
  <c r="MF16" i="16"/>
  <c r="ME16" i="16"/>
  <c r="MD16" i="16"/>
  <c r="MC16" i="16"/>
  <c r="LZ16" i="16"/>
  <c r="LY16" i="16"/>
  <c r="LX16" i="16"/>
  <c r="LW16" i="16"/>
  <c r="LV16" i="16"/>
  <c r="LU16" i="16"/>
  <c r="LT16" i="16"/>
  <c r="LQ16" i="16"/>
  <c r="LP16" i="16"/>
  <c r="LO16" i="16"/>
  <c r="LN16" i="16"/>
  <c r="LM16" i="16"/>
  <c r="LL16" i="16"/>
  <c r="LK16" i="16"/>
  <c r="LH16" i="16"/>
  <c r="LG16" i="16"/>
  <c r="LF16" i="16"/>
  <c r="LE16" i="16"/>
  <c r="LD16" i="16"/>
  <c r="LC16" i="16"/>
  <c r="LB16" i="16"/>
  <c r="KY16" i="16"/>
  <c r="KX16" i="16"/>
  <c r="KW16" i="16"/>
  <c r="KV16" i="16"/>
  <c r="KU16" i="16"/>
  <c r="KT16" i="16"/>
  <c r="KS16" i="16"/>
  <c r="KP16" i="16"/>
  <c r="KO16" i="16"/>
  <c r="KN16" i="16"/>
  <c r="KM16" i="16"/>
  <c r="KL16" i="16"/>
  <c r="KK16" i="16"/>
  <c r="KJ16" i="16"/>
  <c r="KG16" i="16"/>
  <c r="KF16" i="16"/>
  <c r="KE16" i="16"/>
  <c r="KD16" i="16"/>
  <c r="KC16" i="16"/>
  <c r="KB16" i="16"/>
  <c r="KA16" i="16"/>
  <c r="JX16" i="16"/>
  <c r="JW16" i="16"/>
  <c r="JV16" i="16"/>
  <c r="JU16" i="16"/>
  <c r="JT16" i="16"/>
  <c r="JS16" i="16"/>
  <c r="JR16" i="16"/>
  <c r="JO16" i="16"/>
  <c r="JN16" i="16"/>
  <c r="JM16" i="16"/>
  <c r="JL16" i="16"/>
  <c r="JK16" i="16"/>
  <c r="JJ16" i="16"/>
  <c r="JI16" i="16"/>
  <c r="JF16" i="16"/>
  <c r="JE16" i="16"/>
  <c r="JD16" i="16"/>
  <c r="JC16" i="16"/>
  <c r="JB16" i="16"/>
  <c r="JA16" i="16"/>
  <c r="IZ16" i="16"/>
  <c r="IQ16" i="16"/>
  <c r="IP16" i="16"/>
  <c r="IO16" i="16"/>
  <c r="IN16" i="16"/>
  <c r="IM16" i="16"/>
  <c r="IL16" i="16"/>
  <c r="IK16" i="16"/>
  <c r="IJ16" i="16"/>
  <c r="II16" i="16"/>
  <c r="IF16" i="16"/>
  <c r="IE16" i="16"/>
  <c r="ID16" i="16"/>
  <c r="IC16" i="16"/>
  <c r="IB16" i="16"/>
  <c r="IA16" i="16"/>
  <c r="HX16" i="16"/>
  <c r="HW16" i="16"/>
  <c r="HV16" i="16"/>
  <c r="HU16" i="16"/>
  <c r="HT16" i="16"/>
  <c r="HS16" i="16"/>
  <c r="HP16" i="16"/>
  <c r="HO16" i="16"/>
  <c r="HN16" i="16"/>
  <c r="HM16" i="16"/>
  <c r="HL16" i="16"/>
  <c r="HK16" i="16"/>
  <c r="HH16" i="16"/>
  <c r="HG16" i="16"/>
  <c r="HF16" i="16"/>
  <c r="HE16" i="16"/>
  <c r="HD16" i="16"/>
  <c r="HC16" i="16"/>
  <c r="GZ16" i="16"/>
  <c r="GY16" i="16"/>
  <c r="GX16" i="16"/>
  <c r="GW16" i="16"/>
  <c r="GV16" i="16"/>
  <c r="GU16" i="16"/>
  <c r="GR16" i="16"/>
  <c r="GQ16" i="16"/>
  <c r="GP16" i="16"/>
  <c r="GO16" i="16"/>
  <c r="GN16" i="16"/>
  <c r="GM16" i="16"/>
  <c r="GJ16" i="16"/>
  <c r="GI16" i="16"/>
  <c r="GH16" i="16"/>
  <c r="GG16" i="16"/>
  <c r="GF16" i="16"/>
  <c r="GE16" i="16"/>
  <c r="GB16" i="16"/>
  <c r="GA16" i="16"/>
  <c r="FZ16" i="16"/>
  <c r="FY16" i="16"/>
  <c r="FX16" i="16"/>
  <c r="FW16" i="16"/>
  <c r="FT16" i="16"/>
  <c r="FS16" i="16"/>
  <c r="FR16" i="16"/>
  <c r="FQ16" i="16"/>
  <c r="FP16" i="16"/>
  <c r="FO16" i="16"/>
  <c r="FL16" i="16"/>
  <c r="FK16" i="16"/>
  <c r="FJ16" i="16"/>
  <c r="FI16" i="16"/>
  <c r="FH16" i="16"/>
  <c r="FG16" i="16"/>
  <c r="FD16" i="16"/>
  <c r="FC16" i="16"/>
  <c r="FB16" i="16"/>
  <c r="FA16" i="16"/>
  <c r="EZ16" i="16"/>
  <c r="EY16" i="16"/>
  <c r="EV16" i="16"/>
  <c r="EU16" i="16"/>
  <c r="ET16" i="16"/>
  <c r="ES16" i="16"/>
  <c r="ER16" i="16"/>
  <c r="EQ16" i="16"/>
  <c r="EN16" i="16"/>
  <c r="EM16" i="16"/>
  <c r="EL16" i="16"/>
  <c r="EK16" i="16"/>
  <c r="EJ16" i="16"/>
  <c r="EI16" i="16"/>
  <c r="EF16" i="16"/>
  <c r="EE16" i="16"/>
  <c r="ED16" i="16"/>
  <c r="EC16" i="16"/>
  <c r="EB16" i="16"/>
  <c r="EA16" i="16"/>
  <c r="DX16" i="16"/>
  <c r="DW16" i="16"/>
  <c r="DV16" i="16"/>
  <c r="DU16" i="16"/>
  <c r="DT16" i="16"/>
  <c r="DS16" i="16"/>
  <c r="DP16" i="16"/>
  <c r="DO16" i="16"/>
  <c r="DN16" i="16"/>
  <c r="DM16" i="16"/>
  <c r="DL16" i="16"/>
  <c r="DK16" i="16"/>
  <c r="DG16" i="16"/>
  <c r="DE16" i="16"/>
  <c r="DD16" i="16"/>
  <c r="DC16" i="16"/>
  <c r="DA16" i="16"/>
  <c r="CZ16" i="16"/>
  <c r="CY16" i="16"/>
  <c r="CX16" i="16"/>
  <c r="CU16" i="16"/>
  <c r="CT16" i="16"/>
  <c r="CS16" i="16"/>
  <c r="CR16" i="16"/>
  <c r="CO16" i="16"/>
  <c r="CN16" i="16"/>
  <c r="CM16" i="16"/>
  <c r="CL16" i="16"/>
  <c r="CI16" i="16"/>
  <c r="CH16" i="16"/>
  <c r="CG16" i="16"/>
  <c r="CF16" i="16"/>
  <c r="CC16" i="16"/>
  <c r="CB16" i="16"/>
  <c r="CA16" i="16"/>
  <c r="BZ16" i="16"/>
  <c r="BW16" i="16"/>
  <c r="BV16" i="16"/>
  <c r="BU16" i="16"/>
  <c r="BT16" i="16"/>
  <c r="BQ16" i="16"/>
  <c r="BP16" i="16"/>
  <c r="BO16" i="16"/>
  <c r="BN16" i="16"/>
  <c r="BK16" i="16"/>
  <c r="BJ16" i="16"/>
  <c r="BI16" i="16"/>
  <c r="BH16" i="16"/>
  <c r="BE16" i="16"/>
  <c r="BD16" i="16"/>
  <c r="BC16" i="16"/>
  <c r="BB16" i="16"/>
  <c r="AY16" i="16"/>
  <c r="AX16" i="16"/>
  <c r="AW16" i="16"/>
  <c r="AV16" i="16"/>
  <c r="AS16" i="16"/>
  <c r="AR16" i="16"/>
  <c r="AQ16" i="16"/>
  <c r="AP16" i="16"/>
  <c r="AM16" i="16"/>
  <c r="AL16" i="16"/>
  <c r="AK16" i="16"/>
  <c r="AJ16" i="16"/>
  <c r="AG16" i="16"/>
  <c r="AF16" i="16"/>
  <c r="AE16" i="16"/>
  <c r="AD16" i="16"/>
  <c r="AA16" i="16"/>
  <c r="Z16" i="16"/>
  <c r="Y16" i="16"/>
  <c r="X16" i="16"/>
  <c r="U16" i="16"/>
  <c r="T16" i="16"/>
  <c r="S16" i="16"/>
  <c r="R16" i="16"/>
  <c r="O16" i="16"/>
  <c r="N16" i="16"/>
  <c r="M16" i="16"/>
  <c r="L16" i="16"/>
  <c r="I16" i="16"/>
  <c r="H16" i="16"/>
  <c r="G16" i="16"/>
  <c r="F16" i="16"/>
  <c r="OW15" i="16"/>
  <c r="OV15" i="16"/>
  <c r="OU15" i="16"/>
  <c r="OT15" i="16"/>
  <c r="OS15" i="16"/>
  <c r="OR15" i="16"/>
  <c r="OQ15" i="16"/>
  <c r="OP15" i="16"/>
  <c r="OO15" i="16"/>
  <c r="ON15" i="16"/>
  <c r="OK15" i="16"/>
  <c r="OJ15" i="16"/>
  <c r="OI15" i="16"/>
  <c r="OH15" i="16"/>
  <c r="OG15" i="16"/>
  <c r="OF15" i="16"/>
  <c r="OE15" i="16"/>
  <c r="OB15" i="16"/>
  <c r="OA15" i="16"/>
  <c r="NZ15" i="16"/>
  <c r="NY15" i="16"/>
  <c r="NX15" i="16"/>
  <c r="NW15" i="16"/>
  <c r="NV15" i="16"/>
  <c r="NS15" i="16"/>
  <c r="NR15" i="16"/>
  <c r="NQ15" i="16"/>
  <c r="NP15" i="16"/>
  <c r="NO15" i="16"/>
  <c r="NN15" i="16"/>
  <c r="NM15" i="16"/>
  <c r="NJ15" i="16"/>
  <c r="NI15" i="16"/>
  <c r="NH15" i="16"/>
  <c r="NG15" i="16"/>
  <c r="NF15" i="16"/>
  <c r="NE15" i="16"/>
  <c r="ND15" i="16"/>
  <c r="NA15" i="16"/>
  <c r="MZ15" i="16"/>
  <c r="MY15" i="16"/>
  <c r="MX15" i="16"/>
  <c r="MW15" i="16"/>
  <c r="MV15" i="16"/>
  <c r="MU15" i="16"/>
  <c r="MR15" i="16"/>
  <c r="MQ15" i="16"/>
  <c r="MP15" i="16"/>
  <c r="MO15" i="16"/>
  <c r="MN15" i="16"/>
  <c r="MM15" i="16"/>
  <c r="ML15" i="16"/>
  <c r="MI15" i="16"/>
  <c r="MH15" i="16"/>
  <c r="MG15" i="16"/>
  <c r="MF15" i="16"/>
  <c r="ME15" i="16"/>
  <c r="MD15" i="16"/>
  <c r="MC15" i="16"/>
  <c r="LZ15" i="16"/>
  <c r="LY15" i="16"/>
  <c r="LX15" i="16"/>
  <c r="LW15" i="16"/>
  <c r="LV15" i="16"/>
  <c r="LU15" i="16"/>
  <c r="LT15" i="16"/>
  <c r="LQ15" i="16"/>
  <c r="LP15" i="16"/>
  <c r="LO15" i="16"/>
  <c r="LN15" i="16"/>
  <c r="LM15" i="16"/>
  <c r="LL15" i="16"/>
  <c r="LK15" i="16"/>
  <c r="LH15" i="16"/>
  <c r="LG15" i="16"/>
  <c r="LF15" i="16"/>
  <c r="LE15" i="16"/>
  <c r="LD15" i="16"/>
  <c r="LC15" i="16"/>
  <c r="LB15" i="16"/>
  <c r="KY15" i="16"/>
  <c r="KX15" i="16"/>
  <c r="KW15" i="16"/>
  <c r="KV15" i="16"/>
  <c r="KU15" i="16"/>
  <c r="KT15" i="16"/>
  <c r="KS15" i="16"/>
  <c r="KP15" i="16"/>
  <c r="KO15" i="16"/>
  <c r="KN15" i="16"/>
  <c r="KM15" i="16"/>
  <c r="KL15" i="16"/>
  <c r="KK15" i="16"/>
  <c r="KJ15" i="16"/>
  <c r="KG15" i="16"/>
  <c r="KF15" i="16"/>
  <c r="KE15" i="16"/>
  <c r="KD15" i="16"/>
  <c r="KC15" i="16"/>
  <c r="KB15" i="16"/>
  <c r="KA15" i="16"/>
  <c r="JX15" i="16"/>
  <c r="JW15" i="16"/>
  <c r="JV15" i="16"/>
  <c r="JU15" i="16"/>
  <c r="JT15" i="16"/>
  <c r="JS15" i="16"/>
  <c r="JR15" i="16"/>
  <c r="JO15" i="16"/>
  <c r="JN15" i="16"/>
  <c r="JM15" i="16"/>
  <c r="JL15" i="16"/>
  <c r="JK15" i="16"/>
  <c r="JJ15" i="16"/>
  <c r="JI15" i="16"/>
  <c r="JF15" i="16"/>
  <c r="JE15" i="16"/>
  <c r="JD15" i="16"/>
  <c r="JC15" i="16"/>
  <c r="JB15" i="16"/>
  <c r="JA15" i="16"/>
  <c r="IZ15" i="16"/>
  <c r="IQ15" i="16"/>
  <c r="IP15" i="16"/>
  <c r="IO15" i="16"/>
  <c r="IN15" i="16"/>
  <c r="IM15" i="16"/>
  <c r="IL15" i="16"/>
  <c r="IK15" i="16"/>
  <c r="IJ15" i="16"/>
  <c r="II15" i="16"/>
  <c r="IF15" i="16"/>
  <c r="IE15" i="16"/>
  <c r="ID15" i="16"/>
  <c r="IC15" i="16"/>
  <c r="IB15" i="16"/>
  <c r="IA15" i="16"/>
  <c r="HX15" i="16"/>
  <c r="HW15" i="16"/>
  <c r="HV15" i="16"/>
  <c r="HU15" i="16"/>
  <c r="HT15" i="16"/>
  <c r="HS15" i="16"/>
  <c r="HP15" i="16"/>
  <c r="HO15" i="16"/>
  <c r="HN15" i="16"/>
  <c r="HM15" i="16"/>
  <c r="HL15" i="16"/>
  <c r="HK15" i="16"/>
  <c r="HH15" i="16"/>
  <c r="HG15" i="16"/>
  <c r="HF15" i="16"/>
  <c r="HE15" i="16"/>
  <c r="HD15" i="16"/>
  <c r="HC15" i="16"/>
  <c r="GZ15" i="16"/>
  <c r="GY15" i="16"/>
  <c r="GX15" i="16"/>
  <c r="GW15" i="16"/>
  <c r="GV15" i="16"/>
  <c r="GU15" i="16"/>
  <c r="GR15" i="16"/>
  <c r="GQ15" i="16"/>
  <c r="GP15" i="16"/>
  <c r="GO15" i="16"/>
  <c r="GN15" i="16"/>
  <c r="GM15" i="16"/>
  <c r="GJ15" i="16"/>
  <c r="GI15" i="16"/>
  <c r="GH15" i="16"/>
  <c r="GG15" i="16"/>
  <c r="GF15" i="16"/>
  <c r="GE15" i="16"/>
  <c r="GB15" i="16"/>
  <c r="GA15" i="16"/>
  <c r="FZ15" i="16"/>
  <c r="FY15" i="16"/>
  <c r="FX15" i="16"/>
  <c r="FW15" i="16"/>
  <c r="FT15" i="16"/>
  <c r="FS15" i="16"/>
  <c r="FR15" i="16"/>
  <c r="FQ15" i="16"/>
  <c r="FP15" i="16"/>
  <c r="FO15" i="16"/>
  <c r="FL15" i="16"/>
  <c r="FK15" i="16"/>
  <c r="FJ15" i="16"/>
  <c r="FI15" i="16"/>
  <c r="FH15" i="16"/>
  <c r="FG15" i="16"/>
  <c r="FD15" i="16"/>
  <c r="FC15" i="16"/>
  <c r="FB15" i="16"/>
  <c r="FA15" i="16"/>
  <c r="EZ15" i="16"/>
  <c r="EY15" i="16"/>
  <c r="EV15" i="16"/>
  <c r="EU15" i="16"/>
  <c r="ET15" i="16"/>
  <c r="ES15" i="16"/>
  <c r="ER15" i="16"/>
  <c r="EQ15" i="16"/>
  <c r="EN15" i="16"/>
  <c r="EM15" i="16"/>
  <c r="EL15" i="16"/>
  <c r="EK15" i="16"/>
  <c r="EJ15" i="16"/>
  <c r="EI15" i="16"/>
  <c r="EF15" i="16"/>
  <c r="EE15" i="16"/>
  <c r="ED15" i="16"/>
  <c r="EC15" i="16"/>
  <c r="EB15" i="16"/>
  <c r="EA15" i="16"/>
  <c r="DX15" i="16"/>
  <c r="DW15" i="16"/>
  <c r="DV15" i="16"/>
  <c r="DU15" i="16"/>
  <c r="DT15" i="16"/>
  <c r="DS15" i="16"/>
  <c r="DP15" i="16"/>
  <c r="DO15" i="16"/>
  <c r="DN15" i="16"/>
  <c r="DM15" i="16"/>
  <c r="DL15" i="16"/>
  <c r="DK15" i="16"/>
  <c r="DG15" i="16"/>
  <c r="DE15" i="16"/>
  <c r="DD15" i="16"/>
  <c r="DC15" i="16"/>
  <c r="DA15" i="16"/>
  <c r="CZ15" i="16"/>
  <c r="CY15" i="16"/>
  <c r="CX15" i="16"/>
  <c r="CU15" i="16"/>
  <c r="CT15" i="16"/>
  <c r="CS15" i="16"/>
  <c r="CR15" i="16"/>
  <c r="CO15" i="16"/>
  <c r="CN15" i="16"/>
  <c r="CM15" i="16"/>
  <c r="CL15" i="16"/>
  <c r="CI15" i="16"/>
  <c r="CH15" i="16"/>
  <c r="CG15" i="16"/>
  <c r="CF15" i="16"/>
  <c r="CC15" i="16"/>
  <c r="CB15" i="16"/>
  <c r="CA15" i="16"/>
  <c r="BZ15" i="16"/>
  <c r="BW15" i="16"/>
  <c r="BV15" i="16"/>
  <c r="BU15" i="16"/>
  <c r="BT15" i="16"/>
  <c r="BQ15" i="16"/>
  <c r="BP15" i="16"/>
  <c r="BO15" i="16"/>
  <c r="BN15" i="16"/>
  <c r="BK15" i="16"/>
  <c r="BJ15" i="16"/>
  <c r="BI15" i="16"/>
  <c r="BH15" i="16"/>
  <c r="BE15" i="16"/>
  <c r="BD15" i="16"/>
  <c r="BC15" i="16"/>
  <c r="BB15" i="16"/>
  <c r="AY15" i="16"/>
  <c r="AX15" i="16"/>
  <c r="AW15" i="16"/>
  <c r="AV15" i="16"/>
  <c r="AS15" i="16"/>
  <c r="AR15" i="16"/>
  <c r="AQ15" i="16"/>
  <c r="AP15" i="16"/>
  <c r="AM15" i="16"/>
  <c r="AL15" i="16"/>
  <c r="AK15" i="16"/>
  <c r="AJ15" i="16"/>
  <c r="AG15" i="16"/>
  <c r="AF15" i="16"/>
  <c r="AE15" i="16"/>
  <c r="AD15" i="16"/>
  <c r="AA15" i="16"/>
  <c r="Z15" i="16"/>
  <c r="Y15" i="16"/>
  <c r="X15" i="16"/>
  <c r="U15" i="16"/>
  <c r="T15" i="16"/>
  <c r="S15" i="16"/>
  <c r="R15" i="16"/>
  <c r="O15" i="16"/>
  <c r="N15" i="16"/>
  <c r="M15" i="16"/>
  <c r="L15" i="16"/>
  <c r="I15" i="16"/>
  <c r="H15" i="16"/>
  <c r="G15" i="16"/>
  <c r="F15" i="16"/>
  <c r="OW14" i="16"/>
  <c r="OV14" i="16"/>
  <c r="OU14" i="16"/>
  <c r="OT14" i="16"/>
  <c r="OS14" i="16"/>
  <c r="OR14" i="16"/>
  <c r="OQ14" i="16"/>
  <c r="OP14" i="16"/>
  <c r="OO14" i="16"/>
  <c r="ON14" i="16"/>
  <c r="OK14" i="16"/>
  <c r="OJ14" i="16"/>
  <c r="OI14" i="16"/>
  <c r="OH14" i="16"/>
  <c r="OG14" i="16"/>
  <c r="OF14" i="16"/>
  <c r="OE14" i="16"/>
  <c r="OB14" i="16"/>
  <c r="OA14" i="16"/>
  <c r="NZ14" i="16"/>
  <c r="NY14" i="16"/>
  <c r="NX14" i="16"/>
  <c r="NW14" i="16"/>
  <c r="NV14" i="16"/>
  <c r="NS14" i="16"/>
  <c r="NR14" i="16"/>
  <c r="NQ14" i="16"/>
  <c r="NP14" i="16"/>
  <c r="NO14" i="16"/>
  <c r="NN14" i="16"/>
  <c r="NM14" i="16"/>
  <c r="NJ14" i="16"/>
  <c r="NI14" i="16"/>
  <c r="NH14" i="16"/>
  <c r="NG14" i="16"/>
  <c r="NF14" i="16"/>
  <c r="NE14" i="16"/>
  <c r="ND14" i="16"/>
  <c r="NA14" i="16"/>
  <c r="MZ14" i="16"/>
  <c r="MY14" i="16"/>
  <c r="MX14" i="16"/>
  <c r="MW14" i="16"/>
  <c r="MV14" i="16"/>
  <c r="MU14" i="16"/>
  <c r="MR14" i="16"/>
  <c r="MQ14" i="16"/>
  <c r="MP14" i="16"/>
  <c r="MO14" i="16"/>
  <c r="MN14" i="16"/>
  <c r="MM14" i="16"/>
  <c r="ML14" i="16"/>
  <c r="MI14" i="16"/>
  <c r="MH14" i="16"/>
  <c r="MG14" i="16"/>
  <c r="MF14" i="16"/>
  <c r="ME14" i="16"/>
  <c r="MD14" i="16"/>
  <c r="MC14" i="16"/>
  <c r="LZ14" i="16"/>
  <c r="LY14" i="16"/>
  <c r="LX14" i="16"/>
  <c r="LW14" i="16"/>
  <c r="LV14" i="16"/>
  <c r="LU14" i="16"/>
  <c r="LT14" i="16"/>
  <c r="LQ14" i="16"/>
  <c r="LP14" i="16"/>
  <c r="LO14" i="16"/>
  <c r="LN14" i="16"/>
  <c r="LM14" i="16"/>
  <c r="LL14" i="16"/>
  <c r="LK14" i="16"/>
  <c r="LH14" i="16"/>
  <c r="LG14" i="16"/>
  <c r="LF14" i="16"/>
  <c r="LE14" i="16"/>
  <c r="LD14" i="16"/>
  <c r="LC14" i="16"/>
  <c r="LB14" i="16"/>
  <c r="KY14" i="16"/>
  <c r="KX14" i="16"/>
  <c r="KW14" i="16"/>
  <c r="KV14" i="16"/>
  <c r="KU14" i="16"/>
  <c r="KT14" i="16"/>
  <c r="KS14" i="16"/>
  <c r="KP14" i="16"/>
  <c r="KO14" i="16"/>
  <c r="KN14" i="16"/>
  <c r="KM14" i="16"/>
  <c r="KL14" i="16"/>
  <c r="KK14" i="16"/>
  <c r="KJ14" i="16"/>
  <c r="KG14" i="16"/>
  <c r="KF14" i="16"/>
  <c r="KE14" i="16"/>
  <c r="KD14" i="16"/>
  <c r="KC14" i="16"/>
  <c r="KB14" i="16"/>
  <c r="KA14" i="16"/>
  <c r="JX14" i="16"/>
  <c r="JW14" i="16"/>
  <c r="JV14" i="16"/>
  <c r="JU14" i="16"/>
  <c r="JT14" i="16"/>
  <c r="JS14" i="16"/>
  <c r="JR14" i="16"/>
  <c r="JO14" i="16"/>
  <c r="JN14" i="16"/>
  <c r="JM14" i="16"/>
  <c r="JL14" i="16"/>
  <c r="JK14" i="16"/>
  <c r="JJ14" i="16"/>
  <c r="JI14" i="16"/>
  <c r="JF14" i="16"/>
  <c r="JE14" i="16"/>
  <c r="JD14" i="16"/>
  <c r="JC14" i="16"/>
  <c r="JB14" i="16"/>
  <c r="JA14" i="16"/>
  <c r="IZ14" i="16"/>
  <c r="IQ14" i="16"/>
  <c r="IP14" i="16"/>
  <c r="IO14" i="16"/>
  <c r="IN14" i="16"/>
  <c r="IM14" i="16"/>
  <c r="IL14" i="16"/>
  <c r="IK14" i="16"/>
  <c r="IJ14" i="16"/>
  <c r="II14" i="16"/>
  <c r="IF14" i="16"/>
  <c r="IE14" i="16"/>
  <c r="ID14" i="16"/>
  <c r="IC14" i="16"/>
  <c r="IB14" i="16"/>
  <c r="IA14" i="16"/>
  <c r="HX14" i="16"/>
  <c r="HW14" i="16"/>
  <c r="HV14" i="16"/>
  <c r="HU14" i="16"/>
  <c r="HT14" i="16"/>
  <c r="HS14" i="16"/>
  <c r="HP14" i="16"/>
  <c r="HO14" i="16"/>
  <c r="HN14" i="16"/>
  <c r="HM14" i="16"/>
  <c r="HL14" i="16"/>
  <c r="HK14" i="16"/>
  <c r="HH14" i="16"/>
  <c r="HG14" i="16"/>
  <c r="HF14" i="16"/>
  <c r="HE14" i="16"/>
  <c r="HD14" i="16"/>
  <c r="HC14" i="16"/>
  <c r="GZ14" i="16"/>
  <c r="GY14" i="16"/>
  <c r="GX14" i="16"/>
  <c r="GW14" i="16"/>
  <c r="GV14" i="16"/>
  <c r="GU14" i="16"/>
  <c r="GR14" i="16"/>
  <c r="GQ14" i="16"/>
  <c r="GP14" i="16"/>
  <c r="GO14" i="16"/>
  <c r="GN14" i="16"/>
  <c r="GM14" i="16"/>
  <c r="GJ14" i="16"/>
  <c r="GI14" i="16"/>
  <c r="GH14" i="16"/>
  <c r="GG14" i="16"/>
  <c r="GF14" i="16"/>
  <c r="GE14" i="16"/>
  <c r="GB14" i="16"/>
  <c r="GA14" i="16"/>
  <c r="FZ14" i="16"/>
  <c r="FY14" i="16"/>
  <c r="FX14" i="16"/>
  <c r="FW14" i="16"/>
  <c r="FT14" i="16"/>
  <c r="FS14" i="16"/>
  <c r="FR14" i="16"/>
  <c r="FQ14" i="16"/>
  <c r="FP14" i="16"/>
  <c r="FO14" i="16"/>
  <c r="FL14" i="16"/>
  <c r="FK14" i="16"/>
  <c r="FJ14" i="16"/>
  <c r="FI14" i="16"/>
  <c r="FH14" i="16"/>
  <c r="FG14" i="16"/>
  <c r="FD14" i="16"/>
  <c r="FC14" i="16"/>
  <c r="FB14" i="16"/>
  <c r="FA14" i="16"/>
  <c r="EZ14" i="16"/>
  <c r="EY14" i="16"/>
  <c r="EV14" i="16"/>
  <c r="EU14" i="16"/>
  <c r="ET14" i="16"/>
  <c r="ES14" i="16"/>
  <c r="ER14" i="16"/>
  <c r="EQ14" i="16"/>
  <c r="EN14" i="16"/>
  <c r="EM14" i="16"/>
  <c r="EL14" i="16"/>
  <c r="EK14" i="16"/>
  <c r="EJ14" i="16"/>
  <c r="EI14" i="16"/>
  <c r="EF14" i="16"/>
  <c r="EE14" i="16"/>
  <c r="ED14" i="16"/>
  <c r="EC14" i="16"/>
  <c r="EB14" i="16"/>
  <c r="EA14" i="16"/>
  <c r="DX14" i="16"/>
  <c r="DW14" i="16"/>
  <c r="DV14" i="16"/>
  <c r="DU14" i="16"/>
  <c r="DT14" i="16"/>
  <c r="DS14" i="16"/>
  <c r="DP14" i="16"/>
  <c r="DO14" i="16"/>
  <c r="DN14" i="16"/>
  <c r="DM14" i="16"/>
  <c r="DL14" i="16"/>
  <c r="DK14" i="16"/>
  <c r="DG14" i="16"/>
  <c r="DE14" i="16"/>
  <c r="DD14" i="16"/>
  <c r="DC14" i="16"/>
  <c r="DA14" i="16"/>
  <c r="CZ14" i="16"/>
  <c r="CY14" i="16"/>
  <c r="CX14" i="16"/>
  <c r="CU14" i="16"/>
  <c r="CT14" i="16"/>
  <c r="CS14" i="16"/>
  <c r="CR14" i="16"/>
  <c r="CO14" i="16"/>
  <c r="CN14" i="16"/>
  <c r="CM14" i="16"/>
  <c r="CL14" i="16"/>
  <c r="CI14" i="16"/>
  <c r="CH14" i="16"/>
  <c r="CG14" i="16"/>
  <c r="CF14" i="16"/>
  <c r="CC14" i="16"/>
  <c r="CB14" i="16"/>
  <c r="CA14" i="16"/>
  <c r="BZ14" i="16"/>
  <c r="BW14" i="16"/>
  <c r="BV14" i="16"/>
  <c r="BU14" i="16"/>
  <c r="BT14" i="16"/>
  <c r="BQ14" i="16"/>
  <c r="BP14" i="16"/>
  <c r="BO14" i="16"/>
  <c r="BN14" i="16"/>
  <c r="BK14" i="16"/>
  <c r="BJ14" i="16"/>
  <c r="BI14" i="16"/>
  <c r="BH14" i="16"/>
  <c r="BE14" i="16"/>
  <c r="BD14" i="16"/>
  <c r="BC14" i="16"/>
  <c r="BB14" i="16"/>
  <c r="AY14" i="16"/>
  <c r="AX14" i="16"/>
  <c r="AW14" i="16"/>
  <c r="AV14" i="16"/>
  <c r="AS14" i="16"/>
  <c r="AR14" i="16"/>
  <c r="AQ14" i="16"/>
  <c r="AP14" i="16"/>
  <c r="AM14" i="16"/>
  <c r="AL14" i="16"/>
  <c r="AK14" i="16"/>
  <c r="AJ14" i="16"/>
  <c r="AG14" i="16"/>
  <c r="AF14" i="16"/>
  <c r="AE14" i="16"/>
  <c r="AD14" i="16"/>
  <c r="AA14" i="16"/>
  <c r="Z14" i="16"/>
  <c r="Y14" i="16"/>
  <c r="X14" i="16"/>
  <c r="U14" i="16"/>
  <c r="T14" i="16"/>
  <c r="S14" i="16"/>
  <c r="R14" i="16"/>
  <c r="O14" i="16"/>
  <c r="N14" i="16"/>
  <c r="M14" i="16"/>
  <c r="L14" i="16"/>
  <c r="I14" i="16"/>
  <c r="H14" i="16"/>
  <c r="G14" i="16"/>
  <c r="F14" i="16"/>
  <c r="OW13" i="16"/>
  <c r="OV13" i="16"/>
  <c r="OU13" i="16"/>
  <c r="OT13" i="16"/>
  <c r="OS13" i="16"/>
  <c r="OR13" i="16"/>
  <c r="OQ13" i="16"/>
  <c r="OP13" i="16"/>
  <c r="OO13" i="16"/>
  <c r="ON13" i="16"/>
  <c r="OK13" i="16"/>
  <c r="OJ13" i="16"/>
  <c r="OI13" i="16"/>
  <c r="OH13" i="16"/>
  <c r="OG13" i="16"/>
  <c r="OF13" i="16"/>
  <c r="OE13" i="16"/>
  <c r="OB13" i="16"/>
  <c r="OA13" i="16"/>
  <c r="NZ13" i="16"/>
  <c r="NY13" i="16"/>
  <c r="NX13" i="16"/>
  <c r="NW13" i="16"/>
  <c r="NV13" i="16"/>
  <c r="NS13" i="16"/>
  <c r="NR13" i="16"/>
  <c r="NQ13" i="16"/>
  <c r="NP13" i="16"/>
  <c r="NO13" i="16"/>
  <c r="NN13" i="16"/>
  <c r="NM13" i="16"/>
  <c r="NJ13" i="16"/>
  <c r="NI13" i="16"/>
  <c r="NH13" i="16"/>
  <c r="NG13" i="16"/>
  <c r="NF13" i="16"/>
  <c r="NE13" i="16"/>
  <c r="ND13" i="16"/>
  <c r="NA13" i="16"/>
  <c r="MZ13" i="16"/>
  <c r="MY13" i="16"/>
  <c r="MX13" i="16"/>
  <c r="MW13" i="16"/>
  <c r="MV13" i="16"/>
  <c r="MU13" i="16"/>
  <c r="MR13" i="16"/>
  <c r="MQ13" i="16"/>
  <c r="MP13" i="16"/>
  <c r="MO13" i="16"/>
  <c r="MN13" i="16"/>
  <c r="MM13" i="16"/>
  <c r="ML13" i="16"/>
  <c r="MI13" i="16"/>
  <c r="MH13" i="16"/>
  <c r="MG13" i="16"/>
  <c r="MF13" i="16"/>
  <c r="ME13" i="16"/>
  <c r="MD13" i="16"/>
  <c r="MC13" i="16"/>
  <c r="LZ13" i="16"/>
  <c r="LY13" i="16"/>
  <c r="LX13" i="16"/>
  <c r="LW13" i="16"/>
  <c r="LV13" i="16"/>
  <c r="LU13" i="16"/>
  <c r="LT13" i="16"/>
  <c r="LQ13" i="16"/>
  <c r="LP13" i="16"/>
  <c r="LO13" i="16"/>
  <c r="LN13" i="16"/>
  <c r="LM13" i="16"/>
  <c r="LL13" i="16"/>
  <c r="LK13" i="16"/>
  <c r="LH13" i="16"/>
  <c r="LG13" i="16"/>
  <c r="LF13" i="16"/>
  <c r="LE13" i="16"/>
  <c r="LD13" i="16"/>
  <c r="LC13" i="16"/>
  <c r="LB13" i="16"/>
  <c r="KY13" i="16"/>
  <c r="KX13" i="16"/>
  <c r="KW13" i="16"/>
  <c r="KV13" i="16"/>
  <c r="KU13" i="16"/>
  <c r="KT13" i="16"/>
  <c r="KS13" i="16"/>
  <c r="KP13" i="16"/>
  <c r="KO13" i="16"/>
  <c r="KN13" i="16"/>
  <c r="KM13" i="16"/>
  <c r="KL13" i="16"/>
  <c r="KK13" i="16"/>
  <c r="KJ13" i="16"/>
  <c r="KG13" i="16"/>
  <c r="KF13" i="16"/>
  <c r="KE13" i="16"/>
  <c r="KD13" i="16"/>
  <c r="KC13" i="16"/>
  <c r="KB13" i="16"/>
  <c r="KA13" i="16"/>
  <c r="JX13" i="16"/>
  <c r="JW13" i="16"/>
  <c r="JV13" i="16"/>
  <c r="JU13" i="16"/>
  <c r="JT13" i="16"/>
  <c r="JS13" i="16"/>
  <c r="JR13" i="16"/>
  <c r="JO13" i="16"/>
  <c r="JN13" i="16"/>
  <c r="JM13" i="16"/>
  <c r="JL13" i="16"/>
  <c r="JK13" i="16"/>
  <c r="JJ13" i="16"/>
  <c r="JI13" i="16"/>
  <c r="JF13" i="16"/>
  <c r="JE13" i="16"/>
  <c r="JD13" i="16"/>
  <c r="JC13" i="16"/>
  <c r="JB13" i="16"/>
  <c r="JA13" i="16"/>
  <c r="IZ13" i="16"/>
  <c r="IQ13" i="16"/>
  <c r="IP13" i="16"/>
  <c r="IO13" i="16"/>
  <c r="IN13" i="16"/>
  <c r="IM13" i="16"/>
  <c r="IL13" i="16"/>
  <c r="IK13" i="16"/>
  <c r="IJ13" i="16"/>
  <c r="II13" i="16"/>
  <c r="IF13" i="16"/>
  <c r="IE13" i="16"/>
  <c r="ID13" i="16"/>
  <c r="IC13" i="16"/>
  <c r="IB13" i="16"/>
  <c r="IA13" i="16"/>
  <c r="HX13" i="16"/>
  <c r="HW13" i="16"/>
  <c r="HV13" i="16"/>
  <c r="HU13" i="16"/>
  <c r="HT13" i="16"/>
  <c r="HS13" i="16"/>
  <c r="HP13" i="16"/>
  <c r="HO13" i="16"/>
  <c r="HN13" i="16"/>
  <c r="HM13" i="16"/>
  <c r="HL13" i="16"/>
  <c r="HK13" i="16"/>
  <c r="HH13" i="16"/>
  <c r="HG13" i="16"/>
  <c r="HF13" i="16"/>
  <c r="HE13" i="16"/>
  <c r="HD13" i="16"/>
  <c r="HC13" i="16"/>
  <c r="GZ13" i="16"/>
  <c r="GY13" i="16"/>
  <c r="GX13" i="16"/>
  <c r="GW13" i="16"/>
  <c r="GV13" i="16"/>
  <c r="GU13" i="16"/>
  <c r="GR13" i="16"/>
  <c r="GQ13" i="16"/>
  <c r="GP13" i="16"/>
  <c r="GO13" i="16"/>
  <c r="GN13" i="16"/>
  <c r="GM13" i="16"/>
  <c r="GJ13" i="16"/>
  <c r="GI13" i="16"/>
  <c r="GH13" i="16"/>
  <c r="GG13" i="16"/>
  <c r="GF13" i="16"/>
  <c r="GE13" i="16"/>
  <c r="GB13" i="16"/>
  <c r="GA13" i="16"/>
  <c r="FZ13" i="16"/>
  <c r="FY13" i="16"/>
  <c r="FX13" i="16"/>
  <c r="FW13" i="16"/>
  <c r="FT13" i="16"/>
  <c r="FS13" i="16"/>
  <c r="FR13" i="16"/>
  <c r="FQ13" i="16"/>
  <c r="FP13" i="16"/>
  <c r="FO13" i="16"/>
  <c r="FL13" i="16"/>
  <c r="FK13" i="16"/>
  <c r="FJ13" i="16"/>
  <c r="FI13" i="16"/>
  <c r="FH13" i="16"/>
  <c r="FG13" i="16"/>
  <c r="FD13" i="16"/>
  <c r="FC13" i="16"/>
  <c r="FB13" i="16"/>
  <c r="FA13" i="16"/>
  <c r="EZ13" i="16"/>
  <c r="EY13" i="16"/>
  <c r="EV13" i="16"/>
  <c r="EU13" i="16"/>
  <c r="ET13" i="16"/>
  <c r="ES13" i="16"/>
  <c r="ER13" i="16"/>
  <c r="EQ13" i="16"/>
  <c r="EN13" i="16"/>
  <c r="EM13" i="16"/>
  <c r="EL13" i="16"/>
  <c r="EK13" i="16"/>
  <c r="EJ13" i="16"/>
  <c r="EI13" i="16"/>
  <c r="EF13" i="16"/>
  <c r="EE13" i="16"/>
  <c r="ED13" i="16"/>
  <c r="EC13" i="16"/>
  <c r="EB13" i="16"/>
  <c r="EA13" i="16"/>
  <c r="DX13" i="16"/>
  <c r="DW13" i="16"/>
  <c r="DV13" i="16"/>
  <c r="DU13" i="16"/>
  <c r="DT13" i="16"/>
  <c r="DS13" i="16"/>
  <c r="DP13" i="16"/>
  <c r="DO13" i="16"/>
  <c r="DN13" i="16"/>
  <c r="DM13" i="16"/>
  <c r="DL13" i="16"/>
  <c r="DK13" i="16"/>
  <c r="DG13" i="16"/>
  <c r="DE13" i="16"/>
  <c r="DD13" i="16"/>
  <c r="DC13" i="16"/>
  <c r="DA13" i="16"/>
  <c r="CZ13" i="16"/>
  <c r="CY13" i="16"/>
  <c r="CX13" i="16"/>
  <c r="CU13" i="16"/>
  <c r="CT13" i="16"/>
  <c r="CS13" i="16"/>
  <c r="CR13" i="16"/>
  <c r="CO13" i="16"/>
  <c r="CN13" i="16"/>
  <c r="CM13" i="16"/>
  <c r="CL13" i="16"/>
  <c r="CI13" i="16"/>
  <c r="CH13" i="16"/>
  <c r="CG13" i="16"/>
  <c r="CF13" i="16"/>
  <c r="CC13" i="16"/>
  <c r="CB13" i="16"/>
  <c r="CA13" i="16"/>
  <c r="BZ13" i="16"/>
  <c r="BW13" i="16"/>
  <c r="BV13" i="16"/>
  <c r="BU13" i="16"/>
  <c r="BT13" i="16"/>
  <c r="BQ13" i="16"/>
  <c r="BP13" i="16"/>
  <c r="BO13" i="16"/>
  <c r="BN13" i="16"/>
  <c r="BK13" i="16"/>
  <c r="BJ13" i="16"/>
  <c r="BI13" i="16"/>
  <c r="BH13" i="16"/>
  <c r="BE13" i="16"/>
  <c r="BD13" i="16"/>
  <c r="BC13" i="16"/>
  <c r="BB13" i="16"/>
  <c r="AY13" i="16"/>
  <c r="AX13" i="16"/>
  <c r="AW13" i="16"/>
  <c r="AV13" i="16"/>
  <c r="AS13" i="16"/>
  <c r="AR13" i="16"/>
  <c r="AQ13" i="16"/>
  <c r="AP13" i="16"/>
  <c r="AM13" i="16"/>
  <c r="AL13" i="16"/>
  <c r="AK13" i="16"/>
  <c r="AJ13" i="16"/>
  <c r="AG13" i="16"/>
  <c r="AF13" i="16"/>
  <c r="AE13" i="16"/>
  <c r="AD13" i="16"/>
  <c r="AA13" i="16"/>
  <c r="Z13" i="16"/>
  <c r="Y13" i="16"/>
  <c r="X13" i="16"/>
  <c r="U13" i="16"/>
  <c r="T13" i="16"/>
  <c r="S13" i="16"/>
  <c r="R13" i="16"/>
  <c r="O13" i="16"/>
  <c r="N13" i="16"/>
  <c r="M13" i="16"/>
  <c r="L13" i="16"/>
  <c r="I13" i="16"/>
  <c r="H13" i="16"/>
  <c r="G13" i="16"/>
  <c r="F13" i="16"/>
  <c r="OW12" i="16"/>
  <c r="OV12" i="16"/>
  <c r="OU12" i="16"/>
  <c r="OT12" i="16"/>
  <c r="OS12" i="16"/>
  <c r="OR12" i="16"/>
  <c r="OQ12" i="16"/>
  <c r="OP12" i="16"/>
  <c r="OO12" i="16"/>
  <c r="ON12" i="16"/>
  <c r="OK12" i="16"/>
  <c r="OJ12" i="16"/>
  <c r="OI12" i="16"/>
  <c r="OH12" i="16"/>
  <c r="OG12" i="16"/>
  <c r="OF12" i="16"/>
  <c r="OE12" i="16"/>
  <c r="OB12" i="16"/>
  <c r="OA12" i="16"/>
  <c r="NZ12" i="16"/>
  <c r="NY12" i="16"/>
  <c r="NX12" i="16"/>
  <c r="NW12" i="16"/>
  <c r="NV12" i="16"/>
  <c r="NS12" i="16"/>
  <c r="NR12" i="16"/>
  <c r="NQ12" i="16"/>
  <c r="NP12" i="16"/>
  <c r="NO12" i="16"/>
  <c r="NN12" i="16"/>
  <c r="NM12" i="16"/>
  <c r="NJ12" i="16"/>
  <c r="NI12" i="16"/>
  <c r="NH12" i="16"/>
  <c r="NG12" i="16"/>
  <c r="NF12" i="16"/>
  <c r="NE12" i="16"/>
  <c r="ND12" i="16"/>
  <c r="NA12" i="16"/>
  <c r="MZ12" i="16"/>
  <c r="MY12" i="16"/>
  <c r="MX12" i="16"/>
  <c r="MW12" i="16"/>
  <c r="MV12" i="16"/>
  <c r="MU12" i="16"/>
  <c r="MR12" i="16"/>
  <c r="MQ12" i="16"/>
  <c r="MP12" i="16"/>
  <c r="MO12" i="16"/>
  <c r="MN12" i="16"/>
  <c r="MM12" i="16"/>
  <c r="ML12" i="16"/>
  <c r="MI12" i="16"/>
  <c r="MH12" i="16"/>
  <c r="MG12" i="16"/>
  <c r="MF12" i="16"/>
  <c r="ME12" i="16"/>
  <c r="MD12" i="16"/>
  <c r="MC12" i="16"/>
  <c r="LZ12" i="16"/>
  <c r="LY12" i="16"/>
  <c r="LX12" i="16"/>
  <c r="LW12" i="16"/>
  <c r="LV12" i="16"/>
  <c r="LU12" i="16"/>
  <c r="LT12" i="16"/>
  <c r="LQ12" i="16"/>
  <c r="LP12" i="16"/>
  <c r="LO12" i="16"/>
  <c r="LN12" i="16"/>
  <c r="LM12" i="16"/>
  <c r="LL12" i="16"/>
  <c r="LK12" i="16"/>
  <c r="LH12" i="16"/>
  <c r="LG12" i="16"/>
  <c r="LF12" i="16"/>
  <c r="LE12" i="16"/>
  <c r="LD12" i="16"/>
  <c r="LC12" i="16"/>
  <c r="LB12" i="16"/>
  <c r="KY12" i="16"/>
  <c r="KX12" i="16"/>
  <c r="KW12" i="16"/>
  <c r="KV12" i="16"/>
  <c r="KU12" i="16"/>
  <c r="KT12" i="16"/>
  <c r="KS12" i="16"/>
  <c r="KP12" i="16"/>
  <c r="KO12" i="16"/>
  <c r="KN12" i="16"/>
  <c r="KM12" i="16"/>
  <c r="KL12" i="16"/>
  <c r="KK12" i="16"/>
  <c r="KJ12" i="16"/>
  <c r="KG12" i="16"/>
  <c r="KF12" i="16"/>
  <c r="KE12" i="16"/>
  <c r="KD12" i="16"/>
  <c r="KC12" i="16"/>
  <c r="KB12" i="16"/>
  <c r="KA12" i="16"/>
  <c r="JX12" i="16"/>
  <c r="JW12" i="16"/>
  <c r="JV12" i="16"/>
  <c r="JU12" i="16"/>
  <c r="JT12" i="16"/>
  <c r="JS12" i="16"/>
  <c r="JR12" i="16"/>
  <c r="JO12" i="16"/>
  <c r="JN12" i="16"/>
  <c r="JM12" i="16"/>
  <c r="JL12" i="16"/>
  <c r="JK12" i="16"/>
  <c r="JJ12" i="16"/>
  <c r="JI12" i="16"/>
  <c r="JF12" i="16"/>
  <c r="JE12" i="16"/>
  <c r="JD12" i="16"/>
  <c r="JC12" i="16"/>
  <c r="JB12" i="16"/>
  <c r="JA12" i="16"/>
  <c r="IZ12" i="16"/>
  <c r="IQ12" i="16"/>
  <c r="IP12" i="16"/>
  <c r="IO12" i="16"/>
  <c r="IN12" i="16"/>
  <c r="IM12" i="16"/>
  <c r="IL12" i="16"/>
  <c r="IK12" i="16"/>
  <c r="IJ12" i="16"/>
  <c r="II12" i="16"/>
  <c r="IF12" i="16"/>
  <c r="IE12" i="16"/>
  <c r="ID12" i="16"/>
  <c r="IC12" i="16"/>
  <c r="IB12" i="16"/>
  <c r="IA12" i="16"/>
  <c r="HX12" i="16"/>
  <c r="HW12" i="16"/>
  <c r="HV12" i="16"/>
  <c r="HU12" i="16"/>
  <c r="HT12" i="16"/>
  <c r="HS12" i="16"/>
  <c r="HP12" i="16"/>
  <c r="HO12" i="16"/>
  <c r="HN12" i="16"/>
  <c r="HM12" i="16"/>
  <c r="HL12" i="16"/>
  <c r="HK12" i="16"/>
  <c r="HH12" i="16"/>
  <c r="HG12" i="16"/>
  <c r="HF12" i="16"/>
  <c r="HE12" i="16"/>
  <c r="HD12" i="16"/>
  <c r="HC12" i="16"/>
  <c r="GZ12" i="16"/>
  <c r="GY12" i="16"/>
  <c r="GX12" i="16"/>
  <c r="GW12" i="16"/>
  <c r="GV12" i="16"/>
  <c r="GU12" i="16"/>
  <c r="GR12" i="16"/>
  <c r="GQ12" i="16"/>
  <c r="GP12" i="16"/>
  <c r="GO12" i="16"/>
  <c r="GN12" i="16"/>
  <c r="GM12" i="16"/>
  <c r="GJ12" i="16"/>
  <c r="GI12" i="16"/>
  <c r="GH12" i="16"/>
  <c r="GG12" i="16"/>
  <c r="GF12" i="16"/>
  <c r="GE12" i="16"/>
  <c r="GB12" i="16"/>
  <c r="GA12" i="16"/>
  <c r="FZ12" i="16"/>
  <c r="FY12" i="16"/>
  <c r="FX12" i="16"/>
  <c r="FW12" i="16"/>
  <c r="FT12" i="16"/>
  <c r="FS12" i="16"/>
  <c r="FR12" i="16"/>
  <c r="FQ12" i="16"/>
  <c r="FP12" i="16"/>
  <c r="FO12" i="16"/>
  <c r="FL12" i="16"/>
  <c r="FK12" i="16"/>
  <c r="FJ12" i="16"/>
  <c r="FI12" i="16"/>
  <c r="FH12" i="16"/>
  <c r="FG12" i="16"/>
  <c r="FD12" i="16"/>
  <c r="FC12" i="16"/>
  <c r="FB12" i="16"/>
  <c r="FA12" i="16"/>
  <c r="EZ12" i="16"/>
  <c r="EY12" i="16"/>
  <c r="EV12" i="16"/>
  <c r="EU12" i="16"/>
  <c r="ET12" i="16"/>
  <c r="ES12" i="16"/>
  <c r="ER12" i="16"/>
  <c r="EQ12" i="16"/>
  <c r="EN12" i="16"/>
  <c r="EM12" i="16"/>
  <c r="EL12" i="16"/>
  <c r="EK12" i="16"/>
  <c r="EJ12" i="16"/>
  <c r="EI12" i="16"/>
  <c r="EF12" i="16"/>
  <c r="EE12" i="16"/>
  <c r="ED12" i="16"/>
  <c r="EC12" i="16"/>
  <c r="EB12" i="16"/>
  <c r="EA12" i="16"/>
  <c r="DX12" i="16"/>
  <c r="DW12" i="16"/>
  <c r="DV12" i="16"/>
  <c r="DU12" i="16"/>
  <c r="DT12" i="16"/>
  <c r="DS12" i="16"/>
  <c r="DP12" i="16"/>
  <c r="DO12" i="16"/>
  <c r="DN12" i="16"/>
  <c r="DM12" i="16"/>
  <c r="DL12" i="16"/>
  <c r="DK12" i="16"/>
  <c r="DG12" i="16"/>
  <c r="DE12" i="16"/>
  <c r="DD12" i="16"/>
  <c r="DC12" i="16"/>
  <c r="DA12" i="16"/>
  <c r="CZ12" i="16"/>
  <c r="CY12" i="16"/>
  <c r="CX12" i="16"/>
  <c r="CU12" i="16"/>
  <c r="CT12" i="16"/>
  <c r="CS12" i="16"/>
  <c r="CR12" i="16"/>
  <c r="CO12" i="16"/>
  <c r="CN12" i="16"/>
  <c r="CM12" i="16"/>
  <c r="CL12" i="16"/>
  <c r="CI12" i="16"/>
  <c r="CH12" i="16"/>
  <c r="CG12" i="16"/>
  <c r="CF12" i="16"/>
  <c r="CC12" i="16"/>
  <c r="CB12" i="16"/>
  <c r="CA12" i="16"/>
  <c r="BZ12" i="16"/>
  <c r="BW12" i="16"/>
  <c r="BV12" i="16"/>
  <c r="BU12" i="16"/>
  <c r="BT12" i="16"/>
  <c r="BQ12" i="16"/>
  <c r="BP12" i="16"/>
  <c r="BO12" i="16"/>
  <c r="BN12" i="16"/>
  <c r="BK12" i="16"/>
  <c r="BJ12" i="16"/>
  <c r="BI12" i="16"/>
  <c r="BH12" i="16"/>
  <c r="BE12" i="16"/>
  <c r="BD12" i="16"/>
  <c r="BC12" i="16"/>
  <c r="BB12" i="16"/>
  <c r="AY12" i="16"/>
  <c r="AX12" i="16"/>
  <c r="AW12" i="16"/>
  <c r="AV12" i="16"/>
  <c r="AS12" i="16"/>
  <c r="AR12" i="16"/>
  <c r="AQ12" i="16"/>
  <c r="AP12" i="16"/>
  <c r="AM12" i="16"/>
  <c r="AL12" i="16"/>
  <c r="AK12" i="16"/>
  <c r="AJ12" i="16"/>
  <c r="AG12" i="16"/>
  <c r="AF12" i="16"/>
  <c r="AE12" i="16"/>
  <c r="AD12" i="16"/>
  <c r="AA12" i="16"/>
  <c r="Z12" i="16"/>
  <c r="Y12" i="16"/>
  <c r="X12" i="16"/>
  <c r="U12" i="16"/>
  <c r="T12" i="16"/>
  <c r="S12" i="16"/>
  <c r="R12" i="16"/>
  <c r="O12" i="16"/>
  <c r="N12" i="16"/>
  <c r="M12" i="16"/>
  <c r="L12" i="16"/>
  <c r="I12" i="16"/>
  <c r="H12" i="16"/>
  <c r="G12" i="16"/>
  <c r="F12" i="16"/>
  <c r="OW11" i="16"/>
  <c r="OV11" i="16"/>
  <c r="OU11" i="16"/>
  <c r="OT11" i="16"/>
  <c r="OS11" i="16"/>
  <c r="OR11" i="16"/>
  <c r="OQ11" i="16"/>
  <c r="OP11" i="16"/>
  <c r="OO11" i="16"/>
  <c r="ON11" i="16"/>
  <c r="OK11" i="16"/>
  <c r="OJ11" i="16"/>
  <c r="OI11" i="16"/>
  <c r="OH11" i="16"/>
  <c r="OG11" i="16"/>
  <c r="OF11" i="16"/>
  <c r="OE11" i="16"/>
  <c r="OB11" i="16"/>
  <c r="OA11" i="16"/>
  <c r="NZ11" i="16"/>
  <c r="NY11" i="16"/>
  <c r="NX11" i="16"/>
  <c r="NW11" i="16"/>
  <c r="NV11" i="16"/>
  <c r="NS11" i="16"/>
  <c r="NR11" i="16"/>
  <c r="NQ11" i="16"/>
  <c r="NP11" i="16"/>
  <c r="NO11" i="16"/>
  <c r="NN11" i="16"/>
  <c r="NM11" i="16"/>
  <c r="NJ11" i="16"/>
  <c r="NI11" i="16"/>
  <c r="NH11" i="16"/>
  <c r="NG11" i="16"/>
  <c r="NF11" i="16"/>
  <c r="NE11" i="16"/>
  <c r="ND11" i="16"/>
  <c r="NA11" i="16"/>
  <c r="MZ11" i="16"/>
  <c r="MY11" i="16"/>
  <c r="MX11" i="16"/>
  <c r="MW11" i="16"/>
  <c r="MV11" i="16"/>
  <c r="MU11" i="16"/>
  <c r="MR11" i="16"/>
  <c r="MQ11" i="16"/>
  <c r="MP11" i="16"/>
  <c r="MO11" i="16"/>
  <c r="MN11" i="16"/>
  <c r="MM11" i="16"/>
  <c r="ML11" i="16"/>
  <c r="MI11" i="16"/>
  <c r="MH11" i="16"/>
  <c r="MG11" i="16"/>
  <c r="MF11" i="16"/>
  <c r="ME11" i="16"/>
  <c r="MD11" i="16"/>
  <c r="MC11" i="16"/>
  <c r="LZ11" i="16"/>
  <c r="LY11" i="16"/>
  <c r="LX11" i="16"/>
  <c r="LW11" i="16"/>
  <c r="LV11" i="16"/>
  <c r="LU11" i="16"/>
  <c r="LT11" i="16"/>
  <c r="LQ11" i="16"/>
  <c r="LP11" i="16"/>
  <c r="LO11" i="16"/>
  <c r="LN11" i="16"/>
  <c r="LM11" i="16"/>
  <c r="LL11" i="16"/>
  <c r="LK11" i="16"/>
  <c r="LH11" i="16"/>
  <c r="LG11" i="16"/>
  <c r="LF11" i="16"/>
  <c r="LE11" i="16"/>
  <c r="LD11" i="16"/>
  <c r="LC11" i="16"/>
  <c r="LB11" i="16"/>
  <c r="KY11" i="16"/>
  <c r="KX11" i="16"/>
  <c r="KW11" i="16"/>
  <c r="KV11" i="16"/>
  <c r="KU11" i="16"/>
  <c r="KT11" i="16"/>
  <c r="KS11" i="16"/>
  <c r="KP11" i="16"/>
  <c r="KO11" i="16"/>
  <c r="KN11" i="16"/>
  <c r="KM11" i="16"/>
  <c r="KL11" i="16"/>
  <c r="KK11" i="16"/>
  <c r="KJ11" i="16"/>
  <c r="KG11" i="16"/>
  <c r="KF11" i="16"/>
  <c r="KE11" i="16"/>
  <c r="KD11" i="16"/>
  <c r="KC11" i="16"/>
  <c r="KB11" i="16"/>
  <c r="KA11" i="16"/>
  <c r="JX11" i="16"/>
  <c r="JW11" i="16"/>
  <c r="JV11" i="16"/>
  <c r="JU11" i="16"/>
  <c r="JT11" i="16"/>
  <c r="JS11" i="16"/>
  <c r="JR11" i="16"/>
  <c r="JO11" i="16"/>
  <c r="JN11" i="16"/>
  <c r="JM11" i="16"/>
  <c r="JL11" i="16"/>
  <c r="JK11" i="16"/>
  <c r="JJ11" i="16"/>
  <c r="JI11" i="16"/>
  <c r="JF11" i="16"/>
  <c r="JE11" i="16"/>
  <c r="JD11" i="16"/>
  <c r="JC11" i="16"/>
  <c r="JB11" i="16"/>
  <c r="JA11" i="16"/>
  <c r="IZ11" i="16"/>
  <c r="IQ11" i="16"/>
  <c r="IP11" i="16"/>
  <c r="IO11" i="16"/>
  <c r="IN11" i="16"/>
  <c r="IM11" i="16"/>
  <c r="IL11" i="16"/>
  <c r="IK11" i="16"/>
  <c r="IJ11" i="16"/>
  <c r="II11" i="16"/>
  <c r="IF11" i="16"/>
  <c r="IE11" i="16"/>
  <c r="ID11" i="16"/>
  <c r="IC11" i="16"/>
  <c r="IB11" i="16"/>
  <c r="IA11" i="16"/>
  <c r="HX11" i="16"/>
  <c r="HW11" i="16"/>
  <c r="HV11" i="16"/>
  <c r="HU11" i="16"/>
  <c r="HT11" i="16"/>
  <c r="HS11" i="16"/>
  <c r="HP11" i="16"/>
  <c r="HO11" i="16"/>
  <c r="HN11" i="16"/>
  <c r="HM11" i="16"/>
  <c r="HL11" i="16"/>
  <c r="HK11" i="16"/>
  <c r="HH11" i="16"/>
  <c r="HG11" i="16"/>
  <c r="HF11" i="16"/>
  <c r="HE11" i="16"/>
  <c r="HD11" i="16"/>
  <c r="HC11" i="16"/>
  <c r="GZ11" i="16"/>
  <c r="GY11" i="16"/>
  <c r="GX11" i="16"/>
  <c r="GW11" i="16"/>
  <c r="GV11" i="16"/>
  <c r="GU11" i="16"/>
  <c r="GR11" i="16"/>
  <c r="GQ11" i="16"/>
  <c r="GP11" i="16"/>
  <c r="GO11" i="16"/>
  <c r="GN11" i="16"/>
  <c r="GM11" i="16"/>
  <c r="GJ11" i="16"/>
  <c r="GI11" i="16"/>
  <c r="GH11" i="16"/>
  <c r="GG11" i="16"/>
  <c r="GF11" i="16"/>
  <c r="GE11" i="16"/>
  <c r="GB11" i="16"/>
  <c r="GA11" i="16"/>
  <c r="FZ11" i="16"/>
  <c r="FY11" i="16"/>
  <c r="FX11" i="16"/>
  <c r="FW11" i="16"/>
  <c r="FT11" i="16"/>
  <c r="FS11" i="16"/>
  <c r="FR11" i="16"/>
  <c r="FQ11" i="16"/>
  <c r="FP11" i="16"/>
  <c r="FO11" i="16"/>
  <c r="FL11" i="16"/>
  <c r="FK11" i="16"/>
  <c r="FJ11" i="16"/>
  <c r="FI11" i="16"/>
  <c r="FH11" i="16"/>
  <c r="FG11" i="16"/>
  <c r="FD11" i="16"/>
  <c r="FC11" i="16"/>
  <c r="FB11" i="16"/>
  <c r="FA11" i="16"/>
  <c r="EZ11" i="16"/>
  <c r="EY11" i="16"/>
  <c r="EV11" i="16"/>
  <c r="EU11" i="16"/>
  <c r="ET11" i="16"/>
  <c r="ES11" i="16"/>
  <c r="ER11" i="16"/>
  <c r="EQ11" i="16"/>
  <c r="EN11" i="16"/>
  <c r="EM11" i="16"/>
  <c r="EL11" i="16"/>
  <c r="EK11" i="16"/>
  <c r="EJ11" i="16"/>
  <c r="EI11" i="16"/>
  <c r="EF11" i="16"/>
  <c r="EE11" i="16"/>
  <c r="ED11" i="16"/>
  <c r="EC11" i="16"/>
  <c r="EB11" i="16"/>
  <c r="EA11" i="16"/>
  <c r="DX11" i="16"/>
  <c r="DW11" i="16"/>
  <c r="DV11" i="16"/>
  <c r="DU11" i="16"/>
  <c r="DT11" i="16"/>
  <c r="DS11" i="16"/>
  <c r="DP11" i="16"/>
  <c r="DO11" i="16"/>
  <c r="DN11" i="16"/>
  <c r="DM11" i="16"/>
  <c r="DL11" i="16"/>
  <c r="DK11" i="16"/>
  <c r="DG11" i="16"/>
  <c r="DE11" i="16"/>
  <c r="DD11" i="16"/>
  <c r="DC11" i="16"/>
  <c r="DA11" i="16"/>
  <c r="CZ11" i="16"/>
  <c r="CY11" i="16"/>
  <c r="CX11" i="16"/>
  <c r="CU11" i="16"/>
  <c r="CT11" i="16"/>
  <c r="CS11" i="16"/>
  <c r="CR11" i="16"/>
  <c r="CO11" i="16"/>
  <c r="CN11" i="16"/>
  <c r="CM11" i="16"/>
  <c r="CL11" i="16"/>
  <c r="CI11" i="16"/>
  <c r="CH11" i="16"/>
  <c r="CG11" i="16"/>
  <c r="CF11" i="16"/>
  <c r="CC11" i="16"/>
  <c r="CB11" i="16"/>
  <c r="CA11" i="16"/>
  <c r="BZ11" i="16"/>
  <c r="BW11" i="16"/>
  <c r="BV11" i="16"/>
  <c r="BU11" i="16"/>
  <c r="BT11" i="16"/>
  <c r="BQ11" i="16"/>
  <c r="BP11" i="16"/>
  <c r="BO11" i="16"/>
  <c r="BN11" i="16"/>
  <c r="BK11" i="16"/>
  <c r="BJ11" i="16"/>
  <c r="BI11" i="16"/>
  <c r="BH11" i="16"/>
  <c r="BE11" i="16"/>
  <c r="BD11" i="16"/>
  <c r="BC11" i="16"/>
  <c r="BB11" i="16"/>
  <c r="AY11" i="16"/>
  <c r="AX11" i="16"/>
  <c r="AW11" i="16"/>
  <c r="AV11" i="16"/>
  <c r="AS11" i="16"/>
  <c r="AR11" i="16"/>
  <c r="AQ11" i="16"/>
  <c r="AP11" i="16"/>
  <c r="AM11" i="16"/>
  <c r="AL11" i="16"/>
  <c r="AK11" i="16"/>
  <c r="AJ11" i="16"/>
  <c r="AG11" i="16"/>
  <c r="AF11" i="16"/>
  <c r="AE11" i="16"/>
  <c r="AD11" i="16"/>
  <c r="AA11" i="16"/>
  <c r="Z11" i="16"/>
  <c r="Y11" i="16"/>
  <c r="X11" i="16"/>
  <c r="U11" i="16"/>
  <c r="T11" i="16"/>
  <c r="S11" i="16"/>
  <c r="R11" i="16"/>
  <c r="O11" i="16"/>
  <c r="N11" i="16"/>
  <c r="M11" i="16"/>
  <c r="L11" i="16"/>
  <c r="I11" i="16"/>
  <c r="H11" i="16"/>
  <c r="G11" i="16"/>
  <c r="F11" i="16"/>
  <c r="OW10" i="16"/>
  <c r="OV10" i="16"/>
  <c r="OU10" i="16"/>
  <c r="OT10" i="16"/>
  <c r="OS10" i="16"/>
  <c r="OR10" i="16"/>
  <c r="OQ10" i="16"/>
  <c r="OP10" i="16"/>
  <c r="OO10" i="16"/>
  <c r="ON10" i="16"/>
  <c r="OK10" i="16"/>
  <c r="OJ10" i="16"/>
  <c r="OI10" i="16"/>
  <c r="OH10" i="16"/>
  <c r="OG10" i="16"/>
  <c r="OF10" i="16"/>
  <c r="OE10" i="16"/>
  <c r="OB10" i="16"/>
  <c r="OA10" i="16"/>
  <c r="NZ10" i="16"/>
  <c r="NY10" i="16"/>
  <c r="NX10" i="16"/>
  <c r="NW10" i="16"/>
  <c r="NV10" i="16"/>
  <c r="NS10" i="16"/>
  <c r="NR10" i="16"/>
  <c r="NQ10" i="16"/>
  <c r="NP10" i="16"/>
  <c r="NO10" i="16"/>
  <c r="NN10" i="16"/>
  <c r="NM10" i="16"/>
  <c r="NJ10" i="16"/>
  <c r="NI10" i="16"/>
  <c r="NH10" i="16"/>
  <c r="NG10" i="16"/>
  <c r="NF10" i="16"/>
  <c r="NE10" i="16"/>
  <c r="ND10" i="16"/>
  <c r="NA10" i="16"/>
  <c r="MZ10" i="16"/>
  <c r="MY10" i="16"/>
  <c r="MX10" i="16"/>
  <c r="MW10" i="16"/>
  <c r="MV10" i="16"/>
  <c r="MU10" i="16"/>
  <c r="MR10" i="16"/>
  <c r="MQ10" i="16"/>
  <c r="MP10" i="16"/>
  <c r="MO10" i="16"/>
  <c r="MN10" i="16"/>
  <c r="MM10" i="16"/>
  <c r="ML10" i="16"/>
  <c r="MI10" i="16"/>
  <c r="MH10" i="16"/>
  <c r="MG10" i="16"/>
  <c r="MF10" i="16"/>
  <c r="ME10" i="16"/>
  <c r="MD10" i="16"/>
  <c r="MC10" i="16"/>
  <c r="LZ10" i="16"/>
  <c r="LY10" i="16"/>
  <c r="LX10" i="16"/>
  <c r="LW10" i="16"/>
  <c r="LV10" i="16"/>
  <c r="LU10" i="16"/>
  <c r="LT10" i="16"/>
  <c r="LQ10" i="16"/>
  <c r="LP10" i="16"/>
  <c r="LO10" i="16"/>
  <c r="LN10" i="16"/>
  <c r="LM10" i="16"/>
  <c r="LL10" i="16"/>
  <c r="LK10" i="16"/>
  <c r="LH10" i="16"/>
  <c r="LG10" i="16"/>
  <c r="LF10" i="16"/>
  <c r="LE10" i="16"/>
  <c r="LD10" i="16"/>
  <c r="LC10" i="16"/>
  <c r="LB10" i="16"/>
  <c r="KY10" i="16"/>
  <c r="KX10" i="16"/>
  <c r="KW10" i="16"/>
  <c r="KV10" i="16"/>
  <c r="KU10" i="16"/>
  <c r="KT10" i="16"/>
  <c r="KS10" i="16"/>
  <c r="KP10" i="16"/>
  <c r="KO10" i="16"/>
  <c r="KN10" i="16"/>
  <c r="KM10" i="16"/>
  <c r="KL10" i="16"/>
  <c r="KK10" i="16"/>
  <c r="KJ10" i="16"/>
  <c r="KG10" i="16"/>
  <c r="KF10" i="16"/>
  <c r="KE10" i="16"/>
  <c r="KD10" i="16"/>
  <c r="KC10" i="16"/>
  <c r="KB10" i="16"/>
  <c r="KA10" i="16"/>
  <c r="JX10" i="16"/>
  <c r="JW10" i="16"/>
  <c r="JV10" i="16"/>
  <c r="JU10" i="16"/>
  <c r="JT10" i="16"/>
  <c r="JS10" i="16"/>
  <c r="JR10" i="16"/>
  <c r="JO10" i="16"/>
  <c r="JN10" i="16"/>
  <c r="JM10" i="16"/>
  <c r="JL10" i="16"/>
  <c r="JK10" i="16"/>
  <c r="JJ10" i="16"/>
  <c r="JI10" i="16"/>
  <c r="JF10" i="16"/>
  <c r="JE10" i="16"/>
  <c r="JD10" i="16"/>
  <c r="JC10" i="16"/>
  <c r="JB10" i="16"/>
  <c r="JA10" i="16"/>
  <c r="IZ10" i="16"/>
  <c r="IQ10" i="16"/>
  <c r="IP10" i="16"/>
  <c r="IO10" i="16"/>
  <c r="IN10" i="16"/>
  <c r="IM10" i="16"/>
  <c r="IL10" i="16"/>
  <c r="IK10" i="16"/>
  <c r="IJ10" i="16"/>
  <c r="II10" i="16"/>
  <c r="IF10" i="16"/>
  <c r="IE10" i="16"/>
  <c r="ID10" i="16"/>
  <c r="IC10" i="16"/>
  <c r="IB10" i="16"/>
  <c r="IA10" i="16"/>
  <c r="HX10" i="16"/>
  <c r="HW10" i="16"/>
  <c r="HV10" i="16"/>
  <c r="HU10" i="16"/>
  <c r="HT10" i="16"/>
  <c r="HS10" i="16"/>
  <c r="HP10" i="16"/>
  <c r="HO10" i="16"/>
  <c r="HN10" i="16"/>
  <c r="HM10" i="16"/>
  <c r="HL10" i="16"/>
  <c r="HK10" i="16"/>
  <c r="HH10" i="16"/>
  <c r="HG10" i="16"/>
  <c r="HF10" i="16"/>
  <c r="HE10" i="16"/>
  <c r="HD10" i="16"/>
  <c r="HC10" i="16"/>
  <c r="GZ10" i="16"/>
  <c r="GY10" i="16"/>
  <c r="GX10" i="16"/>
  <c r="GW10" i="16"/>
  <c r="GV10" i="16"/>
  <c r="GU10" i="16"/>
  <c r="GR10" i="16"/>
  <c r="GQ10" i="16"/>
  <c r="GP10" i="16"/>
  <c r="GO10" i="16"/>
  <c r="GN10" i="16"/>
  <c r="GM10" i="16"/>
  <c r="GJ10" i="16"/>
  <c r="GI10" i="16"/>
  <c r="GH10" i="16"/>
  <c r="GG10" i="16"/>
  <c r="GF10" i="16"/>
  <c r="GE10" i="16"/>
  <c r="GB10" i="16"/>
  <c r="GA10" i="16"/>
  <c r="FZ10" i="16"/>
  <c r="FY10" i="16"/>
  <c r="FX10" i="16"/>
  <c r="FW10" i="16"/>
  <c r="FT10" i="16"/>
  <c r="FS10" i="16"/>
  <c r="FR10" i="16"/>
  <c r="FQ10" i="16"/>
  <c r="FP10" i="16"/>
  <c r="FO10" i="16"/>
  <c r="FL10" i="16"/>
  <c r="FK10" i="16"/>
  <c r="FJ10" i="16"/>
  <c r="FI10" i="16"/>
  <c r="FH10" i="16"/>
  <c r="FG10" i="16"/>
  <c r="FD10" i="16"/>
  <c r="FC10" i="16"/>
  <c r="FB10" i="16"/>
  <c r="FA10" i="16"/>
  <c r="EZ10" i="16"/>
  <c r="EY10" i="16"/>
  <c r="EV10" i="16"/>
  <c r="EU10" i="16"/>
  <c r="ET10" i="16"/>
  <c r="ES10" i="16"/>
  <c r="ER10" i="16"/>
  <c r="EQ10" i="16"/>
  <c r="EN10" i="16"/>
  <c r="EM10" i="16"/>
  <c r="EL10" i="16"/>
  <c r="EK10" i="16"/>
  <c r="EJ10" i="16"/>
  <c r="EI10" i="16"/>
  <c r="EF10" i="16"/>
  <c r="EE10" i="16"/>
  <c r="ED10" i="16"/>
  <c r="EC10" i="16"/>
  <c r="EB10" i="16"/>
  <c r="EA10" i="16"/>
  <c r="DX10" i="16"/>
  <c r="DW10" i="16"/>
  <c r="DV10" i="16"/>
  <c r="DU10" i="16"/>
  <c r="DT10" i="16"/>
  <c r="DS10" i="16"/>
  <c r="DP10" i="16"/>
  <c r="DO10" i="16"/>
  <c r="DN10" i="16"/>
  <c r="DM10" i="16"/>
  <c r="DL10" i="16"/>
  <c r="DK10" i="16"/>
  <c r="DG10" i="16"/>
  <c r="DF10" i="16"/>
  <c r="DE10" i="16"/>
  <c r="DD10" i="16"/>
  <c r="DC10" i="16"/>
  <c r="DA10" i="16"/>
  <c r="CZ10" i="16"/>
  <c r="CY10" i="16"/>
  <c r="CX10" i="16"/>
  <c r="CU10" i="16"/>
  <c r="CT10" i="16"/>
  <c r="CS10" i="16"/>
  <c r="CR10" i="16"/>
  <c r="CO10" i="16"/>
  <c r="CN10" i="16"/>
  <c r="CM10" i="16"/>
  <c r="CL10" i="16"/>
  <c r="CI10" i="16"/>
  <c r="CH10" i="16"/>
  <c r="CG10" i="16"/>
  <c r="CF10" i="16"/>
  <c r="CC10" i="16"/>
  <c r="CB10" i="16"/>
  <c r="CA10" i="16"/>
  <c r="BZ10" i="16"/>
  <c r="BW10" i="16"/>
  <c r="BV10" i="16"/>
  <c r="BU10" i="16"/>
  <c r="BT10" i="16"/>
  <c r="BQ10" i="16"/>
  <c r="BP10" i="16"/>
  <c r="BO10" i="16"/>
  <c r="BN10" i="16"/>
  <c r="BK10" i="16"/>
  <c r="BJ10" i="16"/>
  <c r="BI10" i="16"/>
  <c r="BH10" i="16"/>
  <c r="BE10" i="16"/>
  <c r="BD10" i="16"/>
  <c r="BC10" i="16"/>
  <c r="BB10" i="16"/>
  <c r="AY10" i="16"/>
  <c r="AX10" i="16"/>
  <c r="AW10" i="16"/>
  <c r="AV10" i="16"/>
  <c r="AS10" i="16"/>
  <c r="AR10" i="16"/>
  <c r="AQ10" i="16"/>
  <c r="AP10" i="16"/>
  <c r="AM10" i="16"/>
  <c r="AL10" i="16"/>
  <c r="AK10" i="16"/>
  <c r="AJ10" i="16"/>
  <c r="AG10" i="16"/>
  <c r="AF10" i="16"/>
  <c r="AE10" i="16"/>
  <c r="AD10" i="16"/>
  <c r="AA10" i="16"/>
  <c r="Z10" i="16"/>
  <c r="Y10" i="16"/>
  <c r="X10" i="16"/>
  <c r="U10" i="16"/>
  <c r="T10" i="16"/>
  <c r="S10" i="16"/>
  <c r="R10" i="16"/>
  <c r="O10" i="16"/>
  <c r="N10" i="16"/>
  <c r="M10" i="16"/>
  <c r="L10" i="16"/>
  <c r="I10" i="16"/>
  <c r="H10" i="16"/>
  <c r="G10" i="16"/>
  <c r="F10" i="16"/>
  <c r="L25" i="17" l="1"/>
  <c r="N25" i="17" s="1"/>
  <c r="O25" i="17" s="1"/>
  <c r="N18" i="17"/>
  <c r="O18" i="17" s="1"/>
  <c r="L19" i="17"/>
  <c r="N19" i="17" s="1"/>
  <c r="O19" i="17" s="1"/>
  <c r="Q19" i="17" s="1"/>
  <c r="L17" i="17"/>
  <c r="N17" i="17" s="1"/>
  <c r="O17" i="17" s="1"/>
  <c r="J28" i="17" s="1"/>
  <c r="J30" i="17" s="1"/>
  <c r="L22" i="17"/>
  <c r="N22" i="17" s="1"/>
  <c r="O22" i="17" s="1"/>
  <c r="L23" i="17"/>
  <c r="N23" i="17" s="1"/>
  <c r="O23" i="17" s="1"/>
  <c r="P20" i="17"/>
  <c r="Q20" i="17"/>
  <c r="Q21" i="17"/>
  <c r="P21" i="17"/>
  <c r="Q14" i="17"/>
  <c r="P14" i="17"/>
  <c r="Q15" i="17"/>
  <c r="P15" i="17"/>
  <c r="P24" i="17"/>
  <c r="Q24" i="17"/>
  <c r="Q25" i="17"/>
  <c r="P25" i="17"/>
  <c r="Q18" i="17"/>
  <c r="P18" i="17"/>
  <c r="P19" i="17"/>
  <c r="P16" i="17"/>
  <c r="Q16" i="17"/>
  <c r="Q22" i="17"/>
  <c r="P22" i="17"/>
  <c r="Q23" i="17"/>
  <c r="P23" i="17"/>
  <c r="P17" i="17" l="1"/>
  <c r="Q17" i="17"/>
  <c r="Q32" i="17"/>
  <c r="Q30" i="17"/>
  <c r="Q29" i="17"/>
  <c r="Q27" i="17"/>
  <c r="Q26" i="17"/>
  <c r="Q31" i="17"/>
  <c r="Q28" i="17"/>
</calcChain>
</file>

<file path=xl/sharedStrings.xml><?xml version="1.0" encoding="utf-8"?>
<sst xmlns="http://schemas.openxmlformats.org/spreadsheetml/2006/main" count="1012" uniqueCount="449">
  <si>
    <t>LAGOS STATE GOVERNMENT.</t>
  </si>
  <si>
    <t>GOVERNMENT TECHNICAL COLLEGE.</t>
  </si>
  <si>
    <t>ODOMOLA,EPE.</t>
  </si>
  <si>
    <t>BROADSHEET -TECH 1</t>
  </si>
  <si>
    <t>SESSION:</t>
  </si>
  <si>
    <t>2024/2025</t>
  </si>
  <si>
    <t>S/N</t>
  </si>
  <si>
    <t>TECH 1</t>
  </si>
  <si>
    <t xml:space="preserve">SECTION: </t>
  </si>
  <si>
    <t xml:space="preserve">ELECTRICAL INSTALLATION &amp; MAINTENANCE </t>
  </si>
  <si>
    <t>SUBJECT</t>
  </si>
  <si>
    <t>1ST TERM</t>
  </si>
  <si>
    <t>2ND TERM</t>
  </si>
  <si>
    <t>3RD TERM</t>
  </si>
  <si>
    <t>CRAFT PRACTICE</t>
  </si>
  <si>
    <t>BUILDING/ENG. DRAWING</t>
  </si>
  <si>
    <t>BASIC ELECTRICITY</t>
  </si>
  <si>
    <t>CABLE JOINTING</t>
  </si>
  <si>
    <t>DOMESTIC INSTALLATION</t>
  </si>
  <si>
    <t>ENGLISH  LANGUAGE</t>
  </si>
  <si>
    <t>MATHEMATICS</t>
  </si>
  <si>
    <t>PHYSICS</t>
  </si>
  <si>
    <t>CHEMISTRY</t>
  </si>
  <si>
    <t>I.C.T</t>
  </si>
  <si>
    <t>ECONOMICS</t>
  </si>
  <si>
    <t>ENTREPRENEURSHIP</t>
  </si>
  <si>
    <t>BATTERY CHARGING</t>
  </si>
  <si>
    <t xml:space="preserve">INDUSTRIAL INSTALLATION </t>
  </si>
  <si>
    <t>SIWES</t>
  </si>
  <si>
    <t>NAME</t>
  </si>
  <si>
    <t>GENDER</t>
  </si>
  <si>
    <t>CA (40)</t>
  </si>
  <si>
    <t>EXAM (60)</t>
  </si>
  <si>
    <t>TOTAL (100%)</t>
  </si>
  <si>
    <t>%</t>
  </si>
  <si>
    <t>GRADE</t>
  </si>
  <si>
    <t>SUBJECT POSITION</t>
  </si>
  <si>
    <t>CA (41)</t>
  </si>
  <si>
    <t>EXAM (61)</t>
  </si>
  <si>
    <t>TOTAL (101%)</t>
  </si>
  <si>
    <t>CA (42)</t>
  </si>
  <si>
    <t>EXAM (62)</t>
  </si>
  <si>
    <t>TOTAL (102%)</t>
  </si>
  <si>
    <t>CA (43)</t>
  </si>
  <si>
    <t>EXAM (63)</t>
  </si>
  <si>
    <t>TOTAL (103%)</t>
  </si>
  <si>
    <t>CA (44)</t>
  </si>
  <si>
    <t>EXAM (64)</t>
  </si>
  <si>
    <t>TOTAL (104%)</t>
  </si>
  <si>
    <t>CA (45)</t>
  </si>
  <si>
    <t>EXAM (65)</t>
  </si>
  <si>
    <t>TOTAL (105%)</t>
  </si>
  <si>
    <t>CA (46)</t>
  </si>
  <si>
    <t>EXAM (66)</t>
  </si>
  <si>
    <t>TOTAL (106%)</t>
  </si>
  <si>
    <t>CA (47)</t>
  </si>
  <si>
    <t>EXAM (67)</t>
  </si>
  <si>
    <t>TOTAL (107%)</t>
  </si>
  <si>
    <t>CA (48)</t>
  </si>
  <si>
    <t>EXAM (68)</t>
  </si>
  <si>
    <t>TOTAL (108%)</t>
  </si>
  <si>
    <t>CA (49)</t>
  </si>
  <si>
    <t>EXAM (69)</t>
  </si>
  <si>
    <t>TOTAL (109%)</t>
  </si>
  <si>
    <t>CA (50)</t>
  </si>
  <si>
    <t>EXAM (70)</t>
  </si>
  <si>
    <t>TOTAL (110%)</t>
  </si>
  <si>
    <t>CA (51)</t>
  </si>
  <si>
    <t>EXAM (71)</t>
  </si>
  <si>
    <t>TOTAL (111%)</t>
  </si>
  <si>
    <t>CA (52)</t>
  </si>
  <si>
    <t>EXAM (72)</t>
  </si>
  <si>
    <t>TOTAL (112%)</t>
  </si>
  <si>
    <t>CA (53)</t>
  </si>
  <si>
    <t>EXAM (73)</t>
  </si>
  <si>
    <t>TOTAL (113%)</t>
  </si>
  <si>
    <t>CA (54)</t>
  </si>
  <si>
    <t>EXAM (74)</t>
  </si>
  <si>
    <t>TOTAL (114%)</t>
  </si>
  <si>
    <t>CA (55)</t>
  </si>
  <si>
    <t>EXAM (75)</t>
  </si>
  <si>
    <t>TOTAL (115%)</t>
  </si>
  <si>
    <t>CA (56)</t>
  </si>
  <si>
    <t>EXAM (76)</t>
  </si>
  <si>
    <t>TOTAL (116%)</t>
  </si>
  <si>
    <t>TOTAL MARK</t>
  </si>
  <si>
    <t>AVERAGE  SCORE</t>
  </si>
  <si>
    <t>CLASS POSITION</t>
  </si>
  <si>
    <t>B/F  2ND TERM</t>
  </si>
  <si>
    <t>GD TOTAL (200)</t>
  </si>
  <si>
    <t>AV %</t>
  </si>
  <si>
    <t>TOTAL MARKS</t>
  </si>
  <si>
    <t>AVERAGE SCORE</t>
  </si>
  <si>
    <t>B/F  1ST TERM</t>
  </si>
  <si>
    <t>GD TOTAL (300)</t>
  </si>
  <si>
    <t xml:space="preserve"> AVERAGE</t>
  </si>
  <si>
    <t>ABDULAZEEZ TOHEEB O.</t>
  </si>
  <si>
    <t>MALE</t>
  </si>
  <si>
    <t>ABIODUN OLAMIDE Q.</t>
  </si>
  <si>
    <t>ADEBANJO VINCENT OLAOMOJU</t>
  </si>
  <si>
    <t>ADEBANJO YUSUF A.</t>
  </si>
  <si>
    <t>ADEBOWALE ISREAL A.</t>
  </si>
  <si>
    <t>ADEKOYA TAOFEEQ OLUWAFEMI</t>
  </si>
  <si>
    <t>ADELEKAN CALEB S.</t>
  </si>
  <si>
    <t>ADENIYI SAHEED O</t>
  </si>
  <si>
    <t>-</t>
  </si>
  <si>
    <t>ADENOLA ABDULSOMOD O.</t>
  </si>
  <si>
    <t>ADEWALE IBRAHIN O.</t>
  </si>
  <si>
    <t>ADEWALE MICHEAL S.</t>
  </si>
  <si>
    <t>ADEYEMI BASIT AYOMIDE</t>
  </si>
  <si>
    <t>ADEYEMI SAMESON O</t>
  </si>
  <si>
    <t>AFANYI STEPHEN A.</t>
  </si>
  <si>
    <t>AINA AYOMIDE</t>
  </si>
  <si>
    <t>AJAGUNGBADE FREDERICK</t>
  </si>
  <si>
    <t>AJIBOLA TOHEEB OLAMILEKAN</t>
  </si>
  <si>
    <t>AJISEFINI ABDULATEEF</t>
  </si>
  <si>
    <t>AKILO RAHMAN TAIWO</t>
  </si>
  <si>
    <t>AKINOLA HAPPINESS O.</t>
  </si>
  <si>
    <t>AKPAYOE OLUWATOBILOBA</t>
  </si>
  <si>
    <t>ALOZIE JONAS E.</t>
  </si>
  <si>
    <t>AMAOLE EZE PREVAIL</t>
  </si>
  <si>
    <t>AMINU FARUQ TEMIDAYO</t>
  </si>
  <si>
    <t>AKEWU SAMUEL ADEOLU</t>
  </si>
  <si>
    <t>AWOYEMI PATRICK OLASUBOMI</t>
  </si>
  <si>
    <t>AYINDE OLUWATIMILEYIN A.</t>
  </si>
  <si>
    <t>BABAJOKO FUAD O.</t>
  </si>
  <si>
    <t>BABALOLA KHALID</t>
  </si>
  <si>
    <t>BADEJO PETER OLUOMO</t>
  </si>
  <si>
    <t>BAKARE OLUWAFEMI E.</t>
  </si>
  <si>
    <t>BALOGUN OREOFE M.</t>
  </si>
  <si>
    <t>BANKOLE DANIEL O.</t>
  </si>
  <si>
    <t>BELLO MUSTAPHA O.</t>
  </si>
  <si>
    <t>BOROKINNI USMAN A</t>
  </si>
  <si>
    <t>BRASANA LUCKY TINA</t>
  </si>
  <si>
    <t>DAUDA MUSA OWOLABI</t>
  </si>
  <si>
    <t>DIYAOLU KOLAWOLE U.</t>
  </si>
  <si>
    <t>EDEH FAVOUR I.</t>
  </si>
  <si>
    <t>EDU MUSA O.</t>
  </si>
  <si>
    <t>EFE EMMANUEL O</t>
  </si>
  <si>
    <t>EGBA LIAFEEZ DAMILARE</t>
  </si>
  <si>
    <t>EGBEDI OLUWASEYI AYOMIDE</t>
  </si>
  <si>
    <t>EGWEMO DAMILARE E.</t>
  </si>
  <si>
    <t>EJIOFOR DAVID C.</t>
  </si>
  <si>
    <t>Abs</t>
  </si>
  <si>
    <t>EMEHINOLA GABRIEL</t>
  </si>
  <si>
    <t>EZEKIEL VICTOR G.</t>
  </si>
  <si>
    <t>FELIX EBUBECHUKWU</t>
  </si>
  <si>
    <t>GANIYU AZEEZ</t>
  </si>
  <si>
    <t>GBAMIRE SUNDAY I.</t>
  </si>
  <si>
    <t>HARRISON SAMUEL A.</t>
  </si>
  <si>
    <t>HASSAN AFEEZ AYOMIDE</t>
  </si>
  <si>
    <t>HASSAN SAMUELLA O.</t>
  </si>
  <si>
    <t>FEMALE</t>
  </si>
  <si>
    <t>IBILOLA DAVID A.</t>
  </si>
  <si>
    <t>IBRAHIM BASIT O.</t>
  </si>
  <si>
    <t>IBRAHIM YUSUF O.</t>
  </si>
  <si>
    <t>IDRIS QUDUS</t>
  </si>
  <si>
    <t>ISAAC AYUBA IDOWU</t>
  </si>
  <si>
    <t>JAIYEOBA DAVID TEMITAYO</t>
  </si>
  <si>
    <t>JAMIU QUYUM OLAMIDE</t>
  </si>
  <si>
    <t>JOHNSON ADEOLUWAKISI A.</t>
  </si>
  <si>
    <t>JOSEPH EMMANUEL O.</t>
  </si>
  <si>
    <t>JULIUS GOODLUCK ONJEFU</t>
  </si>
  <si>
    <t>KADIRI BRIGHT JAPHET</t>
  </si>
  <si>
    <t>KADIRI DANIEL A.</t>
  </si>
  <si>
    <t>KENEBI EZE MICAH</t>
  </si>
  <si>
    <t>LAWAL AL-AMIN A.</t>
  </si>
  <si>
    <t>MICHEAL GOODLUCK A.</t>
  </si>
  <si>
    <t>MOSES BRIGHT F.</t>
  </si>
  <si>
    <t>MOSHOOD FARIAN ALABI</t>
  </si>
  <si>
    <t>MOSHOOD QUADRI O.</t>
  </si>
  <si>
    <t>NICHOLAS ALUSINE OMOGBOLAHAN</t>
  </si>
  <si>
    <t>OBADONI ELIJAH A.</t>
  </si>
  <si>
    <t>OGBERE EMMANUEL G.</t>
  </si>
  <si>
    <t>OGEDENGBE LATEEF</t>
  </si>
  <si>
    <t>OJEDEJI DAMILOLA A.</t>
  </si>
  <si>
    <t>OLATUNJI GOODLUCK T.</t>
  </si>
  <si>
    <t>OLAWALE BOLUWATIFE</t>
  </si>
  <si>
    <t>OLUYEMI ERIOLUWA S.</t>
  </si>
  <si>
    <t>OMODELE PENIEL O.</t>
  </si>
  <si>
    <t>ONIKOSI QUDUS O.</t>
  </si>
  <si>
    <t>ONILEYAN BOLAJI</t>
  </si>
  <si>
    <t>OSHODI HASSAN KEHINDE</t>
  </si>
  <si>
    <t>OTOMENO SHEDRACK</t>
  </si>
  <si>
    <t>OYELAYO DAVID</t>
  </si>
  <si>
    <t>OZUOMEE JUSTICE N.</t>
  </si>
  <si>
    <t>PAUL GODSTIME O.</t>
  </si>
  <si>
    <t>PAUL MANASSEH</t>
  </si>
  <si>
    <t>RAFIU SODIQ AKANO</t>
  </si>
  <si>
    <t>RAHEEM QOYYUM O.</t>
  </si>
  <si>
    <t>RAJI BASIT OKIKIOLA</t>
  </si>
  <si>
    <t>SALAMI EMMANEUL A.</t>
  </si>
  <si>
    <t>SALISU ISMAIL O.</t>
  </si>
  <si>
    <t>SAMUEL ANUOLUWAPO ISREAL</t>
  </si>
  <si>
    <t>STEPHEN DAVID O.</t>
  </si>
  <si>
    <t>SUNDAY GOODNEWS A.</t>
  </si>
  <si>
    <t>TAIWO AYOMIDE O.</t>
  </si>
  <si>
    <t>TAIWO TAIWO ABDULJELIL</t>
  </si>
  <si>
    <t>TAJUDEEN YUSUF A.</t>
  </si>
  <si>
    <t>YESIRU RAFIU TIMILEYIN</t>
  </si>
  <si>
    <t>DAMILOLA JOHN</t>
  </si>
  <si>
    <t xml:space="preserve">                  LAGOS STATE GOVERNMENT.</t>
  </si>
  <si>
    <t xml:space="preserve">    LAGOS STATE GOVERNMENT.</t>
  </si>
  <si>
    <t xml:space="preserve">    GOVERNMENT TECHNICAL COLLEGE, ODOMOLA, EPE.</t>
  </si>
  <si>
    <t xml:space="preserve">                     GOVERNMENT TECHNICAL COLLEGE, ODOMOLA, EPE.</t>
  </si>
  <si>
    <t>STUDENT'S REPORT CARD</t>
  </si>
  <si>
    <t>ELECTRICAL INSTALLATION &amp; MAINTENANCE</t>
  </si>
  <si>
    <t>TERM:</t>
  </si>
  <si>
    <t xml:space="preserve">SESSION: </t>
  </si>
  <si>
    <t>GENDER:</t>
  </si>
  <si>
    <t>CLASS:</t>
  </si>
  <si>
    <t>NAME OF STUDENT:</t>
  </si>
  <si>
    <t>NAME IN FULL:</t>
  </si>
  <si>
    <t>ROLL NUMBER</t>
  </si>
  <si>
    <t>TOTAL (100)</t>
  </si>
  <si>
    <t>REMARKS</t>
  </si>
  <si>
    <t>B/F Ist Term</t>
  </si>
  <si>
    <t>B/F IST Term</t>
  </si>
  <si>
    <t>B/F 2ND Term</t>
  </si>
  <si>
    <r>
      <rPr>
        <b/>
        <sz val="16"/>
        <color rgb="FF000000"/>
        <rFont val="Calibri"/>
        <charset val="134"/>
      </rPr>
      <t>FAIL</t>
    </r>
    <r>
      <rPr>
        <b/>
        <sz val="16"/>
        <color rgb="FF000000"/>
        <rFont val="Calibri"/>
        <charset val="134"/>
      </rPr>
      <t xml:space="preserve">           </t>
    </r>
    <r>
      <rPr>
        <b/>
        <sz val="16"/>
        <color rgb="FF000000"/>
        <rFont val="Calibri"/>
        <charset val="134"/>
      </rPr>
      <t>"0-34"</t>
    </r>
  </si>
  <si>
    <t>F</t>
  </si>
  <si>
    <t>FAIL           "0-34"</t>
  </si>
  <si>
    <t>SUMMARY OF SCORES</t>
  </si>
  <si>
    <r>
      <rPr>
        <b/>
        <sz val="16"/>
        <color rgb="FF000000"/>
        <rFont val="Calibri"/>
        <charset val="134"/>
      </rPr>
      <t>FAIR</t>
    </r>
    <r>
      <rPr>
        <b/>
        <sz val="16"/>
        <color rgb="FF000000"/>
        <rFont val="Calibri"/>
        <charset val="134"/>
      </rPr>
      <t xml:space="preserve">          </t>
    </r>
    <r>
      <rPr>
        <b/>
        <sz val="16"/>
        <color rgb="FF000000"/>
        <rFont val="Calibri"/>
        <charset val="134"/>
      </rPr>
      <t>"35-39"</t>
    </r>
  </si>
  <si>
    <t>E</t>
  </si>
  <si>
    <t>FAIR          "35-39"</t>
  </si>
  <si>
    <t>Students's Total Score</t>
  </si>
  <si>
    <r>
      <rPr>
        <b/>
        <sz val="16"/>
        <color rgb="FF000000"/>
        <rFont val="Calibri"/>
        <charset val="134"/>
      </rPr>
      <t>PASS</t>
    </r>
    <r>
      <rPr>
        <b/>
        <sz val="16"/>
        <color rgb="FF000000"/>
        <rFont val="Calibri"/>
        <charset val="134"/>
      </rPr>
      <t xml:space="preserve">          </t>
    </r>
    <r>
      <rPr>
        <b/>
        <sz val="16"/>
        <color rgb="FF000000"/>
        <rFont val="Calibri"/>
        <charset val="134"/>
      </rPr>
      <t>"40-49"</t>
    </r>
  </si>
  <si>
    <t>D</t>
  </si>
  <si>
    <t>PASS          "40-49"</t>
  </si>
  <si>
    <t>FAIL                    "0-39"</t>
  </si>
  <si>
    <t>Expected Total Score</t>
  </si>
  <si>
    <r>
      <rPr>
        <b/>
        <sz val="16"/>
        <color rgb="FF000000"/>
        <rFont val="Calibri"/>
        <charset val="134"/>
      </rPr>
      <t>CREDIT</t>
    </r>
    <r>
      <rPr>
        <b/>
        <sz val="16"/>
        <color rgb="FF000000"/>
        <rFont val="Calibri"/>
        <charset val="134"/>
      </rPr>
      <t xml:space="preserve">        </t>
    </r>
    <r>
      <rPr>
        <b/>
        <sz val="16"/>
        <color rgb="FF000000"/>
        <rFont val="Calibri"/>
        <charset val="134"/>
      </rPr>
      <t>"50-59"</t>
    </r>
  </si>
  <si>
    <t>C</t>
  </si>
  <si>
    <t>CREDIT        "50-59"</t>
  </si>
  <si>
    <t>PASS                 "40-49"</t>
  </si>
  <si>
    <t>Student's Average Score</t>
  </si>
  <si>
    <r>
      <rPr>
        <b/>
        <sz val="16"/>
        <color rgb="FF000000"/>
        <rFont val="Calibri"/>
        <charset val="134"/>
      </rPr>
      <t>GOOD</t>
    </r>
    <r>
      <rPr>
        <b/>
        <sz val="16"/>
        <color rgb="FF000000"/>
        <rFont val="Calibri"/>
        <charset val="134"/>
      </rPr>
      <t xml:space="preserve">          </t>
    </r>
    <r>
      <rPr>
        <b/>
        <sz val="16"/>
        <color rgb="FF000000"/>
        <rFont val="Calibri"/>
        <charset val="134"/>
      </rPr>
      <t>"60-70"</t>
    </r>
  </si>
  <si>
    <t>B</t>
  </si>
  <si>
    <t>GOOD          "60-70"</t>
  </si>
  <si>
    <t>CREDIT              "50-64"</t>
  </si>
  <si>
    <t>VERY GOOD "70 -74"</t>
  </si>
  <si>
    <t>GOOD               "65-69"</t>
  </si>
  <si>
    <t>EXCELLENT "75-100"</t>
  </si>
  <si>
    <t>A</t>
  </si>
  <si>
    <t>CONDUCT:</t>
  </si>
  <si>
    <t>SATISFACTORY</t>
  </si>
  <si>
    <t>HEAF OF SECTION</t>
  </si>
  <si>
    <t>A POOR RESULT PUT MORE EFFORTS IN YOUR WEAK SUBJECTS</t>
  </si>
  <si>
    <t>PRINCIPAL'S COMMENTS:</t>
  </si>
  <si>
    <t>Teachers Comments</t>
  </si>
  <si>
    <t>Principal Comments</t>
  </si>
  <si>
    <t>PROMOTED TO TECH 3</t>
  </si>
  <si>
    <t>NOT SATISFACTORY</t>
  </si>
  <si>
    <t>TO REPEAT TECH 2</t>
  </si>
  <si>
    <t>Is an enthusiastic learner who seems to enjoy school.</t>
  </si>
  <si>
    <t>PROMOTED TO TECH 2 ON TRIAL</t>
  </si>
  <si>
    <t>Exhibits a positive outlook and attitude in the classroom.</t>
  </si>
  <si>
    <t>Appears well rested and ready for each day's activities.</t>
  </si>
  <si>
    <t>A FAIR RESULT PUT MORE EFFORTS IN YOUR WEAK SUBJECTS</t>
  </si>
  <si>
    <t>Shows enthusiasm for classroom activities.</t>
  </si>
  <si>
    <t>A GOOD RESULT, KEEP IT UP</t>
  </si>
  <si>
    <t>Shows initiative and looks for new ways to get involved.</t>
  </si>
  <si>
    <t>Is honest and trustworthy in dealings with others.</t>
  </si>
  <si>
    <t>Can be depended on to do what they are asked to do.</t>
  </si>
  <si>
    <t>Is kind, respectful and helpful when interacting with his/her peers</t>
  </si>
  <si>
    <t>Demonstrates his/her manners on a daily basis and is always respectful</t>
  </si>
  <si>
    <t>Has incredible self-Discipline and always gets his/her work done in a timely manner</t>
  </si>
  <si>
    <t>Is a conscientious, hard-working student.</t>
  </si>
  <si>
    <r>
      <rPr>
        <sz val="11"/>
        <color theme="1"/>
        <rFont val="Calibri"/>
        <charset val="134"/>
      </rPr>
      <t>The student exhibits a positive attitude in the classroom.</t>
    </r>
  </si>
  <si>
    <r>
      <rPr>
        <sz val="11"/>
        <color theme="1"/>
        <rFont val="Calibri"/>
        <charset val="134"/>
      </rPr>
      <t>The student is committed to doing her best.</t>
    </r>
  </si>
  <si>
    <r>
      <rPr>
        <sz val="11"/>
        <color theme="1"/>
        <rFont val="Calibri"/>
        <charset val="134"/>
      </rPr>
      <t>She is committed and shows good manners in the classroom.</t>
    </r>
  </si>
  <si>
    <r>
      <rPr>
        <sz val="11"/>
        <color theme="1"/>
        <rFont val="Calibri"/>
        <charset val="134"/>
      </rPr>
      <t>The student does not always arrive at school on time, which is beginning to affect his /her performance in class.</t>
    </r>
  </si>
  <si>
    <r>
      <rPr>
        <sz val="11"/>
        <color theme="1"/>
        <rFont val="Calibri"/>
        <charset val="134"/>
      </rPr>
      <t>He is always active in the class activities</t>
    </r>
  </si>
  <si>
    <r>
      <rPr>
        <sz val="11"/>
        <color theme="1"/>
        <rFont val="Calibri"/>
        <charset val="134"/>
      </rPr>
      <t>he/she is humble and dedicated to any assignment give him/her</t>
    </r>
  </si>
  <si>
    <r>
      <rPr>
        <sz val="11"/>
        <color theme="1"/>
        <rFont val="Calibri"/>
        <charset val="134"/>
      </rPr>
      <t>She is a good student and always punctual.</t>
    </r>
  </si>
  <si>
    <r>
      <rPr>
        <sz val="11"/>
        <color theme="1"/>
        <rFont val="Calibri"/>
        <charset val="134"/>
      </rPr>
      <t>She appears untidy most times, she needs to put more effort in her appearance.</t>
    </r>
  </si>
  <si>
    <r>
      <rPr>
        <sz val="11"/>
        <color theme="1"/>
        <rFont val="Calibri"/>
        <charset val="134"/>
      </rPr>
      <t>He comes late quite often and is easily distracted</t>
    </r>
  </si>
  <si>
    <r>
      <rPr>
        <sz val="11"/>
        <color theme="1"/>
        <rFont val="Calibri"/>
        <charset val="134"/>
      </rPr>
      <t>She is an enthusiastic learner who enjoys school activities.</t>
    </r>
  </si>
  <si>
    <r>
      <rPr>
        <sz val="11"/>
        <color theme="1"/>
        <rFont val="Calibri"/>
        <charset val="134"/>
      </rPr>
      <t>He/she is willing to learn and makes conscientious effort to complete given tasks successfully.</t>
    </r>
  </si>
  <si>
    <r>
      <rPr>
        <sz val="11"/>
        <color theme="1"/>
        <rFont val="Calibri"/>
        <charset val="134"/>
      </rPr>
      <t>He/she always appears  ready for each day's work.</t>
    </r>
  </si>
  <si>
    <r>
      <rPr>
        <sz val="11"/>
        <color theme="1"/>
        <rFont val="Calibri"/>
        <charset val="134"/>
      </rPr>
      <t>He/she shows initiative and looks for new ways to get involved.</t>
    </r>
  </si>
  <si>
    <r>
      <rPr>
        <sz val="11"/>
        <color theme="1"/>
        <rFont val="Calibri"/>
        <charset val="134"/>
      </rPr>
      <t>He always exhibits positive attitude and takes the lead role.</t>
    </r>
  </si>
  <si>
    <r>
      <rPr>
        <sz val="11"/>
        <color theme="1"/>
        <rFont val="Calibri"/>
        <charset val="134"/>
      </rPr>
      <t>He/ she is clever and hardworking.</t>
    </r>
  </si>
  <si>
    <r>
      <rPr>
        <sz val="11"/>
        <color theme="1"/>
        <rFont val="Calibri"/>
        <charset val="134"/>
      </rPr>
      <t>He/she  is not always attentive in class</t>
    </r>
  </si>
  <si>
    <r>
      <rPr>
        <sz val="11"/>
        <color theme="1"/>
        <rFont val="Calibri"/>
        <charset val="134"/>
      </rPr>
      <t>He/ she is intelligent and participates in class activities.</t>
    </r>
  </si>
  <si>
    <r>
      <rPr>
        <sz val="11"/>
        <color theme="1"/>
        <rFont val="Calibri"/>
        <charset val="134"/>
      </rPr>
      <t>He/She is social ,diligent  and very inquisitive.</t>
    </r>
  </si>
  <si>
    <r>
      <rPr>
        <sz val="11"/>
        <color theme="1"/>
        <rFont val="Calibri"/>
        <charset val="134"/>
      </rPr>
      <t>He/ she is easily distracted  in the class</t>
    </r>
  </si>
  <si>
    <r>
      <rPr>
        <sz val="11"/>
        <color theme="1"/>
        <rFont val="Calibri"/>
        <charset val="134"/>
      </rPr>
      <t>He/she is calm and relates well with peers</t>
    </r>
  </si>
  <si>
    <r>
      <rPr>
        <sz val="11"/>
        <color theme="1"/>
        <rFont val="Calibri"/>
        <charset val="134"/>
      </rPr>
      <t>He/she is kind, polite and gentle and always ready for classwork</t>
    </r>
  </si>
  <si>
    <r>
      <rPr>
        <sz val="11"/>
        <color theme="1"/>
        <rFont val="Calibri"/>
        <charset val="134"/>
      </rPr>
      <t>He/she is obedient and very active during class activities</t>
    </r>
  </si>
  <si>
    <r>
      <rPr>
        <sz val="11"/>
        <color theme="1"/>
        <rFont val="Calibri"/>
        <charset val="134"/>
      </rPr>
      <t>He/she is a well mannered boy/girl with a team spirit</t>
    </r>
  </si>
  <si>
    <r>
      <rPr>
        <sz val="11"/>
        <color theme="1"/>
        <rFont val="Calibri"/>
        <charset val="134"/>
      </rPr>
      <t>He/she is an excellent child with a loveable character</t>
    </r>
  </si>
  <si>
    <r>
      <rPr>
        <sz val="11"/>
        <color theme="1"/>
        <rFont val="Calibri"/>
        <charset val="134"/>
      </rPr>
      <t xml:space="preserve"> </t>
    </r>
  </si>
  <si>
    <r>
      <rPr>
        <sz val="11"/>
        <color theme="1"/>
        <rFont val="Calibri"/>
        <charset val="134"/>
      </rPr>
      <t>NEGATIVE COMMENTS</t>
    </r>
  </si>
  <si>
    <r>
      <rPr>
        <sz val="11"/>
        <color theme="1"/>
        <rFont val="Calibri"/>
        <charset val="134"/>
      </rPr>
      <t>He/she is a hardworker, but has difficulty staying on task</t>
    </r>
  </si>
  <si>
    <r>
      <rPr>
        <sz val="11"/>
        <color theme="1"/>
        <rFont val="Calibri"/>
        <charset val="134"/>
      </rPr>
      <t>He/she needs to be more respectful and courteous to his/her classmates</t>
    </r>
  </si>
  <si>
    <r>
      <rPr>
        <sz val="11"/>
        <color theme="1"/>
        <rFont val="Calibri"/>
        <charset val="134"/>
      </rPr>
      <t>He/she needs to listen to directions fully so that he/she can learn more independently</t>
    </r>
  </si>
  <si>
    <r>
      <rPr>
        <sz val="11"/>
        <color theme="1"/>
        <rFont val="Calibri"/>
        <charset val="134"/>
      </rPr>
      <t>He/she works well alone but needs to learn how to work better cooperatively with others</t>
    </r>
  </si>
  <si>
    <r>
      <rPr>
        <sz val="11"/>
        <color theme="1"/>
        <rFont val="Calibri"/>
        <charset val="134"/>
      </rPr>
      <t>He/she does not have a positive attitude about school and the work that needs to be completed</t>
    </r>
  </si>
  <si>
    <r>
      <rPr>
        <sz val="11"/>
        <color theme="1"/>
        <rFont val="Calibri"/>
        <charset val="134"/>
      </rPr>
      <t>He is an enthusiastic learner who enjoys school activities.</t>
    </r>
  </si>
  <si>
    <r>
      <rPr>
        <sz val="11"/>
        <color theme="1"/>
        <rFont val="Calibri"/>
        <charset val="134"/>
      </rPr>
      <t>He is a good boy, but needs to buckle down in his studies.</t>
    </r>
  </si>
  <si>
    <r>
      <rPr>
        <sz val="11"/>
        <color theme="1"/>
        <rFont val="Calibri"/>
        <charset val="134"/>
      </rPr>
      <t>She is a brilliant girl, but at times very playful.</t>
    </r>
  </si>
  <si>
    <r>
      <rPr>
        <sz val="11"/>
        <color theme="1"/>
        <rFont val="Calibri"/>
        <charset val="134"/>
      </rPr>
      <t>She is a very bright girl, and should keep it up.</t>
    </r>
  </si>
  <si>
    <r>
      <rPr>
        <sz val="11"/>
        <color theme="1"/>
        <rFont val="Calibri"/>
        <charset val="134"/>
      </rPr>
      <t>He is a good and quiet student, but should be encouraged to work harder for a better performance.</t>
    </r>
  </si>
  <si>
    <r>
      <rPr>
        <sz val="11"/>
        <color theme="1"/>
        <rFont val="Calibri"/>
        <charset val="134"/>
      </rPr>
      <t>She  is an excellent student who always comes prepared for class.</t>
    </r>
  </si>
  <si>
    <r>
      <rPr>
        <sz val="11"/>
        <color theme="1"/>
        <rFont val="Calibri"/>
        <charset val="134"/>
      </rPr>
      <t>He is a joy to have in class and is always willing to help q other students.</t>
    </r>
  </si>
  <si>
    <r>
      <rPr>
        <sz val="11"/>
        <color theme="1"/>
        <rFont val="Calibri"/>
        <charset val="134"/>
      </rPr>
      <t xml:space="preserve"> ___ is a smart and inquisitive student who loves to learn. She is a pleasure to have in class and is always asking questions.</t>
    </r>
  </si>
  <si>
    <r>
      <rPr>
        <sz val="11"/>
        <color theme="1"/>
        <rFont val="Calibri"/>
        <charset val="134"/>
      </rPr>
      <t>___ is a hard-working student who is always trying his best. This term,  he has made great progress, and I’m excited to see what he does next term.</t>
    </r>
  </si>
  <si>
    <r>
      <rPr>
        <sz val="11"/>
        <color theme="1"/>
        <rFont val="Calibri"/>
        <charset val="134"/>
      </rPr>
      <t>___ is a gifted student who excels in all her subjects. She has a bright future ahead of her, and I’m excited to see what she accomplishes.</t>
    </r>
  </si>
  <si>
    <r>
      <rPr>
        <sz val="11"/>
        <color theme="1"/>
        <rFont val="Calibri"/>
        <charset val="134"/>
      </rPr>
      <t>___ is a talented student who has a real passion for learning. He is always asking questions and is eager to get his hands on new material.</t>
    </r>
  </si>
  <si>
    <r>
      <rPr>
        <sz val="11"/>
        <color theme="1"/>
        <rFont val="Calibri"/>
        <charset val="134"/>
      </rPr>
      <t>Partially Meeting Expectations</t>
    </r>
  </si>
  <si>
    <r>
      <rPr>
        <sz val="11"/>
        <color theme="1"/>
        <rFont val="Calibri"/>
        <charset val="134"/>
      </rPr>
      <t xml:space="preserve"> ___ is an intelligent student who has great potential. He needs to work on staying focused in class and following directions.</t>
    </r>
  </si>
  <si>
    <r>
      <rPr>
        <sz val="11"/>
        <color theme="1"/>
        <rFont val="Calibri"/>
        <charset val="134"/>
      </rPr>
      <t>___ is a hard-working student who is making progress. She needs to work on ____ and ____.</t>
    </r>
  </si>
  <si>
    <r>
      <rPr>
        <sz val="11"/>
        <color theme="1"/>
        <rFont val="Calibri"/>
        <charset val="134"/>
      </rPr>
      <t>___ is a bright student, but she needs to learn to apply herself more consistently.</t>
    </r>
  </si>
  <si>
    <r>
      <rPr>
        <sz val="11"/>
        <color theme="1"/>
        <rFont val="Calibri"/>
        <charset val="134"/>
      </rPr>
      <t>___ is a hard worker, but he needs to improve his organizational skills.</t>
    </r>
  </si>
  <si>
    <r>
      <rPr>
        <sz val="11"/>
        <color theme="1"/>
        <rFont val="Calibri"/>
        <charset val="134"/>
      </rPr>
      <t xml:space="preserve"> ___ is a kind and caring student who always looks out for others. He is a good friend to all and is always willing to help.</t>
    </r>
  </si>
  <si>
    <r>
      <rPr>
        <sz val="11"/>
        <color theme="1"/>
        <rFont val="Calibri"/>
        <charset val="134"/>
      </rPr>
      <t xml:space="preserve"> ___ has made great strides in his/her social development this year. She is more confident and able to express herself well.</t>
    </r>
  </si>
  <si>
    <r>
      <rPr>
        <sz val="11"/>
        <color theme="1"/>
        <rFont val="Calibri"/>
        <charset val="134"/>
      </rPr>
      <t>___ works well with others and is able to take turns and share.</t>
    </r>
  </si>
  <si>
    <r>
      <rPr>
        <sz val="11"/>
        <color theme="1"/>
        <rFont val="Calibri"/>
        <charset val="134"/>
      </rPr>
      <t>___ is a leader among his/her peers and is often looked up to by other students.</t>
    </r>
  </si>
  <si>
    <r>
      <rPr>
        <sz val="11"/>
        <color theme="1"/>
        <rFont val="Calibri"/>
        <charset val="134"/>
      </rPr>
      <t>___  is an independent thinker who is not afraid to express his/her opinions.</t>
    </r>
  </si>
  <si>
    <r>
      <rPr>
        <sz val="11"/>
        <color theme="1"/>
        <rFont val="Calibri"/>
        <charset val="134"/>
      </rPr>
      <t xml:space="preserve"> ___ has made great strides in his/her development this year. He is more confident and independent and is doing well academically.</t>
    </r>
  </si>
  <si>
    <r>
      <rPr>
        <sz val="11"/>
        <color theme="1"/>
        <rFont val="Calibri"/>
        <charset val="134"/>
      </rPr>
      <t xml:space="preserve"> ___ is a happy and thriving student who loves school. She is making friends and doing well academically.</t>
    </r>
  </si>
  <si>
    <r>
      <rPr>
        <sz val="11"/>
        <color theme="1"/>
        <rFont val="Calibri"/>
        <charset val="134"/>
      </rPr>
      <t>___ is a well-rounded student who is doing well in all areas. He is a good friend, does his best in school, and loves to learn.</t>
    </r>
  </si>
  <si>
    <r>
      <rPr>
        <sz val="11"/>
        <color theme="1"/>
        <rFont val="Calibri"/>
        <charset val="134"/>
      </rPr>
      <t>__ is a joy to have in class. She is polite, hard-working, and always has a smile on her face.</t>
    </r>
  </si>
  <si>
    <r>
      <rPr>
        <sz val="11"/>
        <color theme="1"/>
        <rFont val="Calibri"/>
        <charset val="134"/>
      </rPr>
      <t>___ is a model student who always puts his best foot forward. He is a role model to others and sets a good example for all to follow</t>
    </r>
  </si>
  <si>
    <r>
      <rPr>
        <sz val="11"/>
        <color theme="1"/>
        <rFont val="Calibri"/>
        <charset val="134"/>
      </rPr>
      <t>He is a good boy but needs to put in extra effort.</t>
    </r>
  </si>
  <si>
    <r>
      <rPr>
        <sz val="11"/>
        <color theme="1"/>
        <rFont val="Calibri"/>
        <charset val="134"/>
      </rPr>
      <t>He is very willing to learn but must avoid distractions.</t>
    </r>
  </si>
  <si>
    <r>
      <rPr>
        <sz val="11"/>
        <color theme="1"/>
        <rFont val="Calibri"/>
        <charset val="134"/>
      </rPr>
      <t>She is a good girl.</t>
    </r>
  </si>
  <si>
    <r>
      <rPr>
        <sz val="11"/>
        <color theme="1"/>
        <rFont val="Calibri"/>
        <charset val="134"/>
      </rPr>
      <t>He is very studious and asks questions in class.</t>
    </r>
  </si>
  <si>
    <r>
      <rPr>
        <sz val="11"/>
        <color theme="1"/>
        <rFont val="Calibri"/>
        <charset val="134"/>
      </rPr>
      <t xml:space="preserve"> she is hardworking but plays a lot.</t>
    </r>
  </si>
  <si>
    <r>
      <rPr>
        <sz val="11"/>
        <color theme="1"/>
        <rFont val="Calibri"/>
        <charset val="134"/>
      </rPr>
      <t>He is an intelligent student</t>
    </r>
  </si>
  <si>
    <r>
      <rPr>
        <sz val="11"/>
        <color theme="1"/>
        <rFont val="Calibri"/>
        <charset val="134"/>
      </rPr>
      <t>She is very attentive in class.</t>
    </r>
  </si>
  <si>
    <r>
      <rPr>
        <sz val="11"/>
        <color theme="1"/>
        <rFont val="Calibri"/>
        <charset val="134"/>
      </rPr>
      <t>She is good and pays attention in class</t>
    </r>
  </si>
  <si>
    <r>
      <rPr>
        <sz val="11"/>
        <color theme="1"/>
        <rFont val="Calibri"/>
        <charset val="134"/>
      </rPr>
      <t>He is improving gradually</t>
    </r>
  </si>
  <si>
    <r>
      <rPr>
        <sz val="11"/>
        <color theme="1"/>
        <rFont val="Calibri"/>
        <charset val="134"/>
      </rPr>
      <t>He is good and pays attention in class</t>
    </r>
  </si>
  <si>
    <r>
      <rPr>
        <sz val="11"/>
        <color theme="1"/>
        <rFont val="Calibri"/>
        <charset val="134"/>
      </rPr>
      <t>She is good and pays attention in the class.</t>
    </r>
  </si>
  <si>
    <r>
      <rPr>
        <sz val="11"/>
        <color theme="1"/>
        <rFont val="Calibri"/>
        <charset val="134"/>
      </rPr>
      <t>There is still room for an improvement</t>
    </r>
  </si>
  <si>
    <r>
      <rPr>
        <sz val="11"/>
        <color theme="1"/>
        <rFont val="Calibri"/>
        <charset val="134"/>
      </rPr>
      <t>What an exceptional child keep it up.</t>
    </r>
  </si>
  <si>
    <r>
      <rPr>
        <sz val="11"/>
        <color theme="1"/>
        <rFont val="Calibri"/>
        <charset val="134"/>
      </rPr>
      <t>He/she has made great improvement in all areas</t>
    </r>
  </si>
  <si>
    <r>
      <rPr>
        <sz val="11"/>
        <color theme="1"/>
        <rFont val="Calibri"/>
        <charset val="134"/>
      </rPr>
      <t>He/she has done an excellent job overall this term</t>
    </r>
  </si>
  <si>
    <r>
      <rPr>
        <sz val="11"/>
        <color theme="1"/>
        <rFont val="Calibri"/>
        <charset val="134"/>
      </rPr>
      <t>He/she is very compassionate and is always kind to others.</t>
    </r>
  </si>
  <si>
    <r>
      <rPr>
        <sz val="11"/>
        <color theme="1"/>
        <rFont val="Calibri"/>
        <charset val="134"/>
      </rPr>
      <t>He/she listens to directions and I appreciate his/her ability to start work right way</t>
    </r>
  </si>
  <si>
    <r>
      <rPr>
        <sz val="11"/>
        <color theme="1"/>
        <rFont val="Calibri"/>
        <charset val="134"/>
      </rPr>
      <t>He/she shows interest and enthusiasm for classroom activities and seems to enjoy learning.</t>
    </r>
  </si>
  <si>
    <r>
      <rPr>
        <sz val="11"/>
        <color theme="1"/>
        <rFont val="Calibri"/>
        <charset val="134"/>
      </rPr>
      <t>He/she has made excellent progress in grades.</t>
    </r>
  </si>
  <si>
    <r>
      <rPr>
        <sz val="11"/>
        <color theme="1"/>
        <rFont val="Calibri"/>
        <charset val="134"/>
      </rPr>
      <t>I am so proud of him/her and wish him/her good grades.</t>
    </r>
  </si>
  <si>
    <r>
      <rPr>
        <sz val="11"/>
        <color theme="1"/>
        <rFont val="Calibri"/>
        <charset val="134"/>
      </rPr>
      <t>He/she has worked very hard this term and I am proud of all his/her accomplishments.</t>
    </r>
  </si>
  <si>
    <r>
      <rPr>
        <sz val="11"/>
        <color theme="1"/>
        <rFont val="Calibri"/>
        <charset val="134"/>
      </rPr>
      <t>He/she is respectful to his/her classmates and is very well liked.</t>
    </r>
  </si>
  <si>
    <r>
      <rPr>
        <sz val="11"/>
        <color theme="1"/>
        <rFont val="Calibri"/>
        <charset val="134"/>
      </rPr>
      <t>He/she has made an outstanding progress in all academic areas</t>
    </r>
  </si>
  <si>
    <t>1st</t>
  </si>
  <si>
    <r>
      <rPr>
        <sz val="11"/>
        <color theme="1"/>
        <rFont val="Calibri"/>
        <charset val="134"/>
        <scheme val="minor"/>
      </rPr>
      <t>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</si>
  <si>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</si>
  <si>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</si>
  <si>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</si>
  <si>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</si>
  <si>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</si>
  <si>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</si>
  <si>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</si>
  <si>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</si>
  <si>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11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</si>
  <si>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12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</si>
  <si>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13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</si>
  <si>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</si>
  <si>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</si>
  <si>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</si>
  <si>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</si>
  <si>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</si>
  <si>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</si>
  <si>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</si>
  <si>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</si>
  <si>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22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</si>
  <si>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23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</si>
  <si>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24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</si>
  <si>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</si>
  <si>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</si>
  <si>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</si>
  <si>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</si>
  <si>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29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</si>
  <si>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</si>
  <si>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</si>
  <si>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32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</si>
  <si>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33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</si>
  <si>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34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</si>
  <si>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</si>
  <si>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</si>
  <si>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</si>
  <si>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</si>
  <si>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39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</si>
  <si>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</si>
  <si>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</si>
  <si>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42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</si>
  <si>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43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</si>
  <si>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44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</si>
  <si>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</si>
  <si>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</si>
  <si>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</si>
  <si>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</si>
  <si>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49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</si>
  <si>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</si>
  <si>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</si>
  <si>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52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</si>
  <si>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53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</si>
  <si>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54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</si>
  <si>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</si>
  <si>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</si>
  <si>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</si>
  <si>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</si>
  <si>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59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</si>
  <si>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</si>
  <si>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</si>
  <si>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62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</si>
  <si>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63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</si>
  <si>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64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</si>
  <si>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</si>
  <si>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</si>
  <si>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</si>
  <si>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</si>
  <si>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69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</si>
  <si>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</si>
  <si>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</si>
  <si>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72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</si>
  <si>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73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</si>
  <si>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74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</si>
  <si>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</si>
  <si>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</si>
  <si>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</si>
  <si>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</si>
  <si>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79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</si>
  <si>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</si>
  <si>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</si>
  <si>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82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</si>
  <si>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83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</si>
  <si>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84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</si>
  <si>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</si>
  <si>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</si>
  <si>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</si>
  <si>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</si>
  <si>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89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</si>
  <si>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90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</si>
  <si>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91</t>
    </r>
    <r>
      <rPr>
        <vertAlign val="superscript"/>
        <sz val="11"/>
        <color theme="1"/>
        <rFont val="Calibri"/>
        <charset val="134"/>
        <scheme val="minor"/>
      </rPr>
      <t>st</t>
    </r>
  </si>
  <si>
    <r>
      <rPr>
        <sz val="11"/>
        <color theme="1"/>
        <rFont val="Calibri"/>
        <charset val="134"/>
        <scheme val="minor"/>
      </rPr>
      <t>92</t>
    </r>
    <r>
      <rPr>
        <vertAlign val="superscript"/>
        <sz val="11"/>
        <color theme="1"/>
        <rFont val="Calibri"/>
        <charset val="134"/>
        <scheme val="minor"/>
      </rPr>
      <t>nd</t>
    </r>
  </si>
  <si>
    <r>
      <rPr>
        <sz val="11"/>
        <color theme="1"/>
        <rFont val="Calibri"/>
        <charset val="134"/>
        <scheme val="minor"/>
      </rPr>
      <t>93</t>
    </r>
    <r>
      <rPr>
        <vertAlign val="superscript"/>
        <sz val="11"/>
        <color theme="1"/>
        <rFont val="Calibri"/>
        <charset val="134"/>
        <scheme val="minor"/>
      </rPr>
      <t>rd</t>
    </r>
  </si>
  <si>
    <r>
      <rPr>
        <sz val="11"/>
        <color theme="1"/>
        <rFont val="Calibri"/>
        <charset val="134"/>
        <scheme val="minor"/>
      </rPr>
      <t>94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</si>
  <si>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95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</si>
  <si>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96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</si>
  <si>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97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</si>
  <si>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98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</si>
  <si>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99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</si>
  <si>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rPr>
        <sz val="11"/>
        <color theme="1"/>
        <rFont val="Calibri"/>
        <charset val="134"/>
        <scheme val="minor"/>
      </rPr>
      <t>100</t>
    </r>
    <r>
      <rPr>
        <vertAlign val="superscript"/>
        <sz val="11"/>
        <color theme="1"/>
        <rFont val="Calibri"/>
        <charset val="134"/>
        <scheme val="minor"/>
      </rPr>
      <t>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</si>
</sst>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.5"/>
      <name val="Arial"/>
      <charset val="134"/>
    </font>
    <font>
      <sz val="11"/>
      <color theme="1"/>
      <name val="Calibri"/>
      <charset val="134"/>
    </font>
    <font>
      <sz val="1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7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7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sz val="18"/>
      <color theme="1"/>
      <name val="Times New Roman"/>
      <charset val="134"/>
    </font>
    <font>
      <b/>
      <sz val="16"/>
      <color rgb="FF000000"/>
      <name val="Calibri"/>
      <charset val="134"/>
    </font>
    <font>
      <sz val="18"/>
      <color rgb="FF000000"/>
      <name val="Calibri"/>
      <charset val="134"/>
    </font>
    <font>
      <sz val="16"/>
      <color rgb="FF000000"/>
      <name val="Calibri"/>
      <charset val="134"/>
    </font>
    <font>
      <b/>
      <sz val="20"/>
      <color theme="1"/>
      <name val="Calibri"/>
      <charset val="134"/>
      <scheme val="minor"/>
    </font>
    <font>
      <b/>
      <sz val="16.5"/>
      <color theme="1"/>
      <name val="Calibri"/>
      <charset val="134"/>
      <scheme val="minor"/>
    </font>
    <font>
      <b/>
      <sz val="16.5"/>
      <color theme="1"/>
      <name val="Times New Roman"/>
      <charset val="134"/>
    </font>
    <font>
      <sz val="16.5"/>
      <color theme="1"/>
      <name val="Calibri"/>
      <charset val="134"/>
      <scheme val="minor"/>
    </font>
    <font>
      <sz val="16.5"/>
      <color theme="1"/>
      <name val="Times New Roman"/>
      <charset val="134"/>
    </font>
    <font>
      <b/>
      <sz val="16"/>
      <color theme="4" tint="-0.249977111117893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Calibri"/>
      <charset val="134"/>
      <scheme val="minor"/>
    </font>
    <font>
      <sz val="9"/>
      <color theme="1"/>
      <name val="Times New Roman"/>
      <charset val="134"/>
    </font>
    <font>
      <sz val="9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b/>
      <sz val="12"/>
      <color theme="1"/>
      <name val="Times New Roman"/>
      <charset val="134"/>
    </font>
    <font>
      <sz val="14"/>
      <color theme="1"/>
      <name val="Calibri"/>
      <charset val="134"/>
    </font>
    <font>
      <sz val="12"/>
      <color theme="1"/>
      <name val="Calibri"/>
      <charset val="134"/>
    </font>
    <font>
      <sz val="14"/>
      <color theme="1"/>
      <name val="Times New Roman"/>
      <charset val="134"/>
    </font>
    <font>
      <b/>
      <sz val="1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Calibri"/>
      <charset val="134"/>
    </font>
    <font>
      <sz val="9"/>
      <color rgb="FF000000"/>
      <name val="Calibri"/>
      <charset val="134"/>
    </font>
    <font>
      <sz val="13"/>
      <color theme="1"/>
      <name val="Times New Roman"/>
      <charset val="134"/>
    </font>
    <font>
      <vertAlign val="superscript"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3" fillId="0" borderId="5" xfId="0" applyFont="1" applyBorder="1"/>
    <xf numFmtId="0" fontId="4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13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7" xfId="0" applyFont="1" applyBorder="1"/>
    <xf numFmtId="0" fontId="13" fillId="0" borderId="11" xfId="0" applyFont="1" applyBorder="1"/>
    <xf numFmtId="0" fontId="15" fillId="0" borderId="10" xfId="0" applyFont="1" applyBorder="1" applyAlignment="1">
      <alignment horizontal="center"/>
    </xf>
    <xf numFmtId="0" fontId="4" fillId="0" borderId="12" xfId="0" applyFont="1" applyBorder="1"/>
    <xf numFmtId="0" fontId="13" fillId="0" borderId="13" xfId="0" applyFont="1" applyBorder="1"/>
    <xf numFmtId="0" fontId="4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4" fillId="0" borderId="15" xfId="0" applyFont="1" applyBorder="1"/>
    <xf numFmtId="0" fontId="17" fillId="3" borderId="17" xfId="0" applyFont="1" applyFill="1" applyBorder="1" applyAlignment="1">
      <alignment horizontal="center"/>
    </xf>
    <xf numFmtId="0" fontId="18" fillId="3" borderId="18" xfId="0" applyFont="1" applyFill="1" applyBorder="1" applyAlignment="1">
      <alignment horizontal="center"/>
    </xf>
    <xf numFmtId="0" fontId="13" fillId="0" borderId="19" xfId="0" applyFont="1" applyBorder="1" applyAlignment="1">
      <alignment horizontal="centerContinuous"/>
    </xf>
    <xf numFmtId="0" fontId="13" fillId="0" borderId="20" xfId="0" applyFont="1" applyBorder="1" applyAlignment="1">
      <alignment horizontal="centerContinuous"/>
    </xf>
    <xf numFmtId="0" fontId="17" fillId="4" borderId="22" xfId="0" applyFont="1" applyFill="1" applyBorder="1" applyAlignment="1">
      <alignment horizontal="center"/>
    </xf>
    <xf numFmtId="0" fontId="18" fillId="4" borderId="23" xfId="0" applyFont="1" applyFill="1" applyBorder="1" applyAlignment="1">
      <alignment horizontal="center"/>
    </xf>
    <xf numFmtId="0" fontId="4" fillId="0" borderId="9" xfId="0" applyFont="1" applyBorder="1"/>
    <xf numFmtId="0" fontId="4" fillId="0" borderId="24" xfId="0" applyFont="1" applyBorder="1" applyAlignment="1">
      <alignment horizontal="center"/>
    </xf>
    <xf numFmtId="0" fontId="4" fillId="0" borderId="25" xfId="0" applyFont="1" applyBorder="1"/>
    <xf numFmtId="0" fontId="4" fillId="0" borderId="0" xfId="0" applyFont="1" applyAlignment="1">
      <alignment horizontal="center"/>
    </xf>
    <xf numFmtId="0" fontId="17" fillId="5" borderId="22" xfId="0" applyFont="1" applyFill="1" applyBorder="1" applyAlignment="1">
      <alignment horizontal="center"/>
    </xf>
    <xf numFmtId="0" fontId="18" fillId="6" borderId="23" xfId="0" applyFont="1" applyFill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0" fontId="17" fillId="2" borderId="22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/>
    </xf>
    <xf numFmtId="0" fontId="4" fillId="0" borderId="13" xfId="0" applyFont="1" applyBorder="1"/>
    <xf numFmtId="0" fontId="4" fillId="0" borderId="26" xfId="0" applyFont="1" applyBorder="1"/>
    <xf numFmtId="0" fontId="17" fillId="2" borderId="28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13" fillId="0" borderId="0" xfId="0" applyFont="1"/>
    <xf numFmtId="0" fontId="19" fillId="0" borderId="0" xfId="0" applyFont="1"/>
    <xf numFmtId="0" fontId="1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5" xfId="0" applyFont="1" applyBorder="1"/>
    <xf numFmtId="0" fontId="22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0" fillId="0" borderId="9" xfId="0" applyFont="1" applyBorder="1"/>
    <xf numFmtId="0" fontId="22" fillId="0" borderId="1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/>
    <xf numFmtId="0" fontId="20" fillId="0" borderId="4" xfId="0" applyFont="1" applyBorder="1" applyAlignment="1">
      <alignment horizontal="center"/>
    </xf>
    <xf numFmtId="0" fontId="20" fillId="0" borderId="4" xfId="0" applyFont="1" applyBorder="1" applyAlignment="1">
      <alignment wrapText="1"/>
    </xf>
    <xf numFmtId="0" fontId="13" fillId="0" borderId="39" xfId="0" applyFont="1" applyBorder="1" applyAlignment="1">
      <alignment horizontal="center" wrapText="1"/>
    </xf>
    <xf numFmtId="0" fontId="14" fillId="0" borderId="40" xfId="0" applyFont="1" applyBorder="1" applyAlignment="1">
      <alignment horizontal="center" wrapText="1"/>
    </xf>
    <xf numFmtId="0" fontId="13" fillId="0" borderId="40" xfId="0" applyFont="1" applyBorder="1" applyAlignment="1">
      <alignment horizontal="center" wrapText="1"/>
    </xf>
    <xf numFmtId="0" fontId="22" fillId="0" borderId="8" xfId="0" applyFont="1" applyBorder="1"/>
    <xf numFmtId="0" fontId="22" fillId="0" borderId="7" xfId="0" applyFont="1" applyBorder="1"/>
    <xf numFmtId="0" fontId="22" fillId="0" borderId="7" xfId="0" applyFont="1" applyBorder="1" applyAlignment="1">
      <alignment horizontal="left"/>
    </xf>
    <xf numFmtId="0" fontId="4" fillId="0" borderId="41" xfId="0" applyFont="1" applyBorder="1" applyAlignment="1">
      <alignment horizontal="center"/>
    </xf>
    <xf numFmtId="0" fontId="20" fillId="0" borderId="13" xfId="0" applyFont="1" applyBorder="1"/>
    <xf numFmtId="0" fontId="26" fillId="0" borderId="0" xfId="0" applyFont="1"/>
    <xf numFmtId="0" fontId="27" fillId="0" borderId="0" xfId="0" applyFont="1"/>
    <xf numFmtId="0" fontId="27" fillId="0" borderId="5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1" fontId="4" fillId="0" borderId="24" xfId="0" applyNumberFormat="1" applyFont="1" applyBorder="1" applyAlignment="1">
      <alignment horizontal="centerContinuous"/>
    </xf>
    <xf numFmtId="1" fontId="4" fillId="0" borderId="43" xfId="0" applyNumberFormat="1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44" xfId="0" applyFont="1" applyBorder="1" applyAlignment="1">
      <alignment horizontal="centerContinuous"/>
    </xf>
    <xf numFmtId="0" fontId="13" fillId="0" borderId="44" xfId="0" applyFont="1" applyBorder="1"/>
    <xf numFmtId="0" fontId="4" fillId="7" borderId="0" xfId="0" applyFont="1" applyFill="1"/>
    <xf numFmtId="0" fontId="4" fillId="0" borderId="0" xfId="0" applyFont="1" applyAlignment="1">
      <alignment wrapText="1"/>
    </xf>
    <xf numFmtId="0" fontId="28" fillId="0" borderId="0" xfId="0" applyFont="1"/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8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26" fillId="0" borderId="45" xfId="0" applyFont="1" applyBorder="1" applyAlignment="1">
      <alignment horizontal="center"/>
    </xf>
    <xf numFmtId="1" fontId="4" fillId="0" borderId="41" xfId="0" applyNumberFormat="1" applyFont="1" applyBorder="1" applyAlignment="1">
      <alignment horizontal="center"/>
    </xf>
    <xf numFmtId="0" fontId="26" fillId="0" borderId="46" xfId="0" applyFont="1" applyBorder="1" applyAlignment="1">
      <alignment horizontal="center"/>
    </xf>
    <xf numFmtId="0" fontId="4" fillId="0" borderId="47" xfId="0" applyFont="1" applyBorder="1"/>
    <xf numFmtId="0" fontId="26" fillId="0" borderId="48" xfId="0" applyFont="1" applyBorder="1" applyAlignment="1">
      <alignment horizontal="center"/>
    </xf>
    <xf numFmtId="0" fontId="4" fillId="0" borderId="48" xfId="0" applyFont="1" applyBorder="1" applyAlignment="1">
      <alignment horizontal="left"/>
    </xf>
    <xf numFmtId="0" fontId="27" fillId="0" borderId="49" xfId="0" applyFont="1" applyBorder="1" applyAlignment="1">
      <alignment horizontal="left"/>
    </xf>
    <xf numFmtId="0" fontId="26" fillId="3" borderId="0" xfId="0" applyFont="1" applyFill="1"/>
    <xf numFmtId="0" fontId="26" fillId="3" borderId="7" xfId="0" applyFont="1" applyFill="1" applyBorder="1"/>
    <xf numFmtId="0" fontId="27" fillId="0" borderId="51" xfId="0" applyFont="1" applyBorder="1" applyAlignment="1">
      <alignment horizontal="left"/>
    </xf>
    <xf numFmtId="0" fontId="26" fillId="4" borderId="51" xfId="0" applyFont="1" applyFill="1" applyBorder="1"/>
    <xf numFmtId="0" fontId="26" fillId="4" borderId="45" xfId="0" applyFont="1" applyFill="1" applyBorder="1"/>
    <xf numFmtId="0" fontId="26" fillId="8" borderId="24" xfId="0" applyFont="1" applyFill="1" applyBorder="1"/>
    <xf numFmtId="0" fontId="26" fillId="8" borderId="45" xfId="0" applyFont="1" applyFill="1" applyBorder="1"/>
    <xf numFmtId="0" fontId="26" fillId="2" borderId="24" xfId="0" applyFont="1" applyFill="1" applyBorder="1"/>
    <xf numFmtId="0" fontId="26" fillId="2" borderId="45" xfId="0" applyFont="1" applyFill="1" applyBorder="1"/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0" xfId="0" applyNumberForma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9" fillId="0" borderId="52" xfId="0" applyFont="1" applyBorder="1" applyAlignment="1">
      <alignment wrapText="1"/>
    </xf>
    <xf numFmtId="0" fontId="29" fillId="0" borderId="53" xfId="0" applyFont="1" applyBorder="1" applyAlignment="1">
      <alignment wrapText="1"/>
    </xf>
    <xf numFmtId="0" fontId="31" fillId="0" borderId="57" xfId="0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36" fillId="0" borderId="53" xfId="0" applyFont="1" applyBorder="1" applyAlignment="1">
      <alignment horizontal="center" wrapText="1"/>
    </xf>
    <xf numFmtId="0" fontId="31" fillId="0" borderId="1" xfId="0" applyFont="1" applyBorder="1" applyAlignment="1">
      <alignment horizontal="center" textRotation="90" wrapText="1"/>
    </xf>
    <xf numFmtId="0" fontId="31" fillId="0" borderId="2" xfId="0" applyFont="1" applyBorder="1" applyAlignment="1">
      <alignment horizontal="center" textRotation="90" wrapText="1"/>
    </xf>
    <xf numFmtId="0" fontId="36" fillId="0" borderId="60" xfId="0" applyFont="1" applyBorder="1" applyAlignment="1">
      <alignment horizontal="center" wrapText="1"/>
    </xf>
    <xf numFmtId="0" fontId="36" fillId="0" borderId="25" xfId="0" applyFont="1" applyBorder="1" applyAlignment="1">
      <alignment horizontal="center" wrapText="1"/>
    </xf>
    <xf numFmtId="0" fontId="0" fillId="0" borderId="61" xfId="0" applyBorder="1" applyAlignment="1">
      <alignment horizontal="center"/>
    </xf>
    <xf numFmtId="0" fontId="37" fillId="0" borderId="10" xfId="0" applyFont="1" applyBorder="1" applyAlignment="1">
      <alignment wrapText="1" readingOrder="1"/>
    </xf>
    <xf numFmtId="0" fontId="12" fillId="0" borderId="62" xfId="0" applyFont="1" applyBorder="1"/>
    <xf numFmtId="0" fontId="30" fillId="0" borderId="10" xfId="0" applyFont="1" applyBorder="1" applyAlignment="1">
      <alignment vertical="center" wrapText="1" readingOrder="1"/>
    </xf>
    <xf numFmtId="0" fontId="33" fillId="0" borderId="6" xfId="0" applyFont="1" applyBorder="1" applyAlignment="1">
      <alignment horizontal="center"/>
    </xf>
    <xf numFmtId="0" fontId="30" fillId="0" borderId="10" xfId="0" applyFont="1" applyBorder="1" applyAlignment="1">
      <alignment wrapText="1" readingOrder="1"/>
    </xf>
    <xf numFmtId="0" fontId="33" fillId="0" borderId="10" xfId="0" applyFont="1" applyBorder="1" applyAlignment="1">
      <alignment horizontal="center"/>
    </xf>
    <xf numFmtId="0" fontId="3" fillId="0" borderId="10" xfId="0" applyFont="1" applyBorder="1" applyAlignment="1">
      <alignment wrapText="1" readingOrder="1"/>
    </xf>
    <xf numFmtId="0" fontId="3" fillId="0" borderId="10" xfId="0" applyFont="1" applyBorder="1" applyAlignment="1">
      <alignment vertical="center" wrapText="1" readingOrder="1"/>
    </xf>
    <xf numFmtId="0" fontId="29" fillId="0" borderId="0" xfId="0" applyFont="1" applyAlignment="1">
      <alignment horizontal="center"/>
    </xf>
    <xf numFmtId="0" fontId="33" fillId="0" borderId="49" xfId="0" applyFont="1" applyBorder="1" applyAlignment="1">
      <alignment horizontal="center"/>
    </xf>
    <xf numFmtId="0" fontId="30" fillId="0" borderId="10" xfId="0" applyFont="1" applyBorder="1" applyAlignment="1">
      <alignment horizontal="right" wrapText="1" readingOrder="1"/>
    </xf>
    <xf numFmtId="0" fontId="38" fillId="0" borderId="10" xfId="0" applyFont="1" applyBorder="1" applyAlignment="1">
      <alignment wrapText="1" readingOrder="1"/>
    </xf>
    <xf numFmtId="0" fontId="38" fillId="0" borderId="10" xfId="0" applyFont="1" applyBorder="1" applyAlignment="1">
      <alignment horizontal="right" wrapText="1" readingOrder="1"/>
    </xf>
    <xf numFmtId="0" fontId="30" fillId="0" borderId="10" xfId="0" applyFont="1" applyBorder="1" applyAlignment="1">
      <alignment horizontal="center" wrapText="1" readingOrder="1"/>
    </xf>
    <xf numFmtId="0" fontId="33" fillId="0" borderId="65" xfId="0" applyFont="1" applyBorder="1" applyAlignment="1">
      <alignment horizontal="center"/>
    </xf>
    <xf numFmtId="0" fontId="33" fillId="0" borderId="51" xfId="0" applyFont="1" applyBorder="1" applyAlignment="1">
      <alignment horizontal="center"/>
    </xf>
    <xf numFmtId="0" fontId="39" fillId="0" borderId="10" xfId="0" applyFont="1" applyBorder="1" applyAlignment="1">
      <alignment horizontal="right" wrapText="1" readingOrder="1"/>
    </xf>
    <xf numFmtId="0" fontId="3" fillId="0" borderId="10" xfId="0" applyFont="1" applyBorder="1" applyAlignment="1">
      <alignment horizontal="right" wrapText="1" readingOrder="1"/>
    </xf>
    <xf numFmtId="0" fontId="39" fillId="0" borderId="10" xfId="0" applyFont="1" applyBorder="1" applyAlignment="1">
      <alignment horizontal="center" wrapText="1" readingOrder="1"/>
    </xf>
    <xf numFmtId="1" fontId="33" fillId="0" borderId="6" xfId="0" applyNumberFormat="1" applyFont="1" applyBorder="1" applyAlignment="1">
      <alignment horizontal="center"/>
    </xf>
    <xf numFmtId="0" fontId="36" fillId="0" borderId="0" xfId="0" applyFont="1" applyAlignment="1">
      <alignment horizontal="left"/>
    </xf>
    <xf numFmtId="0" fontId="40" fillId="9" borderId="62" xfId="0" applyFont="1" applyFill="1" applyBorder="1" applyAlignment="1">
      <alignment wrapText="1"/>
    </xf>
    <xf numFmtId="0" fontId="40" fillId="9" borderId="65" xfId="0" applyFont="1" applyFill="1" applyBorder="1" applyAlignment="1">
      <alignment wrapText="1"/>
    </xf>
    <xf numFmtId="0" fontId="31" fillId="0" borderId="44" xfId="0" applyFont="1" applyBorder="1" applyAlignment="1">
      <alignment wrapText="1"/>
    </xf>
    <xf numFmtId="0" fontId="31" fillId="0" borderId="66" xfId="0" applyFont="1" applyBorder="1" applyAlignment="1">
      <alignment horizontal="center" textRotation="90" wrapText="1"/>
    </xf>
    <xf numFmtId="0" fontId="31" fillId="0" borderId="4" xfId="0" applyFont="1" applyBorder="1" applyAlignment="1">
      <alignment horizontal="center" textRotation="90" wrapText="1"/>
    </xf>
    <xf numFmtId="0" fontId="31" fillId="0" borderId="67" xfId="0" applyFont="1" applyBorder="1" applyAlignment="1">
      <alignment horizontal="center" textRotation="90" wrapText="1"/>
    </xf>
    <xf numFmtId="0" fontId="33" fillId="0" borderId="7" xfId="0" applyFont="1" applyBorder="1" applyAlignment="1">
      <alignment horizontal="center"/>
    </xf>
    <xf numFmtId="0" fontId="33" fillId="0" borderId="45" xfId="0" applyFont="1" applyBorder="1" applyAlignment="1">
      <alignment horizontal="center"/>
    </xf>
    <xf numFmtId="0" fontId="31" fillId="0" borderId="40" xfId="0" applyFont="1" applyBorder="1" applyAlignment="1">
      <alignment horizontal="center" textRotation="90" wrapText="1"/>
    </xf>
    <xf numFmtId="0" fontId="30" fillId="0" borderId="22" xfId="0" applyFont="1" applyBorder="1" applyAlignment="1">
      <alignment horizontal="left" vertical="center" wrapText="1"/>
    </xf>
    <xf numFmtId="0" fontId="30" fillId="0" borderId="22" xfId="0" applyFont="1" applyBorder="1" applyAlignment="1">
      <alignment horizontal="left" wrapText="1"/>
    </xf>
    <xf numFmtId="0" fontId="41" fillId="0" borderId="22" xfId="0" applyFont="1" applyBorder="1"/>
    <xf numFmtId="0" fontId="39" fillId="0" borderId="22" xfId="0" applyFont="1" applyBorder="1" applyAlignment="1">
      <alignment horizontal="center"/>
    </xf>
    <xf numFmtId="0" fontId="3" fillId="0" borderId="22" xfId="0" applyFont="1" applyBorder="1"/>
    <xf numFmtId="0" fontId="41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31" fillId="0" borderId="6" xfId="0" applyFont="1" applyBorder="1" applyAlignment="1">
      <alignment horizontal="center" textRotation="90" wrapText="1"/>
    </xf>
    <xf numFmtId="0" fontId="31" fillId="0" borderId="10" xfId="0" applyFont="1" applyBorder="1" applyAlignment="1">
      <alignment horizontal="center" textRotation="90" wrapText="1"/>
    </xf>
    <xf numFmtId="0" fontId="12" fillId="0" borderId="6" xfId="0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29" fillId="0" borderId="0" xfId="0" applyNumberFormat="1" applyFont="1"/>
    <xf numFmtId="1" fontId="31" fillId="0" borderId="40" xfId="0" applyNumberFormat="1" applyFont="1" applyBorder="1" applyAlignment="1">
      <alignment horizontal="center" textRotation="90" wrapText="1"/>
    </xf>
    <xf numFmtId="1" fontId="33" fillId="0" borderId="0" xfId="0" applyNumberFormat="1" applyFont="1" applyAlignment="1">
      <alignment horizontal="center"/>
    </xf>
    <xf numFmtId="1" fontId="33" fillId="0" borderId="5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33" fillId="0" borderId="9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33" fillId="0" borderId="10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" fontId="42" fillId="0" borderId="6" xfId="0" applyNumberFormat="1" applyFont="1" applyBorder="1" applyAlignment="1">
      <alignment horizontal="center"/>
    </xf>
    <xf numFmtId="1" fontId="42" fillId="0" borderId="10" xfId="0" applyNumberFormat="1" applyFont="1" applyBorder="1" applyAlignment="1">
      <alignment horizontal="center"/>
    </xf>
    <xf numFmtId="0" fontId="0" fillId="0" borderId="6" xfId="0" applyBorder="1"/>
    <xf numFmtId="0" fontId="0" fillId="0" borderId="10" xfId="0" applyBorder="1"/>
    <xf numFmtId="1" fontId="43" fillId="0" borderId="6" xfId="0" applyNumberFormat="1" applyFont="1" applyBorder="1" applyAlignment="1">
      <alignment horizontal="center"/>
    </xf>
    <xf numFmtId="1" fontId="43" fillId="0" borderId="10" xfId="0" applyNumberFormat="1" applyFont="1" applyBorder="1" applyAlignment="1">
      <alignment horizontal="center"/>
    </xf>
    <xf numFmtId="0" fontId="31" fillId="9" borderId="54" xfId="0" applyFont="1" applyFill="1" applyBorder="1" applyAlignment="1">
      <alignment wrapText="1"/>
    </xf>
    <xf numFmtId="0" fontId="31" fillId="9" borderId="63" xfId="0" applyFont="1" applyFill="1" applyBorder="1" applyAlignment="1">
      <alignment wrapText="1"/>
    </xf>
    <xf numFmtId="0" fontId="31" fillId="9" borderId="51" xfId="0" applyFont="1" applyFill="1" applyBorder="1" applyAlignment="1">
      <alignment wrapText="1"/>
    </xf>
    <xf numFmtId="0" fontId="31" fillId="0" borderId="10" xfId="0" applyFont="1" applyBorder="1" applyAlignment="1">
      <alignment wrapText="1"/>
    </xf>
    <xf numFmtId="0" fontId="31" fillId="0" borderId="6" xfId="0" applyFont="1" applyBorder="1" applyAlignment="1">
      <alignment horizontal="center" wrapText="1"/>
    </xf>
    <xf numFmtId="0" fontId="31" fillId="0" borderId="10" xfId="0" applyFont="1" applyBorder="1" applyAlignment="1">
      <alignment horizontal="center" wrapText="1"/>
    </xf>
    <xf numFmtId="2" fontId="33" fillId="0" borderId="6" xfId="0" applyNumberFormat="1" applyFont="1" applyBorder="1" applyAlignment="1">
      <alignment horizontal="center"/>
    </xf>
    <xf numFmtId="0" fontId="33" fillId="0" borderId="41" xfId="0" applyFont="1" applyBorder="1" applyAlignment="1">
      <alignment horizontal="center"/>
    </xf>
    <xf numFmtId="0" fontId="33" fillId="0" borderId="71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44" fillId="0" borderId="22" xfId="0" applyFont="1" applyBorder="1" applyAlignment="1">
      <alignment wrapText="1"/>
    </xf>
    <xf numFmtId="0" fontId="0" fillId="0" borderId="50" xfId="0" applyBorder="1" applyAlignment="1">
      <alignment wrapText="1"/>
    </xf>
    <xf numFmtId="0" fontId="33" fillId="0" borderId="58" xfId="0" applyFont="1" applyBorder="1" applyAlignment="1">
      <alignment horizontal="center"/>
    </xf>
    <xf numFmtId="0" fontId="33" fillId="0" borderId="50" xfId="0" applyFont="1" applyBorder="1" applyAlignment="1">
      <alignment horizontal="center"/>
    </xf>
    <xf numFmtId="0" fontId="33" fillId="0" borderId="72" xfId="0" applyFont="1" applyBorder="1" applyAlignment="1">
      <alignment horizontal="center"/>
    </xf>
    <xf numFmtId="1" fontId="33" fillId="0" borderId="71" xfId="0" applyNumberFormat="1" applyFont="1" applyBorder="1" applyAlignment="1">
      <alignment horizontal="center"/>
    </xf>
    <xf numFmtId="0" fontId="33" fillId="0" borderId="46" xfId="0" applyFont="1" applyBorder="1" applyAlignment="1">
      <alignment horizontal="center"/>
    </xf>
    <xf numFmtId="0" fontId="3" fillId="0" borderId="22" xfId="0" applyFont="1" applyBorder="1" applyAlignment="1">
      <alignment wrapText="1"/>
    </xf>
    <xf numFmtId="0" fontId="44" fillId="0" borderId="22" xfId="0" applyFont="1" applyBorder="1" applyAlignment="1">
      <alignment horizontal="center"/>
    </xf>
    <xf numFmtId="0" fontId="12" fillId="0" borderId="71" xfId="0" applyFont="1" applyBorder="1" applyAlignment="1">
      <alignment horizontal="center"/>
    </xf>
    <xf numFmtId="1" fontId="12" fillId="0" borderId="71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" fontId="33" fillId="0" borderId="11" xfId="0" applyNumberFormat="1" applyFont="1" applyBorder="1" applyAlignment="1">
      <alignment horizontal="center"/>
    </xf>
    <xf numFmtId="1" fontId="33" fillId="0" borderId="41" xfId="0" applyNumberFormat="1" applyFont="1" applyBorder="1" applyAlignment="1">
      <alignment horizontal="center"/>
    </xf>
    <xf numFmtId="1" fontId="0" fillId="0" borderId="71" xfId="0" applyNumberFormat="1" applyBorder="1" applyAlignment="1">
      <alignment horizontal="center"/>
    </xf>
    <xf numFmtId="0" fontId="35" fillId="0" borderId="0" xfId="0" applyFont="1" applyAlignment="1">
      <alignment horizontal="center"/>
    </xf>
    <xf numFmtId="0" fontId="29" fillId="0" borderId="54" xfId="0" applyFont="1" applyBorder="1" applyAlignment="1">
      <alignment horizontal="center"/>
    </xf>
    <xf numFmtId="0" fontId="29" fillId="0" borderId="6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36" fillId="0" borderId="52" xfId="0" applyFont="1" applyBorder="1" applyAlignment="1">
      <alignment horizontal="left"/>
    </xf>
    <xf numFmtId="0" fontId="36" fillId="0" borderId="54" xfId="0" applyFont="1" applyBorder="1" applyAlignment="1">
      <alignment horizontal="left"/>
    </xf>
    <xf numFmtId="0" fontId="36" fillId="0" borderId="63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6" fillId="0" borderId="2" xfId="0" applyFont="1" applyBorder="1" applyAlignment="1">
      <alignment horizontal="left"/>
    </xf>
    <xf numFmtId="0" fontId="36" fillId="0" borderId="70" xfId="0" applyFont="1" applyBorder="1" applyAlignment="1">
      <alignment horizontal="left"/>
    </xf>
    <xf numFmtId="1" fontId="36" fillId="0" borderId="2" xfId="0" applyNumberFormat="1" applyFont="1" applyBorder="1" applyAlignment="1">
      <alignment horizontal="left"/>
    </xf>
    <xf numFmtId="0" fontId="36" fillId="0" borderId="2" xfId="0" applyFont="1" applyBorder="1" applyAlignment="1">
      <alignment horizontal="center"/>
    </xf>
    <xf numFmtId="0" fontId="31" fillId="0" borderId="58" xfId="0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31" fillId="0" borderId="64" xfId="0" applyFont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0" fontId="31" fillId="0" borderId="52" xfId="0" applyFont="1" applyBorder="1" applyAlignment="1">
      <alignment horizontal="center" wrapText="1"/>
    </xf>
    <xf numFmtId="0" fontId="31" fillId="0" borderId="54" xfId="0" applyFont="1" applyBorder="1" applyAlignment="1">
      <alignment horizontal="center" wrapText="1"/>
    </xf>
    <xf numFmtId="0" fontId="31" fillId="0" borderId="63" xfId="0" applyFont="1" applyBorder="1" applyAlignment="1">
      <alignment horizontal="center" wrapText="1"/>
    </xf>
    <xf numFmtId="0" fontId="31" fillId="0" borderId="19" xfId="0" applyFont="1" applyBorder="1" applyAlignment="1">
      <alignment horizontal="center" wrapText="1"/>
    </xf>
    <xf numFmtId="0" fontId="31" fillId="0" borderId="20" xfId="0" applyFont="1" applyBorder="1" applyAlignment="1">
      <alignment horizontal="center" wrapText="1"/>
    </xf>
    <xf numFmtId="0" fontId="31" fillId="0" borderId="68" xfId="0" applyFont="1" applyBorder="1" applyAlignment="1">
      <alignment horizontal="center" wrapText="1"/>
    </xf>
    <xf numFmtId="0" fontId="31" fillId="0" borderId="69" xfId="0" applyFont="1" applyBorder="1" applyAlignment="1">
      <alignment horizontal="center" wrapText="1"/>
    </xf>
    <xf numFmtId="0" fontId="36" fillId="0" borderId="44" xfId="0" applyFont="1" applyBorder="1" applyAlignment="1">
      <alignment horizontal="center"/>
    </xf>
    <xf numFmtId="0" fontId="31" fillId="0" borderId="44" xfId="0" applyFont="1" applyBorder="1" applyAlignment="1">
      <alignment horizontal="center" wrapText="1"/>
    </xf>
    <xf numFmtId="0" fontId="36" fillId="0" borderId="12" xfId="0" applyFont="1" applyBorder="1" applyAlignment="1">
      <alignment horizontal="center"/>
    </xf>
    <xf numFmtId="0" fontId="36" fillId="0" borderId="55" xfId="0" applyFont="1" applyBorder="1" applyAlignment="1">
      <alignment horizontal="center" wrapText="1"/>
    </xf>
    <xf numFmtId="0" fontId="31" fillId="0" borderId="56" xfId="0" applyFont="1" applyBorder="1" applyAlignment="1">
      <alignment horizontal="center" wrapText="1"/>
    </xf>
    <xf numFmtId="0" fontId="36" fillId="0" borderId="59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6" fillId="0" borderId="16" xfId="0" applyFont="1" applyBorder="1" applyAlignment="1">
      <alignment horizontal="left"/>
    </xf>
    <xf numFmtId="0" fontId="16" fillId="0" borderId="30" xfId="0" applyFont="1" applyBorder="1" applyAlignment="1">
      <alignment wrapText="1"/>
    </xf>
    <xf numFmtId="0" fontId="16" fillId="0" borderId="31" xfId="0" applyFont="1" applyBorder="1"/>
    <xf numFmtId="0" fontId="16" fillId="0" borderId="32" xfId="0" applyFont="1" applyBorder="1"/>
    <xf numFmtId="0" fontId="16" fillId="0" borderId="21" xfId="0" applyFont="1" applyBorder="1" applyAlignment="1">
      <alignment horizontal="left"/>
    </xf>
    <xf numFmtId="0" fontId="17" fillId="0" borderId="33" xfId="0" applyFont="1" applyBorder="1" applyAlignment="1">
      <alignment wrapText="1"/>
    </xf>
    <xf numFmtId="0" fontId="17" fillId="0" borderId="34" xfId="0" applyFont="1" applyBorder="1"/>
    <xf numFmtId="0" fontId="17" fillId="0" borderId="35" xfId="0" applyFont="1" applyBorder="1"/>
    <xf numFmtId="0" fontId="16" fillId="0" borderId="33" xfId="0" applyFont="1" applyBorder="1" applyAlignment="1">
      <alignment wrapText="1"/>
    </xf>
    <xf numFmtId="0" fontId="16" fillId="0" borderId="34" xfId="0" applyFont="1" applyBorder="1"/>
    <xf numFmtId="0" fontId="16" fillId="0" borderId="35" xfId="0" applyFont="1" applyBorder="1"/>
    <xf numFmtId="0" fontId="27" fillId="0" borderId="1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42" xfId="0" applyFont="1" applyBorder="1" applyAlignment="1">
      <alignment horizontal="center"/>
    </xf>
    <xf numFmtId="0" fontId="27" fillId="0" borderId="9" xfId="0" applyFont="1" applyBorder="1" applyAlignment="1">
      <alignment horizontal="left"/>
    </xf>
    <xf numFmtId="0" fontId="27" fillId="0" borderId="10" xfId="0" applyFont="1" applyBorder="1" applyAlignment="1">
      <alignment horizontal="left"/>
    </xf>
    <xf numFmtId="0" fontId="27" fillId="0" borderId="50" xfId="0" applyFont="1" applyBorder="1" applyAlignment="1">
      <alignment horizontal="left"/>
    </xf>
    <xf numFmtId="0" fontId="16" fillId="0" borderId="27" xfId="0" applyFont="1" applyBorder="1" applyAlignment="1">
      <alignment horizontal="left"/>
    </xf>
    <xf numFmtId="0" fontId="16" fillId="0" borderId="36" xfId="0" applyFont="1" applyBorder="1" applyAlignment="1">
      <alignment wrapText="1"/>
    </xf>
    <xf numFmtId="0" fontId="16" fillId="0" borderId="37" xfId="0" applyFont="1" applyBorder="1"/>
    <xf numFmtId="0" fontId="16" fillId="0" borderId="38" xfId="0" applyFont="1" applyBorder="1"/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wrapText="1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2" borderId="0" xfId="0" applyFont="1" applyFill="1" applyAlignment="1">
      <alignment horizontal="left"/>
    </xf>
  </cellXfs>
  <cellStyles count="1">
    <cellStyle name="Normal" xfId="0" builtinId="0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4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30" formatCode="@"/>
      <fill>
        <patternFill patternType="solid">
          <bgColor theme="4" tint="0.39985351115451523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numFmt numFmtId="30" formatCode="@"/>
      <fill>
        <patternFill patternType="solid">
          <bgColor theme="4" tint="0.3998535111545152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FFC01636"/>
      <color rgb="FFF433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1322070</xdr:colOff>
      <xdr:row>3</xdr:row>
      <xdr:rowOff>202565</xdr:rowOff>
    </xdr:to>
    <xdr:pic>
      <xdr:nvPicPr>
        <xdr:cNvPr id="7" name="Picture 6" descr="download__1_-removebg-preview (1)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312545" cy="133604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9525</xdr:rowOff>
    </xdr:from>
    <xdr:to>
      <xdr:col>8</xdr:col>
      <xdr:colOff>1192530</xdr:colOff>
      <xdr:row>3</xdr:row>
      <xdr:rowOff>74295</xdr:rowOff>
    </xdr:to>
    <xdr:pic>
      <xdr:nvPicPr>
        <xdr:cNvPr id="8" name="Picture 7" descr="download__1_-removebg-preview (1)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8255" y="9525"/>
          <a:ext cx="1192530" cy="120777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</xdr:colOff>
      <xdr:row>0</xdr:row>
      <xdr:rowOff>635</xdr:rowOff>
    </xdr:from>
    <xdr:to>
      <xdr:col>18</xdr:col>
      <xdr:colOff>1456690</xdr:colOff>
      <xdr:row>3</xdr:row>
      <xdr:rowOff>316865</xdr:rowOff>
    </xdr:to>
    <xdr:pic>
      <xdr:nvPicPr>
        <xdr:cNvPr id="9" name="Picture 8" descr="download__1_-removebg-preview (1)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82085" y="635"/>
          <a:ext cx="1433830" cy="1459230"/>
        </a:xfrm>
        <a:prstGeom prst="rect">
          <a:avLst/>
        </a:prstGeom>
      </xdr:spPr>
    </xdr:pic>
    <xdr:clientData/>
  </xdr:twoCellAnchor>
  <xdr:twoCellAnchor editAs="oneCell">
    <xdr:from>
      <xdr:col>6</xdr:col>
      <xdr:colOff>810260</xdr:colOff>
      <xdr:row>0</xdr:row>
      <xdr:rowOff>75565</xdr:rowOff>
    </xdr:from>
    <xdr:to>
      <xdr:col>8</xdr:col>
      <xdr:colOff>132080</xdr:colOff>
      <xdr:row>4</xdr:row>
      <xdr:rowOff>16510</xdr:rowOff>
    </xdr:to>
    <xdr:pic>
      <xdr:nvPicPr>
        <xdr:cNvPr id="2" name="Picture 1" descr="images-removebg-preview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0795" y="75565"/>
          <a:ext cx="1399540" cy="1417320"/>
        </a:xfrm>
        <a:prstGeom prst="rect">
          <a:avLst/>
        </a:prstGeom>
      </xdr:spPr>
    </xdr:pic>
    <xdr:clientData/>
  </xdr:twoCellAnchor>
  <xdr:twoCellAnchor editAs="oneCell">
    <xdr:from>
      <xdr:col>16</xdr:col>
      <xdr:colOff>495935</xdr:colOff>
      <xdr:row>0</xdr:row>
      <xdr:rowOff>72390</xdr:rowOff>
    </xdr:from>
    <xdr:to>
      <xdr:col>17</xdr:col>
      <xdr:colOff>662940</xdr:colOff>
      <xdr:row>4</xdr:row>
      <xdr:rowOff>13335</xdr:rowOff>
    </xdr:to>
    <xdr:pic>
      <xdr:nvPicPr>
        <xdr:cNvPr id="3" name="Picture 2" descr="images-removebg-preview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51710" y="72390"/>
          <a:ext cx="1399540" cy="1417320"/>
        </a:xfrm>
        <a:prstGeom prst="rect">
          <a:avLst/>
        </a:prstGeom>
      </xdr:spPr>
    </xdr:pic>
    <xdr:clientData/>
  </xdr:twoCellAnchor>
  <xdr:twoCellAnchor editAs="oneCell">
    <xdr:from>
      <xdr:col>27</xdr:col>
      <xdr:colOff>1012825</xdr:colOff>
      <xdr:row>0</xdr:row>
      <xdr:rowOff>85725</xdr:rowOff>
    </xdr:from>
    <xdr:to>
      <xdr:col>29</xdr:col>
      <xdr:colOff>179705</xdr:colOff>
      <xdr:row>4</xdr:row>
      <xdr:rowOff>26670</xdr:rowOff>
    </xdr:to>
    <xdr:pic>
      <xdr:nvPicPr>
        <xdr:cNvPr id="4" name="Picture 3" descr="images-removebg-preview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91795" y="85725"/>
          <a:ext cx="1399540" cy="1417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B110"/>
  <sheetViews>
    <sheetView topLeftCell="A83" zoomScale="57" zoomScaleNormal="57" workbookViewId="0">
      <pane xSplit="2" topLeftCell="C1" activePane="topRight" state="frozen"/>
      <selection pane="topRight" activeCell="B110" sqref="B110"/>
    </sheetView>
  </sheetViews>
  <sheetFormatPr defaultColWidth="9" defaultRowHeight="15"/>
  <cols>
    <col min="1" max="1" width="6.5703125" customWidth="1"/>
    <col min="2" max="2" width="49.85546875" style="3" customWidth="1"/>
    <col min="3" max="3" width="11.140625" style="3" customWidth="1"/>
    <col min="4" max="8" width="3.5703125" style="119" customWidth="1"/>
    <col min="9" max="9" width="4.42578125" style="119" hidden="1" customWidth="1"/>
    <col min="10" max="14" width="3.5703125" style="119" customWidth="1"/>
    <col min="15" max="15" width="4.42578125" style="119" hidden="1" customWidth="1"/>
    <col min="16" max="20" width="3.5703125" style="119" customWidth="1"/>
    <col min="21" max="21" width="4.42578125" style="119" hidden="1" customWidth="1"/>
    <col min="22" max="26" width="3.5703125" style="119" customWidth="1"/>
    <col min="27" max="27" width="4.42578125" style="119" hidden="1" customWidth="1"/>
    <col min="28" max="30" width="3.5703125" style="119" customWidth="1"/>
    <col min="31" max="32" width="3.5703125" style="120" customWidth="1"/>
    <col min="33" max="33" width="4.42578125" style="120" hidden="1" customWidth="1"/>
    <col min="34" max="38" width="3.5703125" style="120" customWidth="1"/>
    <col min="39" max="39" width="4.42578125" style="120" hidden="1" customWidth="1"/>
    <col min="40" max="44" width="3.28515625" style="120" customWidth="1"/>
    <col min="45" max="45" width="4.42578125" style="120" hidden="1" customWidth="1"/>
    <col min="46" max="47" width="3.28515625" style="120" customWidth="1"/>
    <col min="48" max="50" width="3.28515625" customWidth="1"/>
    <col min="51" max="51" width="4.42578125" hidden="1" customWidth="1"/>
    <col min="52" max="53" width="3.7109375" customWidth="1"/>
    <col min="54" max="56" width="3.28515625" customWidth="1"/>
    <col min="57" max="57" width="4.42578125" hidden="1" customWidth="1"/>
    <col min="58" max="62" width="3.28515625" customWidth="1"/>
    <col min="63" max="63" width="4.42578125" hidden="1" customWidth="1"/>
    <col min="64" max="65" width="4.28515625" customWidth="1"/>
    <col min="66" max="68" width="3.28515625" customWidth="1"/>
    <col min="69" max="69" width="4.42578125" hidden="1" customWidth="1"/>
    <col min="70" max="71" width="4.28515625" customWidth="1"/>
    <col min="72" max="74" width="3.28515625" customWidth="1"/>
    <col min="75" max="75" width="4.42578125" hidden="1" customWidth="1"/>
    <col min="76" max="77" width="4" customWidth="1"/>
    <col min="78" max="80" width="3.28515625" customWidth="1"/>
    <col min="81" max="81" width="4.42578125" hidden="1" customWidth="1"/>
    <col min="82" max="92" width="4.42578125" customWidth="1"/>
    <col min="93" max="93" width="4.42578125" hidden="1" customWidth="1"/>
    <col min="94" max="98" width="4.42578125" customWidth="1"/>
    <col min="99" max="111" width="4.42578125" hidden="1" customWidth="1"/>
    <col min="112" max="119" width="4.42578125" customWidth="1"/>
    <col min="120" max="120" width="4.42578125" hidden="1" customWidth="1"/>
    <col min="121" max="127" width="4.42578125" customWidth="1"/>
    <col min="128" max="128" width="4.42578125" hidden="1" customWidth="1"/>
    <col min="129" max="135" width="4.42578125" customWidth="1"/>
    <col min="136" max="136" width="4.42578125" hidden="1" customWidth="1"/>
    <col min="137" max="143" width="4.42578125" customWidth="1"/>
    <col min="144" max="144" width="4.42578125" hidden="1" customWidth="1"/>
    <col min="145" max="151" width="4.42578125" customWidth="1"/>
    <col min="152" max="152" width="4.42578125" hidden="1" customWidth="1"/>
    <col min="153" max="159" width="4.42578125" customWidth="1"/>
    <col min="160" max="160" width="4.42578125" hidden="1" customWidth="1"/>
    <col min="161" max="167" width="4.42578125" customWidth="1"/>
    <col min="168" max="168" width="4.42578125" hidden="1" customWidth="1"/>
    <col min="169" max="175" width="4.42578125" customWidth="1"/>
    <col min="176" max="176" width="4.42578125" hidden="1" customWidth="1"/>
    <col min="177" max="183" width="4.42578125" customWidth="1"/>
    <col min="184" max="184" width="4.42578125" hidden="1" customWidth="1"/>
    <col min="185" max="191" width="4.42578125" customWidth="1"/>
    <col min="192" max="192" width="4.42578125" hidden="1" customWidth="1"/>
    <col min="193" max="199" width="4.42578125" customWidth="1"/>
    <col min="200" max="200" width="4.42578125" hidden="1" customWidth="1"/>
    <col min="201" max="207" width="4.42578125" customWidth="1"/>
    <col min="208" max="208" width="4.42578125" hidden="1" customWidth="1"/>
    <col min="209" max="215" width="4.42578125" customWidth="1"/>
    <col min="216" max="216" width="4.42578125" hidden="1" customWidth="1"/>
    <col min="217" max="223" width="4.42578125" customWidth="1"/>
    <col min="224" max="224" width="4.42578125" hidden="1" customWidth="1"/>
    <col min="225" max="231" width="4.42578125" customWidth="1"/>
    <col min="232" max="232" width="4.42578125" hidden="1" customWidth="1"/>
    <col min="233" max="239" width="4.42578125" customWidth="1"/>
    <col min="240" max="240" width="4.42578125" hidden="1" customWidth="1"/>
    <col min="241" max="247" width="4.42578125" customWidth="1"/>
    <col min="248" max="256" width="4.42578125" hidden="1" customWidth="1"/>
    <col min="257" max="263" width="4.42578125" customWidth="1"/>
    <col min="264" max="265" width="4.42578125" style="118" customWidth="1"/>
    <col min="266" max="266" width="4.42578125" style="118" hidden="1" customWidth="1"/>
    <col min="267" max="272" width="4.42578125" customWidth="1"/>
    <col min="273" max="274" width="4.42578125" style="118" customWidth="1"/>
    <col min="275" max="275" width="4.42578125" style="118" hidden="1" customWidth="1"/>
    <col min="276" max="281" width="4.42578125" customWidth="1"/>
    <col min="282" max="283" width="4.42578125" style="118" customWidth="1"/>
    <col min="284" max="284" width="4.42578125" style="118" hidden="1" customWidth="1"/>
    <col min="285" max="292" width="4.42578125" customWidth="1"/>
    <col min="293" max="293" width="4.42578125" hidden="1" customWidth="1"/>
    <col min="294" max="299" width="4.42578125" customWidth="1"/>
    <col min="300" max="301" width="4.42578125" style="118" customWidth="1"/>
    <col min="302" max="302" width="4.42578125" style="118" hidden="1" customWidth="1"/>
    <col min="303" max="308" width="4.42578125" customWidth="1"/>
    <col min="309" max="310" width="4.42578125" style="118" customWidth="1"/>
    <col min="311" max="311" width="4.42578125" style="118" hidden="1" customWidth="1"/>
    <col min="312" max="317" width="4.42578125" customWidth="1"/>
    <col min="318" max="319" width="4.42578125" style="118" customWidth="1"/>
    <col min="320" max="320" width="4.42578125" style="118" hidden="1" customWidth="1"/>
    <col min="321" max="328" width="4.42578125" customWidth="1"/>
    <col min="329" max="329" width="4.42578125" hidden="1" customWidth="1"/>
    <col min="330" max="335" width="4.42578125" customWidth="1"/>
    <col min="336" max="337" width="4.42578125" style="118" customWidth="1"/>
    <col min="338" max="338" width="4.42578125" style="118" hidden="1" customWidth="1"/>
    <col min="339" max="343" width="4.42578125" customWidth="1"/>
    <col min="344" max="344" width="4.42578125" style="121" customWidth="1"/>
    <col min="345" max="346" width="4.42578125" style="118" customWidth="1"/>
    <col min="347" max="347" width="4.42578125" style="118" hidden="1" customWidth="1"/>
    <col min="348" max="353" width="4.42578125" customWidth="1"/>
    <col min="354" max="355" width="4.42578125" style="118" customWidth="1"/>
    <col min="356" max="356" width="4.42578125" style="118" hidden="1" customWidth="1"/>
    <col min="357" max="362" width="4.42578125" customWidth="1"/>
    <col min="363" max="364" width="4.42578125" style="118" customWidth="1"/>
    <col min="365" max="365" width="4.42578125" style="118" hidden="1" customWidth="1"/>
    <col min="366" max="373" width="4.42578125" customWidth="1"/>
    <col min="374" max="374" width="4.42578125" hidden="1" customWidth="1"/>
    <col min="375" max="382" width="4.42578125" customWidth="1"/>
    <col min="383" max="383" width="4.42578125" hidden="1" customWidth="1"/>
    <col min="384" max="391" width="4.42578125" customWidth="1"/>
    <col min="392" max="392" width="4.42578125" hidden="1" customWidth="1"/>
    <col min="393" max="400" width="4.42578125" customWidth="1"/>
    <col min="401" max="401" width="4.42578125" hidden="1" customWidth="1"/>
    <col min="402" max="409" width="4.42578125" customWidth="1"/>
    <col min="410" max="414" width="4.42578125" hidden="1" customWidth="1"/>
    <col min="415" max="418" width="4.42578125" customWidth="1"/>
  </cols>
  <sheetData>
    <row r="1" spans="1:418" s="114" customFormat="1" ht="24" customHeight="1">
      <c r="B1" s="219" t="s">
        <v>0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  <c r="BE1" s="219"/>
      <c r="BF1" s="219"/>
      <c r="BG1" s="219"/>
      <c r="BH1" s="219"/>
      <c r="BI1" s="219"/>
      <c r="BJ1" s="219"/>
      <c r="BK1" s="219"/>
      <c r="BL1" s="219"/>
      <c r="BM1" s="219"/>
      <c r="BN1" s="219"/>
      <c r="BO1" s="219"/>
      <c r="BP1" s="219"/>
      <c r="BQ1" s="219"/>
      <c r="BR1" s="219"/>
      <c r="BS1" s="219"/>
      <c r="BT1" s="219"/>
      <c r="BU1" s="219"/>
      <c r="BV1" s="219"/>
      <c r="BW1" s="219"/>
      <c r="BX1" s="219"/>
      <c r="BY1" s="219"/>
      <c r="BZ1" s="219"/>
      <c r="CA1" s="219"/>
      <c r="CB1" s="219"/>
      <c r="CC1" s="219"/>
      <c r="CD1" s="219"/>
      <c r="CE1" s="219"/>
      <c r="CF1" s="219"/>
      <c r="CG1" s="219"/>
      <c r="CH1" s="219"/>
      <c r="CI1" s="219"/>
      <c r="CJ1" s="219"/>
      <c r="CK1" s="219"/>
      <c r="CL1" s="219"/>
      <c r="CM1" s="219"/>
      <c r="CN1" s="219"/>
      <c r="CO1" s="219"/>
      <c r="CP1" s="219"/>
      <c r="CQ1" s="219"/>
      <c r="CR1" s="219"/>
      <c r="CS1" s="219"/>
      <c r="CT1" s="219"/>
      <c r="CU1" s="219"/>
      <c r="CV1" s="219"/>
      <c r="CW1" s="219"/>
      <c r="CX1" s="219"/>
      <c r="CY1" s="219"/>
      <c r="CZ1" s="219"/>
      <c r="DA1" s="219"/>
      <c r="DB1" s="219"/>
      <c r="JD1" s="179"/>
      <c r="JE1" s="179"/>
      <c r="JF1" s="179"/>
      <c r="JM1" s="179"/>
      <c r="JN1" s="179"/>
      <c r="JO1" s="179"/>
      <c r="JV1" s="179"/>
      <c r="JW1" s="179"/>
      <c r="JX1" s="179"/>
      <c r="KN1" s="179"/>
      <c r="KO1" s="179"/>
      <c r="KP1" s="179"/>
      <c r="KW1" s="179"/>
      <c r="KX1" s="179"/>
      <c r="KY1" s="179"/>
      <c r="LF1" s="179"/>
      <c r="LG1" s="179"/>
      <c r="LH1" s="179"/>
      <c r="LX1" s="179"/>
      <c r="LY1" s="179"/>
      <c r="LZ1" s="179"/>
      <c r="MF1" s="140"/>
      <c r="MG1" s="179"/>
      <c r="MH1" s="179"/>
      <c r="MI1" s="179"/>
      <c r="MP1" s="179"/>
      <c r="MQ1" s="179"/>
      <c r="MR1" s="179"/>
      <c r="MY1" s="179"/>
      <c r="MZ1" s="179"/>
      <c r="NA1" s="179"/>
    </row>
    <row r="2" spans="1:418" s="114" customFormat="1" ht="24" customHeight="1">
      <c r="B2" s="219" t="s">
        <v>1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19"/>
      <c r="BG2" s="219"/>
      <c r="BH2" s="219"/>
      <c r="BI2" s="219"/>
      <c r="BJ2" s="219"/>
      <c r="BK2" s="219"/>
      <c r="BL2" s="219"/>
      <c r="BM2" s="219"/>
      <c r="BN2" s="219"/>
      <c r="BO2" s="219"/>
      <c r="BP2" s="219"/>
      <c r="BQ2" s="219"/>
      <c r="BR2" s="219"/>
      <c r="BS2" s="219"/>
      <c r="BT2" s="219"/>
      <c r="BU2" s="219"/>
      <c r="BV2" s="219"/>
      <c r="BW2" s="219"/>
      <c r="BX2" s="219"/>
      <c r="BY2" s="219"/>
      <c r="BZ2" s="219"/>
      <c r="CA2" s="219"/>
      <c r="CB2" s="219"/>
      <c r="CC2" s="219"/>
      <c r="CD2" s="219"/>
      <c r="CE2" s="219"/>
      <c r="CF2" s="219"/>
      <c r="CG2" s="219"/>
      <c r="CH2" s="219"/>
      <c r="CI2" s="219"/>
      <c r="CJ2" s="219"/>
      <c r="CK2" s="219"/>
      <c r="CL2" s="219"/>
      <c r="CM2" s="219"/>
      <c r="CN2" s="219"/>
      <c r="CO2" s="219"/>
      <c r="CP2" s="219"/>
      <c r="CQ2" s="219"/>
      <c r="CR2" s="219"/>
      <c r="CS2" s="219"/>
      <c r="CT2" s="219"/>
      <c r="CU2" s="219"/>
      <c r="CV2" s="219"/>
      <c r="CW2" s="219"/>
      <c r="CX2" s="219"/>
      <c r="CY2" s="219"/>
      <c r="CZ2" s="219"/>
      <c r="DA2" s="219"/>
      <c r="DB2" s="219"/>
      <c r="JD2" s="179"/>
      <c r="JE2" s="179"/>
      <c r="JF2" s="179"/>
      <c r="JM2" s="179"/>
      <c r="JN2" s="179"/>
      <c r="JO2" s="179"/>
      <c r="JV2" s="179"/>
      <c r="JW2" s="179"/>
      <c r="JX2" s="179"/>
      <c r="KN2" s="179"/>
      <c r="KO2" s="179"/>
      <c r="KP2" s="179"/>
      <c r="KW2" s="179"/>
      <c r="KX2" s="179"/>
      <c r="KY2" s="179"/>
      <c r="LF2" s="179"/>
      <c r="LG2" s="179"/>
      <c r="LH2" s="179"/>
      <c r="LX2" s="179"/>
      <c r="LY2" s="179"/>
      <c r="LZ2" s="179"/>
      <c r="MF2" s="140"/>
      <c r="MG2" s="179"/>
      <c r="MH2" s="179"/>
      <c r="MI2" s="179"/>
      <c r="MP2" s="179"/>
      <c r="MQ2" s="179"/>
      <c r="MR2" s="179"/>
      <c r="MY2" s="179"/>
      <c r="MZ2" s="179"/>
      <c r="NA2" s="179"/>
    </row>
    <row r="3" spans="1:418" s="114" customFormat="1" ht="24" customHeight="1">
      <c r="B3" s="219" t="s">
        <v>2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K3" s="219"/>
      <c r="BL3" s="219"/>
      <c r="BM3" s="219"/>
      <c r="BN3" s="219"/>
      <c r="BO3" s="219"/>
      <c r="BP3" s="219"/>
      <c r="BQ3" s="219"/>
      <c r="BR3" s="219"/>
      <c r="BS3" s="219"/>
      <c r="BT3" s="219"/>
      <c r="BU3" s="219"/>
      <c r="BV3" s="219"/>
      <c r="BW3" s="219"/>
      <c r="BX3" s="219"/>
      <c r="BY3" s="219"/>
      <c r="BZ3" s="219"/>
      <c r="CA3" s="219"/>
      <c r="CB3" s="219"/>
      <c r="CC3" s="219"/>
      <c r="CD3" s="219"/>
      <c r="CE3" s="219"/>
      <c r="CF3" s="219"/>
      <c r="CG3" s="219"/>
      <c r="CH3" s="219"/>
      <c r="CI3" s="219"/>
      <c r="CJ3" s="219"/>
      <c r="CK3" s="219"/>
      <c r="CL3" s="219"/>
      <c r="CM3" s="219"/>
      <c r="CN3" s="219"/>
      <c r="CO3" s="219"/>
      <c r="CP3" s="219"/>
      <c r="CQ3" s="219"/>
      <c r="CR3" s="219"/>
      <c r="CS3" s="219"/>
      <c r="CT3" s="219"/>
      <c r="CU3" s="219"/>
      <c r="CV3" s="219"/>
      <c r="CW3" s="219"/>
      <c r="CX3" s="219"/>
      <c r="CY3" s="219"/>
      <c r="CZ3" s="219"/>
      <c r="DA3" s="219"/>
      <c r="DB3" s="219"/>
      <c r="JD3" s="179"/>
      <c r="JE3" s="179"/>
      <c r="JF3" s="179"/>
      <c r="JM3" s="179"/>
      <c r="JN3" s="179"/>
      <c r="JO3" s="179"/>
      <c r="JV3" s="179"/>
      <c r="JW3" s="179"/>
      <c r="JX3" s="179"/>
      <c r="KN3" s="179"/>
      <c r="KO3" s="179"/>
      <c r="KP3" s="179"/>
      <c r="KW3" s="179"/>
      <c r="KX3" s="179"/>
      <c r="KY3" s="179"/>
      <c r="LF3" s="179"/>
      <c r="LG3" s="179"/>
      <c r="LH3" s="179"/>
      <c r="LX3" s="179"/>
      <c r="LY3" s="179"/>
      <c r="LZ3" s="179"/>
      <c r="MF3" s="140"/>
      <c r="MG3" s="179"/>
      <c r="MH3" s="179"/>
      <c r="MI3" s="179"/>
      <c r="MP3" s="179"/>
      <c r="MQ3" s="179"/>
      <c r="MR3" s="179"/>
      <c r="MY3" s="179"/>
      <c r="MZ3" s="179"/>
      <c r="NA3" s="179"/>
    </row>
    <row r="4" spans="1:418" s="114" customFormat="1" ht="36.4" customHeight="1">
      <c r="B4" s="114" t="s">
        <v>3</v>
      </c>
      <c r="D4" s="114" t="s">
        <v>4</v>
      </c>
      <c r="H4" s="114" t="s">
        <v>5</v>
      </c>
      <c r="JD4" s="179"/>
      <c r="JE4" s="179"/>
      <c r="JF4" s="179"/>
      <c r="JM4" s="179"/>
      <c r="JN4" s="179"/>
      <c r="JO4" s="179"/>
      <c r="JV4" s="179"/>
      <c r="JW4" s="179"/>
      <c r="JX4" s="179"/>
      <c r="KN4" s="179"/>
      <c r="KO4" s="179"/>
      <c r="KP4" s="179"/>
      <c r="KW4" s="179"/>
      <c r="KX4" s="179"/>
      <c r="KY4" s="179"/>
      <c r="LF4" s="179"/>
      <c r="LG4" s="179"/>
      <c r="LH4" s="179"/>
      <c r="LX4" s="179"/>
      <c r="LY4" s="179"/>
      <c r="LZ4" s="179"/>
      <c r="MF4" s="140"/>
      <c r="MG4" s="179"/>
      <c r="MH4" s="179"/>
      <c r="MI4" s="179"/>
      <c r="MP4" s="179"/>
      <c r="MQ4" s="179"/>
      <c r="MR4" s="179"/>
      <c r="MY4" s="179"/>
      <c r="MZ4" s="179"/>
      <c r="NA4" s="179"/>
    </row>
    <row r="5" spans="1:418" s="114" customFormat="1" ht="44.65" customHeight="1">
      <c r="A5" s="245" t="s">
        <v>6</v>
      </c>
      <c r="B5" s="122"/>
      <c r="C5" s="123"/>
      <c r="D5" s="220" t="s">
        <v>7</v>
      </c>
      <c r="E5" s="220"/>
      <c r="F5" s="220"/>
      <c r="G5" s="220"/>
      <c r="H5" s="220"/>
      <c r="I5" s="220"/>
      <c r="J5" s="220"/>
      <c r="K5" s="220"/>
      <c r="L5" s="221"/>
      <c r="M5" s="222" t="s">
        <v>8</v>
      </c>
      <c r="N5" s="222"/>
      <c r="O5" s="222"/>
      <c r="P5" s="222"/>
      <c r="Q5" s="222"/>
      <c r="R5" s="223" t="s">
        <v>9</v>
      </c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0"/>
      <c r="CB5" s="140"/>
      <c r="CC5" s="140"/>
      <c r="CD5" s="140"/>
      <c r="CE5" s="140"/>
      <c r="CF5" s="140"/>
      <c r="CG5" s="140"/>
      <c r="CH5" s="140"/>
      <c r="CI5" s="140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</row>
    <row r="6" spans="1:418" s="115" customFormat="1" ht="28.9" customHeight="1">
      <c r="A6" s="245"/>
      <c r="B6" s="248" t="s">
        <v>10</v>
      </c>
      <c r="C6" s="224" t="s">
        <v>11</v>
      </c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5"/>
      <c r="CA6" s="225"/>
      <c r="CB6" s="225"/>
      <c r="CC6" s="225"/>
      <c r="CD6" s="225"/>
      <c r="CE6" s="225"/>
      <c r="CF6" s="225"/>
      <c r="CG6" s="225"/>
      <c r="CH6" s="225"/>
      <c r="CI6" s="225"/>
      <c r="CJ6" s="225"/>
      <c r="CK6" s="225"/>
      <c r="CL6" s="225"/>
      <c r="CM6" s="225"/>
      <c r="CN6" s="225"/>
      <c r="CO6" s="225"/>
      <c r="CP6" s="225"/>
      <c r="CQ6" s="225"/>
      <c r="CR6" s="225"/>
      <c r="CS6" s="225"/>
      <c r="CT6" s="225"/>
      <c r="CU6" s="225"/>
      <c r="CV6" s="225"/>
      <c r="CW6" s="225"/>
      <c r="CX6" s="225"/>
      <c r="CY6" s="225"/>
      <c r="CZ6" s="225"/>
      <c r="DA6" s="225"/>
      <c r="DB6" s="225"/>
      <c r="DC6" s="225"/>
      <c r="DD6" s="225"/>
      <c r="DE6" s="225"/>
      <c r="DF6" s="225"/>
      <c r="DG6" s="226"/>
      <c r="DH6" s="152"/>
      <c r="DI6" s="227" t="s">
        <v>12</v>
      </c>
      <c r="DJ6" s="228"/>
      <c r="DK6" s="228"/>
      <c r="DL6" s="228"/>
      <c r="DM6" s="228"/>
      <c r="DN6" s="228"/>
      <c r="DO6" s="228"/>
      <c r="DP6" s="228"/>
      <c r="DQ6" s="228"/>
      <c r="DR6" s="228"/>
      <c r="DS6" s="228"/>
      <c r="DT6" s="228"/>
      <c r="DU6" s="228"/>
      <c r="DV6" s="228"/>
      <c r="DW6" s="228"/>
      <c r="DX6" s="228"/>
      <c r="DY6" s="228"/>
      <c r="DZ6" s="228"/>
      <c r="EA6" s="228"/>
      <c r="EB6" s="228"/>
      <c r="EC6" s="228"/>
      <c r="ED6" s="228"/>
      <c r="EE6" s="228"/>
      <c r="EF6" s="228"/>
      <c r="EG6" s="228"/>
      <c r="EH6" s="228"/>
      <c r="EI6" s="228"/>
      <c r="EJ6" s="228"/>
      <c r="EK6" s="228"/>
      <c r="EL6" s="228"/>
      <c r="EM6" s="228"/>
      <c r="EN6" s="228"/>
      <c r="EO6" s="228"/>
      <c r="EP6" s="228"/>
      <c r="EQ6" s="228"/>
      <c r="ER6" s="228"/>
      <c r="ES6" s="228"/>
      <c r="ET6" s="228"/>
      <c r="EU6" s="228"/>
      <c r="EV6" s="228"/>
      <c r="EW6" s="228"/>
      <c r="EX6" s="228"/>
      <c r="EY6" s="228"/>
      <c r="EZ6" s="228"/>
      <c r="FA6" s="228"/>
      <c r="FB6" s="228"/>
      <c r="FC6" s="228"/>
      <c r="FD6" s="228"/>
      <c r="FE6" s="228"/>
      <c r="FF6" s="228"/>
      <c r="FG6" s="228"/>
      <c r="FH6" s="228"/>
      <c r="FI6" s="228"/>
      <c r="FJ6" s="228"/>
      <c r="FK6" s="228"/>
      <c r="FL6" s="228"/>
      <c r="FM6" s="228"/>
      <c r="FN6" s="228"/>
      <c r="FO6" s="228"/>
      <c r="FP6" s="228"/>
      <c r="FQ6" s="228"/>
      <c r="FR6" s="228"/>
      <c r="FS6" s="228"/>
      <c r="FT6" s="228"/>
      <c r="FU6" s="228"/>
      <c r="FV6" s="228"/>
      <c r="FW6" s="228"/>
      <c r="FX6" s="228"/>
      <c r="FY6" s="228"/>
      <c r="FZ6" s="228"/>
      <c r="GA6" s="228"/>
      <c r="GB6" s="228"/>
      <c r="GC6" s="228"/>
      <c r="GD6" s="228"/>
      <c r="GE6" s="228"/>
      <c r="GF6" s="228"/>
      <c r="GG6" s="228"/>
      <c r="GH6" s="228"/>
      <c r="GI6" s="228"/>
      <c r="GJ6" s="228"/>
      <c r="GK6" s="228"/>
      <c r="GL6" s="228"/>
      <c r="GM6" s="228"/>
      <c r="GN6" s="228"/>
      <c r="GO6" s="228"/>
      <c r="GP6" s="228"/>
      <c r="GQ6" s="228"/>
      <c r="GR6" s="228"/>
      <c r="GS6" s="228"/>
      <c r="GT6" s="228"/>
      <c r="GU6" s="228"/>
      <c r="GV6" s="228"/>
      <c r="GW6" s="228"/>
      <c r="GX6" s="228"/>
      <c r="GY6" s="228"/>
      <c r="GZ6" s="228"/>
      <c r="HA6" s="228"/>
      <c r="HB6" s="228"/>
      <c r="HC6" s="228"/>
      <c r="HD6" s="228"/>
      <c r="HE6" s="228"/>
      <c r="HF6" s="228"/>
      <c r="HG6" s="228"/>
      <c r="HH6" s="228"/>
      <c r="HI6" s="228"/>
      <c r="HJ6" s="228"/>
      <c r="HK6" s="228"/>
      <c r="HL6" s="228"/>
      <c r="HM6" s="228"/>
      <c r="HN6" s="228"/>
      <c r="HO6" s="228"/>
      <c r="HP6" s="228"/>
      <c r="HQ6" s="228"/>
      <c r="HR6" s="228"/>
      <c r="HS6" s="228"/>
      <c r="HT6" s="228"/>
      <c r="HU6" s="228"/>
      <c r="HV6" s="228"/>
      <c r="HW6" s="228"/>
      <c r="HX6" s="228"/>
      <c r="HY6" s="228"/>
      <c r="HZ6" s="228"/>
      <c r="IA6" s="228"/>
      <c r="IB6" s="228"/>
      <c r="IC6" s="228"/>
      <c r="ID6" s="228"/>
      <c r="IE6" s="228"/>
      <c r="IF6" s="228"/>
      <c r="IG6" s="229"/>
      <c r="IH6" s="229"/>
      <c r="II6" s="229"/>
      <c r="IJ6" s="229"/>
      <c r="IK6" s="229"/>
      <c r="IL6" s="229"/>
      <c r="IM6" s="229"/>
      <c r="IN6" s="229"/>
      <c r="IO6" s="229"/>
      <c r="IP6" s="229"/>
      <c r="IQ6" s="229"/>
      <c r="IR6" s="228"/>
      <c r="IS6" s="228"/>
      <c r="IT6" s="228"/>
      <c r="IU6" s="228"/>
      <c r="IV6" s="228"/>
      <c r="IX6" s="227" t="s">
        <v>13</v>
      </c>
      <c r="IY6" s="228"/>
      <c r="IZ6" s="228"/>
      <c r="JA6" s="228"/>
      <c r="JB6" s="228"/>
      <c r="JC6" s="228"/>
      <c r="JD6" s="230"/>
      <c r="JE6" s="230"/>
      <c r="JF6" s="230"/>
      <c r="JG6" s="228"/>
      <c r="JH6" s="228"/>
      <c r="JI6" s="228"/>
      <c r="JJ6" s="228"/>
      <c r="JK6" s="228"/>
      <c r="JL6" s="228"/>
      <c r="JM6" s="230"/>
      <c r="JN6" s="230"/>
      <c r="JO6" s="230"/>
      <c r="JP6" s="228"/>
      <c r="JQ6" s="228"/>
      <c r="JR6" s="228"/>
      <c r="JS6" s="228"/>
      <c r="JT6" s="228"/>
      <c r="JU6" s="228"/>
      <c r="JV6" s="230"/>
      <c r="JW6" s="230"/>
      <c r="JX6" s="230"/>
      <c r="JY6" s="228"/>
      <c r="JZ6" s="228"/>
      <c r="KA6" s="228"/>
      <c r="KB6" s="228"/>
      <c r="KC6" s="228"/>
      <c r="KD6" s="228"/>
      <c r="KE6" s="228"/>
      <c r="KF6" s="228"/>
      <c r="KG6" s="228"/>
      <c r="KH6" s="228"/>
      <c r="KI6" s="228"/>
      <c r="KJ6" s="228"/>
      <c r="KK6" s="228"/>
      <c r="KL6" s="228"/>
      <c r="KM6" s="228"/>
      <c r="KN6" s="230"/>
      <c r="KO6" s="230"/>
      <c r="KP6" s="230"/>
      <c r="KQ6" s="228"/>
      <c r="KR6" s="228"/>
      <c r="KS6" s="228"/>
      <c r="KT6" s="228"/>
      <c r="KU6" s="228"/>
      <c r="KV6" s="228"/>
      <c r="KW6" s="230"/>
      <c r="KX6" s="230"/>
      <c r="KY6" s="230"/>
      <c r="KZ6" s="228"/>
      <c r="LA6" s="228"/>
      <c r="LB6" s="228"/>
      <c r="LC6" s="228"/>
      <c r="LD6" s="228"/>
      <c r="LE6" s="228"/>
      <c r="LF6" s="230"/>
      <c r="LG6" s="230"/>
      <c r="LH6" s="230"/>
      <c r="LI6" s="228"/>
      <c r="LJ6" s="228"/>
      <c r="LK6" s="228"/>
      <c r="LL6" s="228"/>
      <c r="LM6" s="228"/>
      <c r="LN6" s="228"/>
      <c r="LO6" s="228"/>
      <c r="LP6" s="228"/>
      <c r="LQ6" s="228"/>
      <c r="LR6" s="228"/>
      <c r="LS6" s="228"/>
      <c r="LT6" s="228"/>
      <c r="LU6" s="228"/>
      <c r="LV6" s="228"/>
      <c r="LW6" s="228"/>
      <c r="LX6" s="230"/>
      <c r="LY6" s="230"/>
      <c r="LZ6" s="230"/>
      <c r="MA6" s="228"/>
      <c r="MB6" s="228"/>
      <c r="MC6" s="228"/>
      <c r="MD6" s="228"/>
      <c r="ME6" s="228"/>
      <c r="MF6" s="231"/>
      <c r="MG6" s="230"/>
      <c r="MH6" s="230"/>
      <c r="MI6" s="230"/>
      <c r="MJ6" s="228"/>
      <c r="MK6" s="228"/>
      <c r="ML6" s="228"/>
      <c r="MM6" s="228"/>
      <c r="MN6" s="228"/>
      <c r="MO6" s="228"/>
      <c r="MP6" s="230"/>
      <c r="MQ6" s="230"/>
      <c r="MR6" s="230"/>
      <c r="MS6" s="228"/>
      <c r="MT6" s="228"/>
      <c r="MU6" s="228"/>
      <c r="MV6" s="228"/>
      <c r="MW6" s="228"/>
      <c r="MX6" s="228"/>
      <c r="MY6" s="230"/>
      <c r="MZ6" s="230"/>
      <c r="NA6" s="230"/>
      <c r="NB6" s="228"/>
      <c r="NC6" s="228"/>
      <c r="ND6" s="228"/>
      <c r="NE6" s="228"/>
      <c r="NF6" s="228"/>
      <c r="NG6" s="228"/>
      <c r="NH6" s="228"/>
      <c r="NI6" s="228"/>
      <c r="NJ6" s="228"/>
      <c r="NK6" s="228"/>
      <c r="NL6" s="228"/>
      <c r="NM6" s="228"/>
      <c r="NN6" s="228"/>
      <c r="NO6" s="228"/>
      <c r="NP6" s="228"/>
      <c r="NQ6" s="228"/>
      <c r="NR6" s="228"/>
      <c r="NS6" s="228"/>
      <c r="NT6" s="228"/>
      <c r="NU6" s="228"/>
      <c r="NV6" s="228"/>
      <c r="NW6" s="228"/>
      <c r="NX6" s="228"/>
      <c r="NY6" s="228"/>
      <c r="NZ6" s="228"/>
      <c r="OA6" s="228"/>
      <c r="OB6" s="228"/>
      <c r="OC6" s="228"/>
      <c r="OD6" s="228"/>
      <c r="OE6" s="228"/>
      <c r="OF6" s="228"/>
      <c r="OG6" s="228"/>
      <c r="OH6" s="228"/>
      <c r="OI6" s="228"/>
      <c r="OJ6" s="228"/>
      <c r="OK6" s="228"/>
      <c r="OL6" s="229"/>
      <c r="OM6" s="229"/>
      <c r="ON6" s="229"/>
      <c r="OO6" s="229"/>
      <c r="OP6" s="229"/>
      <c r="OQ6" s="229"/>
      <c r="OR6" s="229"/>
      <c r="OS6" s="229"/>
      <c r="OT6" s="229"/>
      <c r="OU6" s="229"/>
      <c r="OV6" s="229"/>
      <c r="OW6" s="229"/>
      <c r="OX6" s="229"/>
      <c r="OY6" s="229"/>
      <c r="OZ6" s="229"/>
      <c r="PA6" s="229"/>
      <c r="PB6" s="229"/>
    </row>
    <row r="7" spans="1:418" s="116" customFormat="1" ht="38.1" customHeight="1">
      <c r="A7" s="246"/>
      <c r="B7" s="249"/>
      <c r="C7" s="124"/>
      <c r="D7" s="232" t="s">
        <v>14</v>
      </c>
      <c r="E7" s="233"/>
      <c r="F7" s="233"/>
      <c r="G7" s="233"/>
      <c r="H7" s="233"/>
      <c r="I7" s="234"/>
      <c r="J7" s="232" t="s">
        <v>15</v>
      </c>
      <c r="K7" s="233"/>
      <c r="L7" s="233"/>
      <c r="M7" s="233"/>
      <c r="N7" s="233"/>
      <c r="O7" s="233"/>
      <c r="P7" s="235" t="s">
        <v>16</v>
      </c>
      <c r="Q7" s="236"/>
      <c r="R7" s="236"/>
      <c r="S7" s="236"/>
      <c r="T7" s="236"/>
      <c r="U7" s="237"/>
      <c r="V7" s="233" t="s">
        <v>17</v>
      </c>
      <c r="W7" s="233"/>
      <c r="X7" s="233"/>
      <c r="Y7" s="233"/>
      <c r="Z7" s="233"/>
      <c r="AA7" s="234"/>
      <c r="AB7" s="233" t="s">
        <v>18</v>
      </c>
      <c r="AC7" s="233"/>
      <c r="AD7" s="233"/>
      <c r="AE7" s="233"/>
      <c r="AF7" s="233"/>
      <c r="AG7" s="234"/>
      <c r="AH7" s="232"/>
      <c r="AI7" s="233"/>
      <c r="AJ7" s="233"/>
      <c r="AK7" s="233"/>
      <c r="AL7" s="233"/>
      <c r="AM7" s="234"/>
      <c r="AN7" s="232"/>
      <c r="AO7" s="233"/>
      <c r="AP7" s="233"/>
      <c r="AQ7" s="233"/>
      <c r="AR7" s="233"/>
      <c r="AS7" s="234"/>
      <c r="AT7" s="232" t="s">
        <v>19</v>
      </c>
      <c r="AU7" s="233"/>
      <c r="AV7" s="233"/>
      <c r="AW7" s="233"/>
      <c r="AX7" s="233"/>
      <c r="AY7" s="234"/>
      <c r="AZ7" s="232" t="s">
        <v>20</v>
      </c>
      <c r="BA7" s="233"/>
      <c r="BB7" s="233"/>
      <c r="BC7" s="233"/>
      <c r="BD7" s="233"/>
      <c r="BE7" s="234"/>
      <c r="BF7" s="233" t="s">
        <v>21</v>
      </c>
      <c r="BG7" s="233"/>
      <c r="BH7" s="233"/>
      <c r="BI7" s="233"/>
      <c r="BJ7" s="233"/>
      <c r="BK7" s="234"/>
      <c r="BL7" s="232" t="s">
        <v>22</v>
      </c>
      <c r="BM7" s="233"/>
      <c r="BN7" s="233"/>
      <c r="BO7" s="233"/>
      <c r="BP7" s="233"/>
      <c r="BQ7" s="234"/>
      <c r="BR7" s="232" t="s">
        <v>23</v>
      </c>
      <c r="BS7" s="233"/>
      <c r="BT7" s="233"/>
      <c r="BU7" s="233"/>
      <c r="BV7" s="233"/>
      <c r="BW7" s="234"/>
      <c r="BX7" s="232" t="s">
        <v>24</v>
      </c>
      <c r="BY7" s="233"/>
      <c r="BZ7" s="233"/>
      <c r="CA7" s="233"/>
      <c r="CB7" s="233"/>
      <c r="CC7" s="234"/>
      <c r="CD7" s="232" t="s">
        <v>25</v>
      </c>
      <c r="CE7" s="233"/>
      <c r="CF7" s="233"/>
      <c r="CG7" s="233"/>
      <c r="CH7" s="233"/>
      <c r="CI7" s="234"/>
      <c r="CJ7" s="232"/>
      <c r="CK7" s="233"/>
      <c r="CL7" s="233"/>
      <c r="CM7" s="233"/>
      <c r="CN7" s="233"/>
      <c r="CO7" s="234"/>
      <c r="CP7" s="232"/>
      <c r="CQ7" s="233"/>
      <c r="CR7" s="233"/>
      <c r="CS7" s="233"/>
      <c r="CT7" s="233"/>
      <c r="CU7" s="234"/>
      <c r="CV7" s="238"/>
      <c r="CW7" s="239"/>
      <c r="CX7" s="239"/>
      <c r="CY7" s="239"/>
      <c r="CZ7" s="239"/>
      <c r="DA7" s="239"/>
      <c r="DB7" s="240"/>
      <c r="DC7" s="153"/>
      <c r="DD7" s="153"/>
      <c r="DE7" s="154"/>
      <c r="DG7" s="155"/>
      <c r="DH7" s="125"/>
      <c r="DI7" s="241" t="s">
        <v>14</v>
      </c>
      <c r="DJ7" s="242"/>
      <c r="DK7" s="242"/>
      <c r="DL7" s="242"/>
      <c r="DM7" s="242"/>
      <c r="DN7" s="242"/>
      <c r="DO7" s="242"/>
      <c r="DP7" s="243"/>
      <c r="DQ7" s="244" t="s">
        <v>15</v>
      </c>
      <c r="DR7" s="242"/>
      <c r="DS7" s="242"/>
      <c r="DT7" s="242"/>
      <c r="DU7" s="242"/>
      <c r="DV7" s="242"/>
      <c r="DW7" s="242"/>
      <c r="DX7" s="243"/>
      <c r="DY7" s="244" t="s">
        <v>16</v>
      </c>
      <c r="DZ7" s="242"/>
      <c r="EA7" s="242"/>
      <c r="EB7" s="242"/>
      <c r="EC7" s="242"/>
      <c r="ED7" s="242"/>
      <c r="EE7" s="242"/>
      <c r="EF7" s="243"/>
      <c r="EG7" s="244" t="s">
        <v>17</v>
      </c>
      <c r="EH7" s="242"/>
      <c r="EI7" s="242"/>
      <c r="EJ7" s="242"/>
      <c r="EK7" s="242"/>
      <c r="EL7" s="242"/>
      <c r="EM7" s="242"/>
      <c r="EN7" s="243"/>
      <c r="EO7" s="244" t="s">
        <v>18</v>
      </c>
      <c r="EP7" s="242"/>
      <c r="EQ7" s="242"/>
      <c r="ER7" s="242"/>
      <c r="ES7" s="242"/>
      <c r="ET7" s="242"/>
      <c r="EU7" s="242"/>
      <c r="EV7" s="243"/>
      <c r="EW7" s="244" t="s">
        <v>26</v>
      </c>
      <c r="EX7" s="242"/>
      <c r="EY7" s="242"/>
      <c r="EZ7" s="242"/>
      <c r="FA7" s="242"/>
      <c r="FB7" s="242"/>
      <c r="FC7" s="242"/>
      <c r="FD7" s="243"/>
      <c r="FE7" s="244" t="s">
        <v>27</v>
      </c>
      <c r="FF7" s="242"/>
      <c r="FG7" s="242"/>
      <c r="FH7" s="242"/>
      <c r="FI7" s="242"/>
      <c r="FJ7" s="242"/>
      <c r="FK7" s="242"/>
      <c r="FL7" s="243"/>
      <c r="FM7" s="244" t="s">
        <v>19</v>
      </c>
      <c r="FN7" s="242"/>
      <c r="FO7" s="242"/>
      <c r="FP7" s="242"/>
      <c r="FQ7" s="242"/>
      <c r="FR7" s="242"/>
      <c r="FS7" s="242"/>
      <c r="FT7" s="243"/>
      <c r="FU7" s="244" t="s">
        <v>20</v>
      </c>
      <c r="FV7" s="242"/>
      <c r="FW7" s="242"/>
      <c r="FX7" s="242"/>
      <c r="FY7" s="242"/>
      <c r="FZ7" s="242"/>
      <c r="GA7" s="242"/>
      <c r="GB7" s="243"/>
      <c r="GC7" s="244" t="s">
        <v>21</v>
      </c>
      <c r="GD7" s="242"/>
      <c r="GE7" s="242"/>
      <c r="GF7" s="242"/>
      <c r="GG7" s="242"/>
      <c r="GH7" s="242"/>
      <c r="GI7" s="242"/>
      <c r="GJ7" s="242"/>
      <c r="GK7" s="242" t="s">
        <v>22</v>
      </c>
      <c r="GL7" s="242"/>
      <c r="GM7" s="242"/>
      <c r="GN7" s="242"/>
      <c r="GO7" s="242"/>
      <c r="GP7" s="242"/>
      <c r="GQ7" s="242"/>
      <c r="GR7" s="243"/>
      <c r="GS7" s="244" t="s">
        <v>23</v>
      </c>
      <c r="GT7" s="242"/>
      <c r="GU7" s="242"/>
      <c r="GV7" s="242"/>
      <c r="GW7" s="242"/>
      <c r="GX7" s="242"/>
      <c r="GY7" s="242"/>
      <c r="GZ7" s="243"/>
      <c r="HA7" s="244" t="s">
        <v>24</v>
      </c>
      <c r="HB7" s="242"/>
      <c r="HC7" s="242"/>
      <c r="HD7" s="242"/>
      <c r="HE7" s="242"/>
      <c r="HF7" s="242"/>
      <c r="HG7" s="242"/>
      <c r="HH7" s="243"/>
      <c r="HI7" s="244" t="s">
        <v>25</v>
      </c>
      <c r="HJ7" s="242"/>
      <c r="HK7" s="242"/>
      <c r="HL7" s="242"/>
      <c r="HM7" s="242"/>
      <c r="HN7" s="242"/>
      <c r="HO7" s="242"/>
      <c r="HP7" s="243"/>
      <c r="HQ7" s="244" t="s">
        <v>28</v>
      </c>
      <c r="HR7" s="242"/>
      <c r="HS7" s="242"/>
      <c r="HT7" s="242"/>
      <c r="HU7" s="242"/>
      <c r="HV7" s="242"/>
      <c r="HW7" s="242"/>
      <c r="HX7" s="243"/>
      <c r="HY7" s="244"/>
      <c r="HZ7" s="242"/>
      <c r="IA7" s="242"/>
      <c r="IB7" s="242"/>
      <c r="IC7" s="242"/>
      <c r="ID7" s="242"/>
      <c r="IE7" s="242"/>
      <c r="IF7" s="243"/>
      <c r="IG7" s="244"/>
      <c r="IH7" s="242"/>
      <c r="II7" s="242"/>
      <c r="IJ7" s="242"/>
      <c r="IK7" s="242"/>
      <c r="IL7" s="242"/>
      <c r="IM7" s="242"/>
      <c r="IN7" s="243"/>
      <c r="IO7" s="238"/>
      <c r="IP7" s="239"/>
      <c r="IQ7" s="239"/>
      <c r="IR7" s="239"/>
      <c r="IS7" s="239"/>
      <c r="IT7" s="239"/>
      <c r="IU7" s="239"/>
      <c r="IV7" s="240"/>
      <c r="IW7" s="125"/>
      <c r="IX7" s="241" t="s">
        <v>14</v>
      </c>
      <c r="IY7" s="242"/>
      <c r="IZ7" s="242"/>
      <c r="JA7" s="242"/>
      <c r="JB7" s="242"/>
      <c r="JC7" s="242"/>
      <c r="JD7" s="242"/>
      <c r="JE7" s="242"/>
      <c r="JF7" s="243"/>
      <c r="JG7" s="244" t="s">
        <v>15</v>
      </c>
      <c r="JH7" s="242"/>
      <c r="JI7" s="242"/>
      <c r="JJ7" s="242"/>
      <c r="JK7" s="242"/>
      <c r="JL7" s="242"/>
      <c r="JM7" s="242"/>
      <c r="JN7" s="242"/>
      <c r="JO7" s="243"/>
      <c r="JP7" s="244" t="s">
        <v>16</v>
      </c>
      <c r="JQ7" s="242"/>
      <c r="JR7" s="242"/>
      <c r="JS7" s="242"/>
      <c r="JT7" s="242"/>
      <c r="JU7" s="242"/>
      <c r="JV7" s="242"/>
      <c r="JW7" s="242"/>
      <c r="JX7" s="243"/>
      <c r="JY7" s="244" t="s">
        <v>17</v>
      </c>
      <c r="JZ7" s="242"/>
      <c r="KA7" s="242"/>
      <c r="KB7" s="242"/>
      <c r="KC7" s="242"/>
      <c r="KD7" s="242"/>
      <c r="KE7" s="242"/>
      <c r="KF7" s="242"/>
      <c r="KG7" s="243"/>
      <c r="KH7" s="244" t="s">
        <v>18</v>
      </c>
      <c r="KI7" s="242"/>
      <c r="KJ7" s="242"/>
      <c r="KK7" s="242"/>
      <c r="KL7" s="242"/>
      <c r="KM7" s="242"/>
      <c r="KN7" s="242"/>
      <c r="KO7" s="242"/>
      <c r="KP7" s="243"/>
      <c r="KQ7" s="244" t="s">
        <v>26</v>
      </c>
      <c r="KR7" s="242"/>
      <c r="KS7" s="242"/>
      <c r="KT7" s="242"/>
      <c r="KU7" s="242"/>
      <c r="KV7" s="242"/>
      <c r="KW7" s="242"/>
      <c r="KX7" s="242"/>
      <c r="KY7" s="243"/>
      <c r="KZ7" s="244" t="s">
        <v>27</v>
      </c>
      <c r="LA7" s="242"/>
      <c r="LB7" s="242"/>
      <c r="LC7" s="242"/>
      <c r="LD7" s="242"/>
      <c r="LE7" s="242"/>
      <c r="LF7" s="242"/>
      <c r="LG7" s="242"/>
      <c r="LH7" s="243"/>
      <c r="LI7" s="244" t="s">
        <v>19</v>
      </c>
      <c r="LJ7" s="242"/>
      <c r="LK7" s="242"/>
      <c r="LL7" s="242"/>
      <c r="LM7" s="242"/>
      <c r="LN7" s="242"/>
      <c r="LO7" s="242"/>
      <c r="LP7" s="242"/>
      <c r="LQ7" s="243"/>
      <c r="LR7" s="244" t="s">
        <v>20</v>
      </c>
      <c r="LS7" s="242"/>
      <c r="LT7" s="242"/>
      <c r="LU7" s="242"/>
      <c r="LV7" s="242"/>
      <c r="LW7" s="242"/>
      <c r="LX7" s="242"/>
      <c r="LY7" s="242"/>
      <c r="LZ7" s="243"/>
      <c r="MA7" s="244" t="s">
        <v>21</v>
      </c>
      <c r="MB7" s="242"/>
      <c r="MC7" s="242"/>
      <c r="MD7" s="242"/>
      <c r="ME7" s="242"/>
      <c r="MF7" s="242"/>
      <c r="MG7" s="242"/>
      <c r="MH7" s="242"/>
      <c r="MI7" s="243"/>
      <c r="MJ7" s="244" t="s">
        <v>22</v>
      </c>
      <c r="MK7" s="242"/>
      <c r="ML7" s="242"/>
      <c r="MM7" s="242"/>
      <c r="MN7" s="242"/>
      <c r="MO7" s="242"/>
      <c r="MP7" s="242"/>
      <c r="MQ7" s="242"/>
      <c r="MR7" s="243"/>
      <c r="MS7" s="244" t="s">
        <v>23</v>
      </c>
      <c r="MT7" s="242"/>
      <c r="MU7" s="242"/>
      <c r="MV7" s="242"/>
      <c r="MW7" s="242"/>
      <c r="MX7" s="242"/>
      <c r="MY7" s="242"/>
      <c r="MZ7" s="242"/>
      <c r="NA7" s="243"/>
      <c r="NB7" s="244" t="s">
        <v>24</v>
      </c>
      <c r="NC7" s="242"/>
      <c r="ND7" s="242"/>
      <c r="NE7" s="242"/>
      <c r="NF7" s="242"/>
      <c r="NG7" s="242"/>
      <c r="NH7" s="242"/>
      <c r="NI7" s="242"/>
      <c r="NJ7" s="243"/>
      <c r="NK7" s="244" t="s">
        <v>25</v>
      </c>
      <c r="NL7" s="242"/>
      <c r="NM7" s="242"/>
      <c r="NN7" s="242"/>
      <c r="NO7" s="242"/>
      <c r="NP7" s="242"/>
      <c r="NQ7" s="242"/>
      <c r="NR7" s="242"/>
      <c r="NS7" s="243"/>
      <c r="NT7" s="244"/>
      <c r="NU7" s="242"/>
      <c r="NV7" s="242"/>
      <c r="NW7" s="242"/>
      <c r="NX7" s="242"/>
      <c r="NY7" s="242"/>
      <c r="NZ7" s="242"/>
      <c r="OA7" s="242"/>
      <c r="OB7" s="243"/>
      <c r="OC7" s="244"/>
      <c r="OD7" s="242"/>
      <c r="OE7" s="242"/>
      <c r="OF7" s="242"/>
      <c r="OG7" s="242"/>
      <c r="OH7" s="242"/>
      <c r="OI7" s="242"/>
      <c r="OJ7" s="242"/>
      <c r="OK7" s="243"/>
      <c r="OL7" s="238"/>
      <c r="OM7" s="239"/>
      <c r="ON7" s="239"/>
      <c r="OO7" s="239"/>
      <c r="OP7" s="239"/>
      <c r="OQ7" s="239"/>
      <c r="OR7" s="239"/>
      <c r="OS7" s="239"/>
      <c r="OT7" s="240"/>
      <c r="OU7" s="194"/>
      <c r="OV7" s="194"/>
      <c r="OW7" s="195"/>
      <c r="OX7" s="196"/>
      <c r="OY7" s="197"/>
      <c r="OZ7" s="197"/>
      <c r="PA7" s="197"/>
      <c r="PB7" s="197"/>
    </row>
    <row r="8" spans="1:418" s="117" customFormat="1" ht="78" customHeight="1">
      <c r="A8" s="245"/>
      <c r="B8" s="248" t="s">
        <v>29</v>
      </c>
      <c r="C8" s="126" t="s">
        <v>30</v>
      </c>
      <c r="D8" s="127" t="s">
        <v>31</v>
      </c>
      <c r="E8" s="128" t="s">
        <v>32</v>
      </c>
      <c r="F8" s="128" t="s">
        <v>33</v>
      </c>
      <c r="G8" s="128" t="s">
        <v>34</v>
      </c>
      <c r="H8" s="128" t="s">
        <v>35</v>
      </c>
      <c r="I8" s="128" t="s">
        <v>36</v>
      </c>
      <c r="J8" s="127" t="s">
        <v>37</v>
      </c>
      <c r="K8" s="128" t="s">
        <v>38</v>
      </c>
      <c r="L8" s="128" t="s">
        <v>39</v>
      </c>
      <c r="M8" s="128" t="s">
        <v>34</v>
      </c>
      <c r="N8" s="128" t="s">
        <v>35</v>
      </c>
      <c r="O8" s="128" t="s">
        <v>36</v>
      </c>
      <c r="P8" s="127" t="s">
        <v>40</v>
      </c>
      <c r="Q8" s="128" t="s">
        <v>41</v>
      </c>
      <c r="R8" s="128" t="s">
        <v>42</v>
      </c>
      <c r="S8" s="128" t="s">
        <v>34</v>
      </c>
      <c r="T8" s="128" t="s">
        <v>35</v>
      </c>
      <c r="U8" s="128" t="s">
        <v>36</v>
      </c>
      <c r="V8" s="127" t="s">
        <v>43</v>
      </c>
      <c r="W8" s="128" t="s">
        <v>44</v>
      </c>
      <c r="X8" s="128" t="s">
        <v>45</v>
      </c>
      <c r="Y8" s="128" t="s">
        <v>34</v>
      </c>
      <c r="Z8" s="128" t="s">
        <v>35</v>
      </c>
      <c r="AA8" s="128" t="s">
        <v>36</v>
      </c>
      <c r="AB8" s="127" t="s">
        <v>46</v>
      </c>
      <c r="AC8" s="128" t="s">
        <v>47</v>
      </c>
      <c r="AD8" s="128" t="s">
        <v>48</v>
      </c>
      <c r="AE8" s="128" t="s">
        <v>34</v>
      </c>
      <c r="AF8" s="128" t="s">
        <v>35</v>
      </c>
      <c r="AG8" s="128" t="s">
        <v>36</v>
      </c>
      <c r="AH8" s="127" t="s">
        <v>49</v>
      </c>
      <c r="AI8" s="128" t="s">
        <v>50</v>
      </c>
      <c r="AJ8" s="128" t="s">
        <v>51</v>
      </c>
      <c r="AK8" s="128" t="s">
        <v>34</v>
      </c>
      <c r="AL8" s="128" t="s">
        <v>35</v>
      </c>
      <c r="AM8" s="128" t="s">
        <v>36</v>
      </c>
      <c r="AN8" s="127" t="s">
        <v>52</v>
      </c>
      <c r="AO8" s="128" t="s">
        <v>53</v>
      </c>
      <c r="AP8" s="128" t="s">
        <v>54</v>
      </c>
      <c r="AQ8" s="128" t="s">
        <v>34</v>
      </c>
      <c r="AR8" s="128" t="s">
        <v>35</v>
      </c>
      <c r="AS8" s="128" t="s">
        <v>36</v>
      </c>
      <c r="AT8" s="127" t="s">
        <v>55</v>
      </c>
      <c r="AU8" s="128" t="s">
        <v>56</v>
      </c>
      <c r="AV8" s="128" t="s">
        <v>57</v>
      </c>
      <c r="AW8" s="128" t="s">
        <v>34</v>
      </c>
      <c r="AX8" s="128" t="s">
        <v>35</v>
      </c>
      <c r="AY8" s="128" t="s">
        <v>36</v>
      </c>
      <c r="AZ8" s="127" t="s">
        <v>58</v>
      </c>
      <c r="BA8" s="128" t="s">
        <v>59</v>
      </c>
      <c r="BB8" s="128" t="s">
        <v>60</v>
      </c>
      <c r="BC8" s="128" t="s">
        <v>34</v>
      </c>
      <c r="BD8" s="128" t="s">
        <v>35</v>
      </c>
      <c r="BE8" s="128" t="s">
        <v>36</v>
      </c>
      <c r="BF8" s="127" t="s">
        <v>61</v>
      </c>
      <c r="BG8" s="128" t="s">
        <v>62</v>
      </c>
      <c r="BH8" s="128" t="s">
        <v>63</v>
      </c>
      <c r="BI8" s="128" t="s">
        <v>34</v>
      </c>
      <c r="BJ8" s="128" t="s">
        <v>35</v>
      </c>
      <c r="BK8" s="128" t="s">
        <v>36</v>
      </c>
      <c r="BL8" s="127" t="s">
        <v>64</v>
      </c>
      <c r="BM8" s="128" t="s">
        <v>65</v>
      </c>
      <c r="BN8" s="128" t="s">
        <v>66</v>
      </c>
      <c r="BO8" s="128" t="s">
        <v>34</v>
      </c>
      <c r="BP8" s="128" t="s">
        <v>35</v>
      </c>
      <c r="BQ8" s="128" t="s">
        <v>36</v>
      </c>
      <c r="BR8" s="127" t="s">
        <v>67</v>
      </c>
      <c r="BS8" s="128" t="s">
        <v>68</v>
      </c>
      <c r="BT8" s="128" t="s">
        <v>69</v>
      </c>
      <c r="BU8" s="128" t="s">
        <v>34</v>
      </c>
      <c r="BV8" s="128" t="s">
        <v>35</v>
      </c>
      <c r="BW8" s="128" t="s">
        <v>36</v>
      </c>
      <c r="BX8" s="127" t="s">
        <v>70</v>
      </c>
      <c r="BY8" s="128" t="s">
        <v>71</v>
      </c>
      <c r="BZ8" s="128" t="s">
        <v>72</v>
      </c>
      <c r="CA8" s="128" t="s">
        <v>34</v>
      </c>
      <c r="CB8" s="128" t="s">
        <v>35</v>
      </c>
      <c r="CC8" s="128" t="s">
        <v>36</v>
      </c>
      <c r="CD8" s="127" t="s">
        <v>73</v>
      </c>
      <c r="CE8" s="128" t="s">
        <v>74</v>
      </c>
      <c r="CF8" s="128" t="s">
        <v>75</v>
      </c>
      <c r="CG8" s="128" t="s">
        <v>34</v>
      </c>
      <c r="CH8" s="128" t="s">
        <v>35</v>
      </c>
      <c r="CI8" s="128" t="s">
        <v>36</v>
      </c>
      <c r="CJ8" s="127" t="s">
        <v>76</v>
      </c>
      <c r="CK8" s="128" t="s">
        <v>77</v>
      </c>
      <c r="CL8" s="128" t="s">
        <v>78</v>
      </c>
      <c r="CM8" s="128" t="s">
        <v>34</v>
      </c>
      <c r="CN8" s="128" t="s">
        <v>35</v>
      </c>
      <c r="CO8" s="128" t="s">
        <v>36</v>
      </c>
      <c r="CP8" s="127" t="s">
        <v>79</v>
      </c>
      <c r="CQ8" s="128" t="s">
        <v>80</v>
      </c>
      <c r="CR8" s="128" t="s">
        <v>81</v>
      </c>
      <c r="CS8" s="128" t="s">
        <v>34</v>
      </c>
      <c r="CT8" s="128" t="s">
        <v>35</v>
      </c>
      <c r="CU8" s="128" t="s">
        <v>36</v>
      </c>
      <c r="CV8" s="127" t="s">
        <v>82</v>
      </c>
      <c r="CW8" s="128" t="s">
        <v>83</v>
      </c>
      <c r="CX8" s="128" t="s">
        <v>84</v>
      </c>
      <c r="CY8" s="128" t="s">
        <v>34</v>
      </c>
      <c r="CZ8" s="128" t="s">
        <v>35</v>
      </c>
      <c r="DA8" s="128" t="s">
        <v>36</v>
      </c>
      <c r="DB8" s="156"/>
      <c r="DC8" s="156" t="s">
        <v>85</v>
      </c>
      <c r="DD8" s="156" t="s">
        <v>86</v>
      </c>
      <c r="DE8" s="156" t="s">
        <v>87</v>
      </c>
      <c r="DF8" s="128"/>
      <c r="DG8" s="157" t="s">
        <v>34</v>
      </c>
      <c r="DH8" s="158"/>
      <c r="DI8" s="161" t="s">
        <v>31</v>
      </c>
      <c r="DJ8" s="161" t="s">
        <v>32</v>
      </c>
      <c r="DK8" s="161" t="s">
        <v>33</v>
      </c>
      <c r="DL8" s="161" t="s">
        <v>88</v>
      </c>
      <c r="DM8" s="161" t="s">
        <v>89</v>
      </c>
      <c r="DN8" s="161" t="s">
        <v>90</v>
      </c>
      <c r="DO8" s="161" t="s">
        <v>35</v>
      </c>
      <c r="DP8" s="161" t="s">
        <v>36</v>
      </c>
      <c r="DQ8" s="161" t="s">
        <v>31</v>
      </c>
      <c r="DR8" s="161" t="s">
        <v>32</v>
      </c>
      <c r="DS8" s="161" t="s">
        <v>33</v>
      </c>
      <c r="DT8" s="161" t="s">
        <v>88</v>
      </c>
      <c r="DU8" s="161" t="s">
        <v>89</v>
      </c>
      <c r="DV8" s="161" t="s">
        <v>90</v>
      </c>
      <c r="DW8" s="161" t="s">
        <v>35</v>
      </c>
      <c r="DX8" s="161" t="s">
        <v>36</v>
      </c>
      <c r="DY8" s="161" t="s">
        <v>31</v>
      </c>
      <c r="DZ8" s="161" t="s">
        <v>32</v>
      </c>
      <c r="EA8" s="161" t="s">
        <v>33</v>
      </c>
      <c r="EB8" s="161" t="s">
        <v>88</v>
      </c>
      <c r="EC8" s="161" t="s">
        <v>89</v>
      </c>
      <c r="ED8" s="161" t="s">
        <v>90</v>
      </c>
      <c r="EE8" s="161" t="s">
        <v>35</v>
      </c>
      <c r="EF8" s="161" t="s">
        <v>36</v>
      </c>
      <c r="EG8" s="161" t="s">
        <v>31</v>
      </c>
      <c r="EH8" s="161" t="s">
        <v>32</v>
      </c>
      <c r="EI8" s="161" t="s">
        <v>33</v>
      </c>
      <c r="EJ8" s="161" t="s">
        <v>88</v>
      </c>
      <c r="EK8" s="161" t="s">
        <v>89</v>
      </c>
      <c r="EL8" s="161" t="s">
        <v>90</v>
      </c>
      <c r="EM8" s="161" t="s">
        <v>35</v>
      </c>
      <c r="EN8" s="161" t="s">
        <v>36</v>
      </c>
      <c r="EO8" s="161" t="s">
        <v>31</v>
      </c>
      <c r="EP8" s="161" t="s">
        <v>32</v>
      </c>
      <c r="EQ8" s="161" t="s">
        <v>33</v>
      </c>
      <c r="ER8" s="161" t="s">
        <v>88</v>
      </c>
      <c r="ES8" s="161" t="s">
        <v>89</v>
      </c>
      <c r="ET8" s="161" t="s">
        <v>90</v>
      </c>
      <c r="EU8" s="161" t="s">
        <v>35</v>
      </c>
      <c r="EV8" s="161" t="s">
        <v>36</v>
      </c>
      <c r="EW8" s="161" t="s">
        <v>31</v>
      </c>
      <c r="EX8" s="161" t="s">
        <v>32</v>
      </c>
      <c r="EY8" s="161" t="s">
        <v>33</v>
      </c>
      <c r="EZ8" s="161" t="s">
        <v>88</v>
      </c>
      <c r="FA8" s="161" t="s">
        <v>89</v>
      </c>
      <c r="FB8" s="161" t="s">
        <v>90</v>
      </c>
      <c r="FC8" s="161" t="s">
        <v>35</v>
      </c>
      <c r="FD8" s="161" t="s">
        <v>36</v>
      </c>
      <c r="FE8" s="161" t="s">
        <v>31</v>
      </c>
      <c r="FF8" s="161" t="s">
        <v>32</v>
      </c>
      <c r="FG8" s="161" t="s">
        <v>33</v>
      </c>
      <c r="FH8" s="161" t="s">
        <v>88</v>
      </c>
      <c r="FI8" s="161" t="s">
        <v>89</v>
      </c>
      <c r="FJ8" s="161" t="s">
        <v>90</v>
      </c>
      <c r="FK8" s="161" t="s">
        <v>35</v>
      </c>
      <c r="FL8" s="161" t="s">
        <v>36</v>
      </c>
      <c r="FM8" s="161" t="s">
        <v>31</v>
      </c>
      <c r="FN8" s="161" t="s">
        <v>32</v>
      </c>
      <c r="FO8" s="161" t="s">
        <v>33</v>
      </c>
      <c r="FP8" s="161" t="s">
        <v>88</v>
      </c>
      <c r="FQ8" s="161" t="s">
        <v>89</v>
      </c>
      <c r="FR8" s="161" t="s">
        <v>90</v>
      </c>
      <c r="FS8" s="161" t="s">
        <v>35</v>
      </c>
      <c r="FT8" s="161" t="s">
        <v>36</v>
      </c>
      <c r="FU8" s="161" t="s">
        <v>31</v>
      </c>
      <c r="FV8" s="161" t="s">
        <v>32</v>
      </c>
      <c r="FW8" s="161" t="s">
        <v>33</v>
      </c>
      <c r="FX8" s="161" t="s">
        <v>88</v>
      </c>
      <c r="FY8" s="161" t="s">
        <v>89</v>
      </c>
      <c r="FZ8" s="161" t="s">
        <v>90</v>
      </c>
      <c r="GA8" s="161" t="s">
        <v>35</v>
      </c>
      <c r="GB8" s="161" t="s">
        <v>36</v>
      </c>
      <c r="GC8" s="161" t="s">
        <v>31</v>
      </c>
      <c r="GD8" s="161" t="s">
        <v>32</v>
      </c>
      <c r="GE8" s="161" t="s">
        <v>33</v>
      </c>
      <c r="GF8" s="161" t="s">
        <v>88</v>
      </c>
      <c r="GG8" s="161" t="s">
        <v>89</v>
      </c>
      <c r="GH8" s="161" t="s">
        <v>90</v>
      </c>
      <c r="GI8" s="161" t="s">
        <v>35</v>
      </c>
      <c r="GJ8" s="161" t="s">
        <v>36</v>
      </c>
      <c r="GK8" s="161" t="s">
        <v>31</v>
      </c>
      <c r="GL8" s="161" t="s">
        <v>32</v>
      </c>
      <c r="GM8" s="161" t="s">
        <v>33</v>
      </c>
      <c r="GN8" s="161" t="s">
        <v>88</v>
      </c>
      <c r="GO8" s="161" t="s">
        <v>89</v>
      </c>
      <c r="GP8" s="161" t="s">
        <v>90</v>
      </c>
      <c r="GQ8" s="161" t="s">
        <v>35</v>
      </c>
      <c r="GR8" s="161" t="s">
        <v>36</v>
      </c>
      <c r="GS8" s="161" t="s">
        <v>31</v>
      </c>
      <c r="GT8" s="161" t="s">
        <v>32</v>
      </c>
      <c r="GU8" s="161" t="s">
        <v>33</v>
      </c>
      <c r="GV8" s="161" t="s">
        <v>88</v>
      </c>
      <c r="GW8" s="161" t="s">
        <v>89</v>
      </c>
      <c r="GX8" s="161" t="s">
        <v>90</v>
      </c>
      <c r="GY8" s="161" t="s">
        <v>35</v>
      </c>
      <c r="GZ8" s="161" t="s">
        <v>36</v>
      </c>
      <c r="HA8" s="161" t="s">
        <v>31</v>
      </c>
      <c r="HB8" s="161" t="s">
        <v>32</v>
      </c>
      <c r="HC8" s="161" t="s">
        <v>33</v>
      </c>
      <c r="HD8" s="161" t="s">
        <v>88</v>
      </c>
      <c r="HE8" s="161" t="s">
        <v>89</v>
      </c>
      <c r="HF8" s="161" t="s">
        <v>90</v>
      </c>
      <c r="HG8" s="161" t="s">
        <v>35</v>
      </c>
      <c r="HH8" s="161" t="s">
        <v>36</v>
      </c>
      <c r="HI8" s="161" t="s">
        <v>31</v>
      </c>
      <c r="HJ8" s="161" t="s">
        <v>32</v>
      </c>
      <c r="HK8" s="161" t="s">
        <v>33</v>
      </c>
      <c r="HL8" s="161" t="s">
        <v>88</v>
      </c>
      <c r="HM8" s="161" t="s">
        <v>89</v>
      </c>
      <c r="HN8" s="161" t="s">
        <v>90</v>
      </c>
      <c r="HO8" s="161" t="s">
        <v>35</v>
      </c>
      <c r="HP8" s="161" t="s">
        <v>36</v>
      </c>
      <c r="HQ8" s="161" t="s">
        <v>31</v>
      </c>
      <c r="HR8" s="161" t="s">
        <v>32</v>
      </c>
      <c r="HS8" s="161" t="s">
        <v>33</v>
      </c>
      <c r="HT8" s="161" t="s">
        <v>88</v>
      </c>
      <c r="HU8" s="161" t="s">
        <v>89</v>
      </c>
      <c r="HV8" s="161" t="s">
        <v>90</v>
      </c>
      <c r="HW8" s="161" t="s">
        <v>35</v>
      </c>
      <c r="HX8" s="161" t="s">
        <v>36</v>
      </c>
      <c r="HY8" s="161" t="s">
        <v>31</v>
      </c>
      <c r="HZ8" s="161" t="s">
        <v>32</v>
      </c>
      <c r="IA8" s="161" t="s">
        <v>33</v>
      </c>
      <c r="IB8" s="161" t="s">
        <v>88</v>
      </c>
      <c r="IC8" s="161" t="s">
        <v>89</v>
      </c>
      <c r="ID8" s="161" t="s">
        <v>90</v>
      </c>
      <c r="IE8" s="161" t="s">
        <v>35</v>
      </c>
      <c r="IF8" s="161" t="s">
        <v>36</v>
      </c>
      <c r="IG8" s="161" t="s">
        <v>31</v>
      </c>
      <c r="IH8" s="161" t="s">
        <v>32</v>
      </c>
      <c r="II8" s="161" t="s">
        <v>33</v>
      </c>
      <c r="IJ8" s="161" t="s">
        <v>88</v>
      </c>
      <c r="IK8" s="161" t="s">
        <v>89</v>
      </c>
      <c r="IL8" s="161" t="s">
        <v>90</v>
      </c>
      <c r="IM8" s="161" t="s">
        <v>35</v>
      </c>
      <c r="IN8" s="161" t="s">
        <v>36</v>
      </c>
      <c r="IO8" s="175" t="s">
        <v>91</v>
      </c>
      <c r="IP8" s="175" t="s">
        <v>92</v>
      </c>
      <c r="IQ8" s="175" t="s">
        <v>87</v>
      </c>
      <c r="IR8" s="176"/>
      <c r="IS8" s="161"/>
      <c r="IT8" s="161"/>
      <c r="IU8" s="161"/>
      <c r="IV8" s="161"/>
      <c r="IW8" s="161"/>
      <c r="IX8" s="161" t="s">
        <v>31</v>
      </c>
      <c r="IY8" s="161" t="s">
        <v>32</v>
      </c>
      <c r="IZ8" s="161" t="s">
        <v>33</v>
      </c>
      <c r="JA8" s="161" t="s">
        <v>93</v>
      </c>
      <c r="JB8" s="161" t="s">
        <v>88</v>
      </c>
      <c r="JC8" s="161" t="s">
        <v>94</v>
      </c>
      <c r="JD8" s="180" t="s">
        <v>90</v>
      </c>
      <c r="JE8" s="180" t="s">
        <v>35</v>
      </c>
      <c r="JF8" s="180" t="s">
        <v>36</v>
      </c>
      <c r="JG8" s="161" t="s">
        <v>31</v>
      </c>
      <c r="JH8" s="161" t="s">
        <v>32</v>
      </c>
      <c r="JI8" s="161" t="s">
        <v>33</v>
      </c>
      <c r="JJ8" s="161" t="s">
        <v>93</v>
      </c>
      <c r="JK8" s="161" t="s">
        <v>88</v>
      </c>
      <c r="JL8" s="161" t="s">
        <v>94</v>
      </c>
      <c r="JM8" s="180" t="s">
        <v>90</v>
      </c>
      <c r="JN8" s="180" t="s">
        <v>35</v>
      </c>
      <c r="JO8" s="180" t="s">
        <v>36</v>
      </c>
      <c r="JP8" s="161" t="s">
        <v>31</v>
      </c>
      <c r="JQ8" s="161" t="s">
        <v>32</v>
      </c>
      <c r="JR8" s="161" t="s">
        <v>33</v>
      </c>
      <c r="JS8" s="161" t="s">
        <v>93</v>
      </c>
      <c r="JT8" s="161" t="s">
        <v>88</v>
      </c>
      <c r="JU8" s="161" t="s">
        <v>94</v>
      </c>
      <c r="JV8" s="180" t="s">
        <v>90</v>
      </c>
      <c r="JW8" s="180" t="s">
        <v>35</v>
      </c>
      <c r="JX8" s="180" t="s">
        <v>36</v>
      </c>
      <c r="JY8" s="161" t="s">
        <v>31</v>
      </c>
      <c r="JZ8" s="161" t="s">
        <v>32</v>
      </c>
      <c r="KA8" s="161" t="s">
        <v>33</v>
      </c>
      <c r="KB8" s="161" t="s">
        <v>93</v>
      </c>
      <c r="KC8" s="161" t="s">
        <v>88</v>
      </c>
      <c r="KD8" s="161" t="s">
        <v>94</v>
      </c>
      <c r="KE8" s="180" t="s">
        <v>90</v>
      </c>
      <c r="KF8" s="180" t="s">
        <v>35</v>
      </c>
      <c r="KG8" s="180" t="s">
        <v>36</v>
      </c>
      <c r="KH8" s="161" t="s">
        <v>31</v>
      </c>
      <c r="KI8" s="161" t="s">
        <v>32</v>
      </c>
      <c r="KJ8" s="161" t="s">
        <v>33</v>
      </c>
      <c r="KK8" s="161" t="s">
        <v>93</v>
      </c>
      <c r="KL8" s="161" t="s">
        <v>88</v>
      </c>
      <c r="KM8" s="161" t="s">
        <v>94</v>
      </c>
      <c r="KN8" s="180" t="s">
        <v>90</v>
      </c>
      <c r="KO8" s="180" t="s">
        <v>35</v>
      </c>
      <c r="KP8" s="180" t="s">
        <v>36</v>
      </c>
      <c r="KQ8" s="161" t="s">
        <v>31</v>
      </c>
      <c r="KR8" s="161" t="s">
        <v>32</v>
      </c>
      <c r="KS8" s="161" t="s">
        <v>33</v>
      </c>
      <c r="KT8" s="161" t="s">
        <v>93</v>
      </c>
      <c r="KU8" s="161" t="s">
        <v>88</v>
      </c>
      <c r="KV8" s="161" t="s">
        <v>94</v>
      </c>
      <c r="KW8" s="180" t="s">
        <v>90</v>
      </c>
      <c r="KX8" s="180" t="s">
        <v>35</v>
      </c>
      <c r="KY8" s="180" t="s">
        <v>36</v>
      </c>
      <c r="KZ8" s="161" t="s">
        <v>31</v>
      </c>
      <c r="LA8" s="161" t="s">
        <v>32</v>
      </c>
      <c r="LB8" s="161" t="s">
        <v>33</v>
      </c>
      <c r="LC8" s="161" t="s">
        <v>93</v>
      </c>
      <c r="LD8" s="161" t="s">
        <v>88</v>
      </c>
      <c r="LE8" s="161" t="s">
        <v>94</v>
      </c>
      <c r="LF8" s="180" t="s">
        <v>90</v>
      </c>
      <c r="LG8" s="180" t="s">
        <v>35</v>
      </c>
      <c r="LH8" s="180" t="s">
        <v>36</v>
      </c>
      <c r="LI8" s="161" t="s">
        <v>31</v>
      </c>
      <c r="LJ8" s="161" t="s">
        <v>32</v>
      </c>
      <c r="LK8" s="161" t="s">
        <v>33</v>
      </c>
      <c r="LL8" s="161" t="s">
        <v>93</v>
      </c>
      <c r="LM8" s="161" t="s">
        <v>88</v>
      </c>
      <c r="LN8" s="161" t="s">
        <v>94</v>
      </c>
      <c r="LO8" s="180" t="s">
        <v>90</v>
      </c>
      <c r="LP8" s="180" t="s">
        <v>35</v>
      </c>
      <c r="LQ8" s="180" t="s">
        <v>36</v>
      </c>
      <c r="LR8" s="161" t="s">
        <v>31</v>
      </c>
      <c r="LS8" s="161" t="s">
        <v>32</v>
      </c>
      <c r="LT8" s="161" t="s">
        <v>33</v>
      </c>
      <c r="LU8" s="161" t="s">
        <v>93</v>
      </c>
      <c r="LV8" s="161" t="s">
        <v>88</v>
      </c>
      <c r="LW8" s="161" t="s">
        <v>94</v>
      </c>
      <c r="LX8" s="180" t="s">
        <v>90</v>
      </c>
      <c r="LY8" s="180" t="s">
        <v>35</v>
      </c>
      <c r="LZ8" s="180" t="s">
        <v>36</v>
      </c>
      <c r="MA8" s="161" t="s">
        <v>31</v>
      </c>
      <c r="MB8" s="161" t="s">
        <v>32</v>
      </c>
      <c r="MC8" s="161" t="s">
        <v>33</v>
      </c>
      <c r="MD8" s="161" t="s">
        <v>93</v>
      </c>
      <c r="ME8" s="161" t="s">
        <v>88</v>
      </c>
      <c r="MF8" s="161" t="s">
        <v>94</v>
      </c>
      <c r="MG8" s="180" t="s">
        <v>90</v>
      </c>
      <c r="MH8" s="180" t="s">
        <v>35</v>
      </c>
      <c r="MI8" s="180" t="s">
        <v>36</v>
      </c>
      <c r="MJ8" s="161" t="s">
        <v>31</v>
      </c>
      <c r="MK8" s="161" t="s">
        <v>32</v>
      </c>
      <c r="ML8" s="161" t="s">
        <v>33</v>
      </c>
      <c r="MM8" s="161" t="s">
        <v>93</v>
      </c>
      <c r="MN8" s="161" t="s">
        <v>88</v>
      </c>
      <c r="MO8" s="161" t="s">
        <v>94</v>
      </c>
      <c r="MP8" s="180" t="s">
        <v>90</v>
      </c>
      <c r="MQ8" s="180" t="s">
        <v>35</v>
      </c>
      <c r="MR8" s="180" t="s">
        <v>36</v>
      </c>
      <c r="MS8" s="161" t="s">
        <v>31</v>
      </c>
      <c r="MT8" s="161" t="s">
        <v>32</v>
      </c>
      <c r="MU8" s="161" t="s">
        <v>33</v>
      </c>
      <c r="MV8" s="161" t="s">
        <v>93</v>
      </c>
      <c r="MW8" s="161" t="s">
        <v>88</v>
      </c>
      <c r="MX8" s="161" t="s">
        <v>94</v>
      </c>
      <c r="MY8" s="180" t="s">
        <v>90</v>
      </c>
      <c r="MZ8" s="180" t="s">
        <v>35</v>
      </c>
      <c r="NA8" s="180" t="s">
        <v>36</v>
      </c>
      <c r="NB8" s="161" t="s">
        <v>31</v>
      </c>
      <c r="NC8" s="161" t="s">
        <v>32</v>
      </c>
      <c r="ND8" s="161" t="s">
        <v>33</v>
      </c>
      <c r="NE8" s="161" t="s">
        <v>93</v>
      </c>
      <c r="NF8" s="161" t="s">
        <v>88</v>
      </c>
      <c r="NG8" s="161" t="s">
        <v>94</v>
      </c>
      <c r="NH8" s="180" t="s">
        <v>90</v>
      </c>
      <c r="NI8" s="180" t="s">
        <v>35</v>
      </c>
      <c r="NJ8" s="180" t="s">
        <v>36</v>
      </c>
      <c r="NK8" s="161" t="s">
        <v>31</v>
      </c>
      <c r="NL8" s="161" t="s">
        <v>32</v>
      </c>
      <c r="NM8" s="161" t="s">
        <v>33</v>
      </c>
      <c r="NN8" s="161" t="s">
        <v>93</v>
      </c>
      <c r="NO8" s="161" t="s">
        <v>88</v>
      </c>
      <c r="NP8" s="161" t="s">
        <v>94</v>
      </c>
      <c r="NQ8" s="180" t="s">
        <v>90</v>
      </c>
      <c r="NR8" s="180" t="s">
        <v>35</v>
      </c>
      <c r="NS8" s="180" t="s">
        <v>36</v>
      </c>
      <c r="NT8" s="161" t="s">
        <v>31</v>
      </c>
      <c r="NU8" s="161" t="s">
        <v>32</v>
      </c>
      <c r="NV8" s="161" t="s">
        <v>33</v>
      </c>
      <c r="NW8" s="161" t="s">
        <v>93</v>
      </c>
      <c r="NX8" s="161" t="s">
        <v>88</v>
      </c>
      <c r="NY8" s="161" t="s">
        <v>94</v>
      </c>
      <c r="NZ8" s="180" t="s">
        <v>90</v>
      </c>
      <c r="OA8" s="180" t="s">
        <v>35</v>
      </c>
      <c r="OB8" s="180" t="s">
        <v>36</v>
      </c>
      <c r="OC8" s="161" t="s">
        <v>31</v>
      </c>
      <c r="OD8" s="161" t="s">
        <v>32</v>
      </c>
      <c r="OE8" s="161" t="s">
        <v>33</v>
      </c>
      <c r="OF8" s="161" t="s">
        <v>93</v>
      </c>
      <c r="OG8" s="161" t="s">
        <v>88</v>
      </c>
      <c r="OH8" s="161" t="s">
        <v>94</v>
      </c>
      <c r="OI8" s="180" t="s">
        <v>90</v>
      </c>
      <c r="OJ8" s="180" t="s">
        <v>35</v>
      </c>
      <c r="OK8" s="180" t="s">
        <v>36</v>
      </c>
      <c r="OL8" s="161" t="s">
        <v>31</v>
      </c>
      <c r="OM8" s="161" t="s">
        <v>32</v>
      </c>
      <c r="ON8" s="161" t="s">
        <v>33</v>
      </c>
      <c r="OO8" s="161" t="s">
        <v>93</v>
      </c>
      <c r="OP8" s="161" t="s">
        <v>88</v>
      </c>
      <c r="OQ8" s="161" t="s">
        <v>94</v>
      </c>
      <c r="OR8" s="180" t="s">
        <v>90</v>
      </c>
      <c r="OS8" s="180" t="s">
        <v>35</v>
      </c>
      <c r="OT8" s="180" t="s">
        <v>36</v>
      </c>
      <c r="OU8" s="198" t="s">
        <v>85</v>
      </c>
      <c r="OV8" s="198" t="s">
        <v>95</v>
      </c>
      <c r="OW8" s="198" t="s">
        <v>87</v>
      </c>
      <c r="OX8" s="199"/>
      <c r="OY8" s="198"/>
      <c r="OZ8" s="198"/>
      <c r="PA8" s="198"/>
      <c r="PB8" s="198"/>
    </row>
    <row r="9" spans="1:418" ht="14.25" customHeight="1">
      <c r="A9" s="247"/>
      <c r="B9" s="250"/>
      <c r="C9" s="129">
        <v>3</v>
      </c>
      <c r="D9" s="130">
        <v>4</v>
      </c>
      <c r="E9" s="130">
        <v>5</v>
      </c>
      <c r="F9" s="129">
        <v>6</v>
      </c>
      <c r="G9" s="129">
        <v>7</v>
      </c>
      <c r="H9" s="129">
        <v>8</v>
      </c>
      <c r="I9" s="129">
        <v>9</v>
      </c>
      <c r="J9" s="130">
        <v>10</v>
      </c>
      <c r="K9" s="130">
        <v>11</v>
      </c>
      <c r="L9" s="129">
        <v>12</v>
      </c>
      <c r="M9" s="129">
        <v>13</v>
      </c>
      <c r="N9" s="129">
        <v>14</v>
      </c>
      <c r="O9" s="129">
        <v>15</v>
      </c>
      <c r="P9" s="130">
        <v>16</v>
      </c>
      <c r="Q9" s="130">
        <v>17</v>
      </c>
      <c r="R9" s="129">
        <v>18</v>
      </c>
      <c r="S9" s="129">
        <v>19</v>
      </c>
      <c r="T9" s="129">
        <v>20</v>
      </c>
      <c r="U9" s="129">
        <v>21</v>
      </c>
      <c r="V9" s="130">
        <v>22</v>
      </c>
      <c r="W9" s="130">
        <v>23</v>
      </c>
      <c r="X9" s="129">
        <v>24</v>
      </c>
      <c r="Y9" s="129">
        <v>25</v>
      </c>
      <c r="Z9" s="129">
        <v>26</v>
      </c>
      <c r="AA9" s="129">
        <v>27</v>
      </c>
      <c r="AB9" s="130">
        <v>28</v>
      </c>
      <c r="AC9" s="130">
        <v>29</v>
      </c>
      <c r="AD9" s="129">
        <v>30</v>
      </c>
      <c r="AE9" s="129">
        <v>31</v>
      </c>
      <c r="AF9" s="129">
        <v>32</v>
      </c>
      <c r="AG9" s="129">
        <v>33</v>
      </c>
      <c r="AH9" s="129">
        <v>34</v>
      </c>
      <c r="AI9" s="129">
        <v>35</v>
      </c>
      <c r="AJ9" s="129">
        <v>36</v>
      </c>
      <c r="AK9" s="129">
        <v>37</v>
      </c>
      <c r="AL9" s="129">
        <v>38</v>
      </c>
      <c r="AM9" s="129">
        <v>39</v>
      </c>
      <c r="AN9" s="130">
        <v>40</v>
      </c>
      <c r="AO9" s="130">
        <v>41</v>
      </c>
      <c r="AP9" s="129">
        <v>42</v>
      </c>
      <c r="AQ9" s="129">
        <v>43</v>
      </c>
      <c r="AR9" s="129">
        <v>44</v>
      </c>
      <c r="AS9" s="129">
        <v>45</v>
      </c>
      <c r="AT9" s="130">
        <v>46</v>
      </c>
      <c r="AU9" s="130">
        <v>47</v>
      </c>
      <c r="AV9" s="129">
        <v>48</v>
      </c>
      <c r="AW9" s="129">
        <v>49</v>
      </c>
      <c r="AX9" s="129">
        <v>50</v>
      </c>
      <c r="AY9" s="129">
        <v>51</v>
      </c>
      <c r="AZ9" s="130">
        <v>52</v>
      </c>
      <c r="BA9" s="130">
        <v>53</v>
      </c>
      <c r="BB9" s="129">
        <v>54</v>
      </c>
      <c r="BC9" s="129">
        <v>55</v>
      </c>
      <c r="BD9" s="129">
        <v>56</v>
      </c>
      <c r="BE9" s="129">
        <v>57</v>
      </c>
      <c r="BF9" s="130">
        <v>58</v>
      </c>
      <c r="BG9" s="130">
        <v>59</v>
      </c>
      <c r="BH9" s="129">
        <v>60</v>
      </c>
      <c r="BI9" s="129">
        <v>61</v>
      </c>
      <c r="BJ9" s="129">
        <v>62</v>
      </c>
      <c r="BK9" s="129">
        <v>63</v>
      </c>
      <c r="BL9" s="130">
        <v>64</v>
      </c>
      <c r="BM9" s="130">
        <v>65</v>
      </c>
      <c r="BN9" s="129">
        <v>66</v>
      </c>
      <c r="BO9" s="129">
        <v>67</v>
      </c>
      <c r="BP9" s="129">
        <v>68</v>
      </c>
      <c r="BQ9" s="129">
        <v>69</v>
      </c>
      <c r="BR9" s="130">
        <v>70</v>
      </c>
      <c r="BS9" s="130">
        <v>71</v>
      </c>
      <c r="BT9" s="129">
        <v>72</v>
      </c>
      <c r="BU9" s="129">
        <v>73</v>
      </c>
      <c r="BV9" s="129">
        <v>74</v>
      </c>
      <c r="BW9" s="129">
        <v>75</v>
      </c>
      <c r="BX9" s="130">
        <v>76</v>
      </c>
      <c r="BY9" s="130">
        <v>77</v>
      </c>
      <c r="BZ9" s="129">
        <v>78</v>
      </c>
      <c r="CA9" s="129">
        <v>79</v>
      </c>
      <c r="CB9" s="129">
        <v>80</v>
      </c>
      <c r="CC9" s="129">
        <v>81</v>
      </c>
      <c r="CD9" s="130">
        <v>82</v>
      </c>
      <c r="CE9" s="130">
        <v>83</v>
      </c>
      <c r="CF9" s="129">
        <v>84</v>
      </c>
      <c r="CG9" s="129">
        <v>85</v>
      </c>
      <c r="CH9" s="129">
        <v>86</v>
      </c>
      <c r="CI9" s="129">
        <v>87</v>
      </c>
      <c r="CJ9" s="129">
        <v>88</v>
      </c>
      <c r="CK9" s="129">
        <v>89</v>
      </c>
      <c r="CL9" s="129">
        <v>90</v>
      </c>
      <c r="CM9" s="129">
        <v>91</v>
      </c>
      <c r="CN9" s="129">
        <v>92</v>
      </c>
      <c r="CO9" s="129">
        <v>93</v>
      </c>
      <c r="CP9" s="129">
        <v>94</v>
      </c>
      <c r="CQ9" s="129">
        <v>95</v>
      </c>
      <c r="CR9" s="129">
        <v>96</v>
      </c>
      <c r="CS9" s="129">
        <v>97</v>
      </c>
      <c r="CT9" s="129">
        <v>98</v>
      </c>
      <c r="CU9" s="129">
        <v>99</v>
      </c>
      <c r="CV9" s="129">
        <v>100</v>
      </c>
      <c r="CW9" s="129">
        <v>101</v>
      </c>
      <c r="CX9" s="129">
        <v>102</v>
      </c>
      <c r="CY9" s="129">
        <v>103</v>
      </c>
      <c r="CZ9" s="129">
        <v>104</v>
      </c>
      <c r="DA9" s="129">
        <v>105</v>
      </c>
      <c r="DB9" s="129">
        <v>106</v>
      </c>
      <c r="DC9" s="129">
        <v>107</v>
      </c>
      <c r="DD9" s="129">
        <v>108</v>
      </c>
      <c r="DE9" s="129">
        <v>109</v>
      </c>
      <c r="DF9" s="129">
        <v>110</v>
      </c>
      <c r="DG9" s="129">
        <v>111</v>
      </c>
      <c r="DH9" s="129">
        <v>112</v>
      </c>
      <c r="DI9" s="129">
        <v>113</v>
      </c>
      <c r="DJ9" s="129">
        <v>114</v>
      </c>
      <c r="DK9" s="129">
        <v>115</v>
      </c>
      <c r="DL9" s="129">
        <v>116</v>
      </c>
      <c r="DM9" s="129">
        <v>117</v>
      </c>
      <c r="DN9" s="129">
        <v>118</v>
      </c>
      <c r="DO9" s="129">
        <v>119</v>
      </c>
      <c r="DP9" s="129">
        <v>120</v>
      </c>
      <c r="DQ9" s="129">
        <v>121</v>
      </c>
      <c r="DR9" s="129">
        <v>122</v>
      </c>
      <c r="DS9" s="129">
        <v>123</v>
      </c>
      <c r="DT9" s="129">
        <v>124</v>
      </c>
      <c r="DU9" s="129">
        <v>125</v>
      </c>
      <c r="DV9" s="129">
        <v>126</v>
      </c>
      <c r="DW9" s="129">
        <v>127</v>
      </c>
      <c r="DX9" s="129">
        <v>128</v>
      </c>
      <c r="DY9" s="129">
        <v>129</v>
      </c>
      <c r="DZ9" s="129">
        <v>130</v>
      </c>
      <c r="EA9" s="129">
        <v>131</v>
      </c>
      <c r="EB9" s="129">
        <v>132</v>
      </c>
      <c r="EC9" s="129">
        <v>133</v>
      </c>
      <c r="ED9" s="129">
        <v>134</v>
      </c>
      <c r="EE9" s="129">
        <v>135</v>
      </c>
      <c r="EF9" s="129">
        <v>136</v>
      </c>
      <c r="EG9" s="129">
        <v>137</v>
      </c>
      <c r="EH9" s="129">
        <v>138</v>
      </c>
      <c r="EI9" s="129">
        <v>139</v>
      </c>
      <c r="EJ9" s="129">
        <v>140</v>
      </c>
      <c r="EK9" s="129">
        <v>141</v>
      </c>
      <c r="EL9" s="129">
        <v>142</v>
      </c>
      <c r="EM9" s="129">
        <v>143</v>
      </c>
      <c r="EN9" s="129">
        <v>144</v>
      </c>
      <c r="EO9" s="129">
        <v>145</v>
      </c>
      <c r="EP9" s="129">
        <v>146</v>
      </c>
      <c r="EQ9" s="129">
        <v>147</v>
      </c>
      <c r="ER9" s="129">
        <v>148</v>
      </c>
      <c r="ES9" s="129">
        <v>149</v>
      </c>
      <c r="ET9" s="129">
        <v>150</v>
      </c>
      <c r="EU9" s="129">
        <v>151</v>
      </c>
      <c r="EV9" s="129">
        <v>152</v>
      </c>
      <c r="EW9" s="129">
        <v>153</v>
      </c>
      <c r="EX9" s="129">
        <v>154</v>
      </c>
      <c r="EY9" s="129">
        <v>155</v>
      </c>
      <c r="EZ9" s="129">
        <v>156</v>
      </c>
      <c r="FA9" s="129">
        <v>157</v>
      </c>
      <c r="FB9" s="129">
        <v>158</v>
      </c>
      <c r="FC9" s="129">
        <v>159</v>
      </c>
      <c r="FD9" s="129">
        <v>160</v>
      </c>
      <c r="FE9" s="129">
        <v>161</v>
      </c>
      <c r="FF9" s="129">
        <v>162</v>
      </c>
      <c r="FG9" s="129">
        <v>163</v>
      </c>
      <c r="FH9" s="129">
        <v>164</v>
      </c>
      <c r="FI9" s="129">
        <v>165</v>
      </c>
      <c r="FJ9" s="129">
        <v>166</v>
      </c>
      <c r="FK9" s="129">
        <v>167</v>
      </c>
      <c r="FL9" s="129">
        <v>168</v>
      </c>
      <c r="FM9" s="129">
        <v>169</v>
      </c>
      <c r="FN9" s="129">
        <v>170</v>
      </c>
      <c r="FO9" s="129">
        <v>171</v>
      </c>
      <c r="FP9" s="129">
        <v>172</v>
      </c>
      <c r="FQ9" s="129">
        <v>173</v>
      </c>
      <c r="FR9" s="129">
        <v>174</v>
      </c>
      <c r="FS9" s="129">
        <v>175</v>
      </c>
      <c r="FT9" s="129">
        <v>176</v>
      </c>
      <c r="FU9" s="130">
        <v>177</v>
      </c>
      <c r="FV9" s="130">
        <v>178</v>
      </c>
      <c r="FW9" s="129">
        <v>179</v>
      </c>
      <c r="FX9" s="129">
        <v>180</v>
      </c>
      <c r="FY9" s="129">
        <v>181</v>
      </c>
      <c r="FZ9" s="129">
        <v>182</v>
      </c>
      <c r="GA9" s="129">
        <v>183</v>
      </c>
      <c r="GB9" s="129">
        <v>184</v>
      </c>
      <c r="GC9" s="129">
        <v>185</v>
      </c>
      <c r="GD9" s="129">
        <v>186</v>
      </c>
      <c r="GE9" s="129">
        <v>187</v>
      </c>
      <c r="GF9" s="129">
        <v>188</v>
      </c>
      <c r="GG9" s="129">
        <v>189</v>
      </c>
      <c r="GH9" s="129">
        <v>190</v>
      </c>
      <c r="GI9" s="129">
        <v>191</v>
      </c>
      <c r="GJ9" s="129">
        <v>192</v>
      </c>
      <c r="GK9" s="129">
        <v>193</v>
      </c>
      <c r="GL9" s="129">
        <v>194</v>
      </c>
      <c r="GM9" s="129">
        <v>195</v>
      </c>
      <c r="GN9" s="129">
        <v>196</v>
      </c>
      <c r="GO9" s="129">
        <v>197</v>
      </c>
      <c r="GP9" s="129">
        <v>198</v>
      </c>
      <c r="GQ9" s="129">
        <v>199</v>
      </c>
      <c r="GR9" s="129">
        <v>200</v>
      </c>
      <c r="GS9" s="129">
        <v>201</v>
      </c>
      <c r="GT9" s="129">
        <v>202</v>
      </c>
      <c r="GU9" s="129">
        <v>203</v>
      </c>
      <c r="GV9" s="129">
        <v>204</v>
      </c>
      <c r="GW9" s="129">
        <v>205</v>
      </c>
      <c r="GX9" s="129">
        <v>206</v>
      </c>
      <c r="GY9" s="129">
        <v>207</v>
      </c>
      <c r="GZ9" s="129">
        <v>208</v>
      </c>
      <c r="HA9" s="129">
        <v>209</v>
      </c>
      <c r="HB9" s="129">
        <v>210</v>
      </c>
      <c r="HC9" s="129">
        <v>211</v>
      </c>
      <c r="HD9" s="129">
        <v>212</v>
      </c>
      <c r="HE9" s="129">
        <v>213</v>
      </c>
      <c r="HF9" s="129">
        <v>214</v>
      </c>
      <c r="HG9" s="129">
        <v>215</v>
      </c>
      <c r="HH9" s="129">
        <v>216</v>
      </c>
      <c r="HI9" s="130">
        <v>217</v>
      </c>
      <c r="HJ9" s="130">
        <v>218</v>
      </c>
      <c r="HK9" s="129">
        <v>219</v>
      </c>
      <c r="HL9" s="129">
        <v>220</v>
      </c>
      <c r="HM9" s="129">
        <v>221</v>
      </c>
      <c r="HN9" s="129">
        <v>222</v>
      </c>
      <c r="HO9" s="129">
        <v>223</v>
      </c>
      <c r="HP9" s="129">
        <v>224</v>
      </c>
      <c r="HQ9" s="129">
        <v>225</v>
      </c>
      <c r="HR9" s="129">
        <v>226</v>
      </c>
      <c r="HS9" s="129">
        <v>227</v>
      </c>
      <c r="HT9" s="129">
        <v>228</v>
      </c>
      <c r="HU9" s="129">
        <v>229</v>
      </c>
      <c r="HV9" s="129">
        <v>230</v>
      </c>
      <c r="HW9" s="129">
        <v>231</v>
      </c>
      <c r="HX9" s="129">
        <v>232</v>
      </c>
      <c r="HY9" s="129">
        <v>233</v>
      </c>
      <c r="HZ9" s="129">
        <v>234</v>
      </c>
      <c r="IA9" s="129">
        <v>235</v>
      </c>
      <c r="IB9" s="129">
        <v>236</v>
      </c>
      <c r="IC9" s="129">
        <v>237</v>
      </c>
      <c r="ID9" s="129">
        <v>238</v>
      </c>
      <c r="IE9" s="129">
        <v>239</v>
      </c>
      <c r="IF9" s="129">
        <v>240</v>
      </c>
      <c r="IG9" s="129">
        <v>241</v>
      </c>
      <c r="IH9" s="129">
        <v>242</v>
      </c>
      <c r="II9" s="129">
        <v>243</v>
      </c>
      <c r="IJ9" s="129">
        <v>244</v>
      </c>
      <c r="IK9" s="129">
        <v>245</v>
      </c>
      <c r="IL9" s="129">
        <v>246</v>
      </c>
      <c r="IM9" s="129">
        <v>247</v>
      </c>
      <c r="IN9" s="129">
        <v>248</v>
      </c>
      <c r="IO9" s="129">
        <v>249</v>
      </c>
      <c r="IP9" s="129">
        <v>250</v>
      </c>
      <c r="IQ9" s="129">
        <v>251</v>
      </c>
      <c r="IR9" s="129">
        <v>252</v>
      </c>
      <c r="IS9" s="129">
        <v>253</v>
      </c>
      <c r="IT9" s="129">
        <v>254</v>
      </c>
      <c r="IU9" s="129">
        <v>255</v>
      </c>
      <c r="IV9" s="129">
        <v>256</v>
      </c>
      <c r="IW9" s="129">
        <v>257</v>
      </c>
      <c r="IX9" s="129">
        <v>258</v>
      </c>
      <c r="IY9" s="129">
        <v>259</v>
      </c>
      <c r="IZ9" s="129">
        <v>260</v>
      </c>
      <c r="JA9" s="129">
        <v>261</v>
      </c>
      <c r="JB9" s="129">
        <v>262</v>
      </c>
      <c r="JC9" s="129">
        <v>263</v>
      </c>
      <c r="JD9" s="129">
        <v>264</v>
      </c>
      <c r="JE9" s="129">
        <v>265</v>
      </c>
      <c r="JF9" s="129">
        <v>266</v>
      </c>
      <c r="JG9" s="129">
        <v>267</v>
      </c>
      <c r="JH9" s="129">
        <v>268</v>
      </c>
      <c r="JI9" s="129">
        <v>269</v>
      </c>
      <c r="JJ9" s="129">
        <v>270</v>
      </c>
      <c r="JK9" s="129">
        <v>271</v>
      </c>
      <c r="JL9" s="129">
        <v>272</v>
      </c>
      <c r="JM9" s="129">
        <v>273</v>
      </c>
      <c r="JN9" s="129">
        <v>274</v>
      </c>
      <c r="JO9" s="129">
        <v>275</v>
      </c>
      <c r="JP9" s="129">
        <v>276</v>
      </c>
      <c r="JQ9" s="129">
        <v>277</v>
      </c>
      <c r="JR9" s="129">
        <v>278</v>
      </c>
      <c r="JS9" s="129">
        <v>279</v>
      </c>
      <c r="JT9" s="129">
        <v>280</v>
      </c>
      <c r="JU9" s="129">
        <v>281</v>
      </c>
      <c r="JV9" s="129">
        <v>282</v>
      </c>
      <c r="JW9" s="129">
        <v>283</v>
      </c>
      <c r="JX9" s="129">
        <v>284</v>
      </c>
      <c r="JY9" s="129">
        <v>285</v>
      </c>
      <c r="JZ9" s="129">
        <v>286</v>
      </c>
      <c r="KA9" s="129">
        <v>287</v>
      </c>
      <c r="KB9" s="129">
        <v>288</v>
      </c>
      <c r="KC9" s="129">
        <v>289</v>
      </c>
      <c r="KD9" s="129">
        <v>290</v>
      </c>
      <c r="KE9" s="129">
        <v>291</v>
      </c>
      <c r="KF9" s="129">
        <v>292</v>
      </c>
      <c r="KG9" s="129">
        <v>293</v>
      </c>
      <c r="KH9" s="129">
        <v>294</v>
      </c>
      <c r="KI9" s="129">
        <v>295</v>
      </c>
      <c r="KJ9" s="129">
        <v>296</v>
      </c>
      <c r="KK9" s="129">
        <v>297</v>
      </c>
      <c r="KL9" s="129">
        <v>298</v>
      </c>
      <c r="KM9" s="129">
        <v>299</v>
      </c>
      <c r="KN9" s="129">
        <v>300</v>
      </c>
      <c r="KO9" s="129">
        <v>301</v>
      </c>
      <c r="KP9" s="129">
        <v>302</v>
      </c>
      <c r="KQ9" s="129">
        <v>303</v>
      </c>
      <c r="KR9" s="129">
        <v>304</v>
      </c>
      <c r="KS9" s="129">
        <v>305</v>
      </c>
      <c r="KT9" s="129">
        <v>306</v>
      </c>
      <c r="KU9" s="129">
        <v>307</v>
      </c>
      <c r="KV9" s="129">
        <v>308</v>
      </c>
      <c r="KW9" s="129">
        <v>309</v>
      </c>
      <c r="KX9" s="129">
        <v>310</v>
      </c>
      <c r="KY9" s="129">
        <v>311</v>
      </c>
      <c r="KZ9" s="129">
        <v>312</v>
      </c>
      <c r="LA9" s="129">
        <v>313</v>
      </c>
      <c r="LB9" s="129">
        <v>314</v>
      </c>
      <c r="LC9" s="129">
        <v>315</v>
      </c>
      <c r="LD9" s="129">
        <v>316</v>
      </c>
      <c r="LE9" s="129">
        <v>317</v>
      </c>
      <c r="LF9" s="129">
        <v>318</v>
      </c>
      <c r="LG9" s="129">
        <v>319</v>
      </c>
      <c r="LH9" s="129">
        <v>320</v>
      </c>
      <c r="LI9" s="129">
        <v>321</v>
      </c>
      <c r="LJ9" s="129">
        <v>322</v>
      </c>
      <c r="LK9" s="129">
        <v>323</v>
      </c>
      <c r="LL9" s="129">
        <v>324</v>
      </c>
      <c r="LM9" s="129">
        <v>325</v>
      </c>
      <c r="LN9" s="129">
        <v>326</v>
      </c>
      <c r="LO9" s="129">
        <v>327</v>
      </c>
      <c r="LP9" s="129">
        <v>328</v>
      </c>
      <c r="LQ9" s="129">
        <v>329</v>
      </c>
      <c r="LR9" s="129">
        <v>330</v>
      </c>
      <c r="LS9" s="129">
        <v>331</v>
      </c>
      <c r="LT9" s="129">
        <v>332</v>
      </c>
      <c r="LU9" s="129">
        <v>333</v>
      </c>
      <c r="LV9" s="129">
        <v>334</v>
      </c>
      <c r="LW9" s="129">
        <v>335</v>
      </c>
      <c r="LX9" s="129">
        <v>336</v>
      </c>
      <c r="LY9" s="129">
        <v>337</v>
      </c>
      <c r="LZ9" s="129">
        <v>338</v>
      </c>
      <c r="MA9" s="129">
        <v>339</v>
      </c>
      <c r="MB9" s="129">
        <v>340</v>
      </c>
      <c r="MC9" s="129">
        <v>341</v>
      </c>
      <c r="MD9" s="129">
        <v>342</v>
      </c>
      <c r="ME9" s="129">
        <v>343</v>
      </c>
      <c r="MF9" s="129">
        <v>344</v>
      </c>
      <c r="MG9" s="129">
        <v>345</v>
      </c>
      <c r="MH9" s="129">
        <v>346</v>
      </c>
      <c r="MI9" s="129">
        <v>347</v>
      </c>
      <c r="MJ9" s="129">
        <v>348</v>
      </c>
      <c r="MK9" s="129">
        <v>349</v>
      </c>
      <c r="ML9" s="129">
        <v>350</v>
      </c>
      <c r="MM9" s="129">
        <v>351</v>
      </c>
      <c r="MN9" s="129">
        <v>352</v>
      </c>
      <c r="MO9" s="129">
        <v>353</v>
      </c>
      <c r="MP9" s="129">
        <v>354</v>
      </c>
      <c r="MQ9" s="129">
        <v>355</v>
      </c>
      <c r="MR9" s="129">
        <v>356</v>
      </c>
      <c r="MS9" s="129">
        <v>357</v>
      </c>
      <c r="MT9" s="129">
        <v>358</v>
      </c>
      <c r="MU9" s="129">
        <v>359</v>
      </c>
      <c r="MV9" s="129">
        <v>360</v>
      </c>
      <c r="MW9" s="129">
        <v>361</v>
      </c>
      <c r="MX9" s="129">
        <v>362</v>
      </c>
      <c r="MY9" s="129">
        <v>363</v>
      </c>
      <c r="MZ9" s="129">
        <v>364</v>
      </c>
      <c r="NA9" s="129">
        <v>365</v>
      </c>
      <c r="NB9" s="129">
        <v>366</v>
      </c>
      <c r="NC9" s="129">
        <v>367</v>
      </c>
      <c r="ND9" s="129">
        <v>368</v>
      </c>
      <c r="NE9" s="129">
        <v>369</v>
      </c>
      <c r="NF9" s="129">
        <v>370</v>
      </c>
      <c r="NG9" s="129">
        <v>371</v>
      </c>
      <c r="NH9" s="129">
        <v>372</v>
      </c>
      <c r="NI9" s="129">
        <v>373</v>
      </c>
      <c r="NJ9" s="129">
        <v>374</v>
      </c>
      <c r="NK9" s="129">
        <v>375</v>
      </c>
      <c r="NL9" s="129">
        <v>376</v>
      </c>
      <c r="NM9" s="129">
        <v>377</v>
      </c>
      <c r="NN9" s="129">
        <v>378</v>
      </c>
      <c r="NO9" s="129">
        <v>379</v>
      </c>
      <c r="NP9" s="129">
        <v>380</v>
      </c>
      <c r="NQ9" s="129">
        <v>381</v>
      </c>
      <c r="NR9" s="129">
        <v>382</v>
      </c>
      <c r="NS9" s="129">
        <v>383</v>
      </c>
      <c r="NT9" s="129">
        <v>384</v>
      </c>
      <c r="NU9" s="129">
        <v>385</v>
      </c>
      <c r="NV9" s="129">
        <v>386</v>
      </c>
      <c r="NW9" s="129">
        <v>387</v>
      </c>
      <c r="NX9" s="129">
        <v>388</v>
      </c>
      <c r="NY9" s="129">
        <v>389</v>
      </c>
      <c r="NZ9" s="129">
        <v>390</v>
      </c>
      <c r="OA9" s="129">
        <v>391</v>
      </c>
      <c r="OB9" s="129">
        <v>392</v>
      </c>
      <c r="OC9" s="129">
        <v>393</v>
      </c>
      <c r="OD9" s="129">
        <v>394</v>
      </c>
      <c r="OE9" s="129">
        <v>395</v>
      </c>
      <c r="OF9" s="129">
        <v>396</v>
      </c>
      <c r="OG9" s="129">
        <v>397</v>
      </c>
      <c r="OH9" s="129">
        <v>398</v>
      </c>
      <c r="OI9" s="129">
        <v>399</v>
      </c>
      <c r="OJ9" s="129">
        <v>400</v>
      </c>
      <c r="OK9" s="129">
        <v>401</v>
      </c>
      <c r="OL9" s="129">
        <v>402</v>
      </c>
      <c r="OM9" s="129">
        <v>403</v>
      </c>
      <c r="ON9" s="129">
        <v>404</v>
      </c>
      <c r="OO9" s="129">
        <v>405</v>
      </c>
      <c r="OP9" s="129">
        <v>406</v>
      </c>
      <c r="OQ9" s="129">
        <v>407</v>
      </c>
      <c r="OR9" s="129">
        <v>408</v>
      </c>
      <c r="OS9" s="129">
        <v>409</v>
      </c>
      <c r="OT9" s="129">
        <v>410</v>
      </c>
      <c r="OU9" s="129">
        <v>411</v>
      </c>
      <c r="OV9" s="129">
        <v>412</v>
      </c>
      <c r="OW9" s="129">
        <v>413</v>
      </c>
      <c r="OX9" s="129">
        <v>414</v>
      </c>
      <c r="OY9" s="129">
        <v>415</v>
      </c>
      <c r="OZ9" s="129">
        <v>416</v>
      </c>
      <c r="PA9" s="129">
        <v>417</v>
      </c>
      <c r="PB9" s="129">
        <v>418</v>
      </c>
    </row>
    <row r="10" spans="1:418" s="118" customFormat="1" ht="18.75">
      <c r="A10" s="131">
        <v>1</v>
      </c>
      <c r="B10" s="132" t="s">
        <v>96</v>
      </c>
      <c r="C10" s="133" t="s">
        <v>97</v>
      </c>
      <c r="D10" s="134">
        <v>30</v>
      </c>
      <c r="E10" s="134">
        <v>41</v>
      </c>
      <c r="F10" s="135">
        <f t="shared" ref="F10:F73" si="0">SUM(D10:E10)</f>
        <v>71</v>
      </c>
      <c r="G10" s="135">
        <f t="shared" ref="G10:G73" si="1">SUM(D10:E10)</f>
        <v>71</v>
      </c>
      <c r="H10" s="135" t="str">
        <f>IF(G10&gt;=75,"A",IF(G10&gt;=60,"B",IF(G10&gt;=50,"C",IF(G10&gt;=40,"D",IF(G10&gt;=35,"E","F")))))</f>
        <v>B</v>
      </c>
      <c r="I10" s="135" t="str">
        <f>VLOOKUP(RANK(G10,$G$10:$G$109),Sheet1!$A$381:$B$480,2,FALSE)</f>
        <v>30th</v>
      </c>
      <c r="J10" s="134">
        <v>21</v>
      </c>
      <c r="K10" s="134">
        <v>20</v>
      </c>
      <c r="L10" s="135">
        <f t="shared" ref="L10:L73" si="2">SUM(J10:K10)</f>
        <v>41</v>
      </c>
      <c r="M10" s="135">
        <f t="shared" ref="M10:M73" si="3">SUM(J10:K10)</f>
        <v>41</v>
      </c>
      <c r="N10" s="135" t="str">
        <f t="shared" ref="N10:N73" si="4">IF(M10&gt;=75,"A",IF(M10&gt;=60,"B",IF(M10&gt;=50,"C",IF(M10&gt;=40,"D",IF(M10&gt;=35,"E","F")))))</f>
        <v>D</v>
      </c>
      <c r="O10" s="141" t="str">
        <f>VLOOKUP(RANK(M10,$M$10:$M$109),Sheet1!$A$381:$B$480,2,FALSE)</f>
        <v>84th</v>
      </c>
      <c r="P10" s="142">
        <v>30</v>
      </c>
      <c r="Q10" s="145">
        <v>28</v>
      </c>
      <c r="R10" s="146">
        <f t="shared" ref="R10:R73" si="5">SUM(P10:Q10)</f>
        <v>58</v>
      </c>
      <c r="S10" s="135">
        <f t="shared" ref="S10:S73" si="6">SUM(P10:Q10)</f>
        <v>58</v>
      </c>
      <c r="T10" s="135" t="str">
        <f t="shared" ref="T10:T73" si="7">IF(S10&gt;=75,"A",IF(S10&gt;=60,"B",IF(S10&gt;=50,"C",IF(S10&gt;=40,"D",IF(S10&gt;=35,"E","F")))))</f>
        <v>C</v>
      </c>
      <c r="U10" s="135" t="str">
        <f>VLOOKUP(RANK(S10,$S$10:$S$109),Sheet1!$A$381:$B$480,2,FALSE)</f>
        <v>18th</v>
      </c>
      <c r="V10" s="134">
        <v>25</v>
      </c>
      <c r="W10" s="134">
        <v>35</v>
      </c>
      <c r="X10" s="135">
        <f>SUM(V10:W10)</f>
        <v>60</v>
      </c>
      <c r="Y10" s="135">
        <f>SUM(V10:W10)</f>
        <v>60</v>
      </c>
      <c r="Z10" s="135" t="str">
        <f t="shared" ref="Z10:Z73" si="8">IF(Y10&gt;=75,"A",IF(Y10&gt;=60,"B",IF(Y10&gt;=50,"C",IF(Y10&gt;=40,"D",IF(Y10&gt;=35,"E","F")))))</f>
        <v>B</v>
      </c>
      <c r="AA10" s="135" t="str">
        <f>VLOOKUP(RANK(Y10,$Y$10:$Y$109),Sheet1!$A$381:$B$480,2,FALSE)</f>
        <v>34th</v>
      </c>
      <c r="AB10" s="134">
        <v>32</v>
      </c>
      <c r="AC10" s="134">
        <v>31</v>
      </c>
      <c r="AD10" s="135">
        <f t="shared" ref="AD10:AD73" si="9">SUM(AB10:AC10)</f>
        <v>63</v>
      </c>
      <c r="AE10" s="135">
        <f t="shared" ref="AE10:AE73" si="10">SUM(AB10:AC10)</f>
        <v>63</v>
      </c>
      <c r="AF10" s="135" t="str">
        <f t="shared" ref="AF10:AF73" si="11">IF(AE10&gt;=75,"A",IF(AE10&gt;=60,"B",IF(AE10&gt;=50,"C",IF(AE10&gt;=40,"D",IF(AE10&gt;=35,"E","F")))))</f>
        <v>B</v>
      </c>
      <c r="AG10" s="135" t="str">
        <f>VLOOKUP(RANK(AE10,$AE$10:$AE$109),Sheet1!$A$381:$B$480,2,FALSE)</f>
        <v>46th</v>
      </c>
      <c r="AH10" s="135"/>
      <c r="AI10" s="135"/>
      <c r="AJ10" s="135">
        <f t="shared" ref="AJ10:AJ73" si="12">SUM(AH10:AI10)</f>
        <v>0</v>
      </c>
      <c r="AK10" s="135">
        <f t="shared" ref="AK10:AK73" si="13">SUM(AH10:AI10)</f>
        <v>0</v>
      </c>
      <c r="AL10" s="135" t="str">
        <f t="shared" ref="AL10:AL73" si="14">IF(AK10&gt;=75,"A",IF(AK10&gt;=60,"B",IF(AK10&gt;=50,"C",IF(AK10&gt;=40,"D",IF(AK10&gt;=35,"E","F")))))</f>
        <v>F</v>
      </c>
      <c r="AM10" s="135" t="str">
        <f>VLOOKUP(RANK(AK10,$AK$10:$AK$109),Sheet1!$A$381:$B$480,2,FALSE)</f>
        <v>1st</v>
      </c>
      <c r="AN10" s="134"/>
      <c r="AO10" s="134"/>
      <c r="AP10" s="135">
        <f t="shared" ref="AP10:AP73" si="15">SUM(AN10:AO10)</f>
        <v>0</v>
      </c>
      <c r="AQ10" s="135">
        <f t="shared" ref="AQ10:AQ73" si="16">SUM(AN10:AO10)</f>
        <v>0</v>
      </c>
      <c r="AR10" s="135" t="str">
        <f t="shared" ref="AR10:AR73" si="17">IF(AQ10&gt;=75,"A",IF(AQ10&gt;=60,"B",IF(AQ10&gt;=50,"C",IF(AQ10&gt;=40,"D",IF(AQ10&gt;=35,"E","F")))))</f>
        <v>F</v>
      </c>
      <c r="AS10" s="135" t="str">
        <f>VLOOKUP(RANK(AQ10,$AQ$10:$AQ$109),Sheet1!$A$381:$B$480,2,FALSE)</f>
        <v>1st</v>
      </c>
      <c r="AT10" s="142">
        <v>25</v>
      </c>
      <c r="AU10" s="145">
        <v>25</v>
      </c>
      <c r="AV10" s="135">
        <f t="shared" ref="AV10:AV73" si="18">SUM(AT10:AU10)</f>
        <v>50</v>
      </c>
      <c r="AW10" s="135">
        <f t="shared" ref="AW10:AW73" si="19">SUM(AT10:AU10)</f>
        <v>50</v>
      </c>
      <c r="AX10" s="135" t="str">
        <f t="shared" ref="AX10:AX73" si="20">IF(AW10&gt;=75,"A",IF(AW10&gt;=60,"B",IF(AW10&gt;=50,"C",IF(AW10&gt;=40,"D",IF(AW10&gt;=35,"E","F")))))</f>
        <v>C</v>
      </c>
      <c r="AY10" s="141" t="str">
        <f>VLOOKUP(RANK(AW10,$AW$10:$AW$109),Sheet1!$A$381:$B$480,2,FALSE)</f>
        <v>58th</v>
      </c>
      <c r="AZ10" s="142">
        <v>36</v>
      </c>
      <c r="BA10" s="145">
        <v>34</v>
      </c>
      <c r="BB10" s="146">
        <f t="shared" ref="BB10:BB73" si="21">SUM(AZ10:BA10)</f>
        <v>70</v>
      </c>
      <c r="BC10" s="135">
        <f t="shared" ref="BC10:BC73" si="22">SUM(AZ10:BA10)</f>
        <v>70</v>
      </c>
      <c r="BD10" s="135" t="str">
        <f t="shared" ref="BD10:BD73" si="23">IF(BC10&gt;=75,"A",IF(BC10&gt;=60,"B",IF(BC10&gt;=50,"C",IF(BC10&gt;=40,"D",IF(BC10&gt;=35,"E","F")))))</f>
        <v>B</v>
      </c>
      <c r="BE10" s="135" t="str">
        <f>VLOOKUP(RANK(BC10,$BC$10:$BC$109),Sheet1!$A$381:$B$480,2,FALSE)</f>
        <v>10th</v>
      </c>
      <c r="BF10" s="142">
        <v>22</v>
      </c>
      <c r="BG10" s="145">
        <v>12</v>
      </c>
      <c r="BH10" s="135">
        <f t="shared" ref="BH10:BH73" si="24">SUM(BF10:BG10)</f>
        <v>34</v>
      </c>
      <c r="BI10" s="135">
        <f t="shared" ref="BI10:BI73" si="25">SUM(BF10:BG10)</f>
        <v>34</v>
      </c>
      <c r="BJ10" s="135" t="str">
        <f t="shared" ref="BJ10:BJ73" si="26">IF(BI10&gt;=75,"A",IF(BI10&gt;=60,"B",IF(BI10&gt;=50,"C",IF(BI10&gt;=40,"D",IF(BI10&gt;=35,"E","F")))))</f>
        <v>F</v>
      </c>
      <c r="BK10" s="141" t="str">
        <f>VLOOKUP(RANK(BI10,$BI$10:$BI$109),Sheet1!$A$381:$B$480,2,FALSE)</f>
        <v>53rd</v>
      </c>
      <c r="BL10" s="148">
        <v>25</v>
      </c>
      <c r="BM10" s="150">
        <v>27</v>
      </c>
      <c r="BN10" s="146">
        <f t="shared" ref="BN10:BN73" si="27">SUM(BL10:BM10)</f>
        <v>52</v>
      </c>
      <c r="BO10" s="135">
        <f t="shared" ref="BO10:BO73" si="28">SUM(BL10:BM10)</f>
        <v>52</v>
      </c>
      <c r="BP10" s="135" t="str">
        <f t="shared" ref="BP10:BP73" si="29">IF(BO10&gt;=75,"A",IF(BO10&gt;=60,"B",IF(BO10&gt;=50,"C",IF(BO10&gt;=40,"D",IF(BO10&gt;=35,"E","F")))))</f>
        <v>C</v>
      </c>
      <c r="BQ10" s="141" t="str">
        <f>VLOOKUP(RANK(BO10,$BO$10:$BO$109),Sheet1!$A$381:$B$480,2,FALSE)</f>
        <v>56th</v>
      </c>
      <c r="BR10" s="148">
        <v>27</v>
      </c>
      <c r="BS10" s="150">
        <v>2</v>
      </c>
      <c r="BT10" s="146">
        <f t="shared" ref="BT10:BT73" si="30">SUM(BR10:BS10)</f>
        <v>29</v>
      </c>
      <c r="BU10" s="135">
        <f t="shared" ref="BU10:BU73" si="31">SUM(BR10:BS10)</f>
        <v>29</v>
      </c>
      <c r="BV10" s="135" t="str">
        <f t="shared" ref="BV10:BV73" si="32">IF(BU10&gt;=75,"A",IF(BU10&gt;=60,"B",IF(BU10&gt;=50,"C",IF(BU10&gt;=40,"D",IF(BU10&gt;=35,"E","F")))))</f>
        <v>F</v>
      </c>
      <c r="BW10" s="135" t="str">
        <f>VLOOKUP(RANK(BU10,$BU$10:$BU$109),Sheet1!$A$381:$B$480,2,FALSE)</f>
        <v>97th</v>
      </c>
      <c r="BX10" s="148">
        <v>33</v>
      </c>
      <c r="BY10" s="150">
        <v>25</v>
      </c>
      <c r="BZ10" s="135">
        <f t="shared" ref="BZ10:BZ73" si="33">SUM(BX10:BY10)</f>
        <v>58</v>
      </c>
      <c r="CA10" s="135">
        <f t="shared" ref="CA10:CA73" si="34">SUM(BX10:BY10)</f>
        <v>58</v>
      </c>
      <c r="CB10" s="135" t="str">
        <f t="shared" ref="CB10:CB73" si="35">IF(CA10&gt;=75,"A",IF(CA10&gt;=60,"B",IF(CA10&gt;=50,"C",IF(CA10&gt;=40,"D",IF(CA10&gt;=35,"E","F")))))</f>
        <v>C</v>
      </c>
      <c r="CC10" s="135" t="str">
        <f>VLOOKUP(RANK(CA10,$CA$10:$CA$109),Sheet1!$A$381:$B$480,2,FALSE)</f>
        <v>5th</v>
      </c>
      <c r="CD10" s="148">
        <v>25</v>
      </c>
      <c r="CE10" s="150">
        <v>35</v>
      </c>
      <c r="CF10" s="135">
        <f t="shared" ref="CF10:CF73" si="36">SUM(CD10:CE10)</f>
        <v>60</v>
      </c>
      <c r="CG10" s="135">
        <f t="shared" ref="CG10:CG73" si="37">SUM(CD10:CE10)</f>
        <v>60</v>
      </c>
      <c r="CH10" s="135" t="str">
        <f t="shared" ref="CH10:CH73" si="38">IF(CG10&gt;=75,"A",IF(CG10&gt;=60,"B",IF(CG10&gt;=50,"C",IF(CG10&gt;=40,"D",IF(CG10&gt;=35,"E","F")))))</f>
        <v>B</v>
      </c>
      <c r="CI10" s="135" t="str">
        <f>VLOOKUP(RANK(CG10,$CG$10:$CG$109),Sheet1!$A$381:$B$480,2,FALSE)</f>
        <v>32nd</v>
      </c>
      <c r="CJ10" s="135"/>
      <c r="CK10" s="135"/>
      <c r="CL10" s="135">
        <f t="shared" ref="CL10:CL73" si="39">SUM(CJ10:CK10)</f>
        <v>0</v>
      </c>
      <c r="CM10" s="135">
        <f t="shared" ref="CM10:CM73" si="40">SUM(CJ10:CK10)</f>
        <v>0</v>
      </c>
      <c r="CN10" s="135" t="str">
        <f t="shared" ref="CN10:CN73" si="41">IF(CM10&gt;=75,"A",IF(CM10&gt;=60,"B",IF(CM10&gt;=50,"C",IF(CM10&gt;=40,"D",IF(CM10&gt;=35,"E","F")))))</f>
        <v>F</v>
      </c>
      <c r="CO10" s="135" t="str">
        <f>VLOOKUP(RANK(CM10,$CM$10:$CM$109),Sheet1!$A$381:$B$480,2,FALSE)</f>
        <v>1st</v>
      </c>
      <c r="CP10" s="135"/>
      <c r="CQ10" s="135"/>
      <c r="CR10" s="135">
        <f t="shared" ref="CR10:CR73" si="42">SUM(CP10:CQ10)</f>
        <v>0</v>
      </c>
      <c r="CS10" s="135">
        <f t="shared" ref="CS10:CS73" si="43">SUM(CP10:CQ10)</f>
        <v>0</v>
      </c>
      <c r="CT10" s="135" t="str">
        <f t="shared" ref="CT10:CT73" si="44">IF(CS10&gt;=75,"A",IF(CS10&gt;=60,"B",IF(CS10&gt;=50,"C",IF(CS10&gt;=40,"D",IF(CS10&gt;=35,"E","F")))))</f>
        <v>F</v>
      </c>
      <c r="CU10" s="135" t="str">
        <f>VLOOKUP(RANK(CS10,$CS$10:$CS$109),Sheet1!$A$381:$B$480,2,FALSE)</f>
        <v>1st</v>
      </c>
      <c r="CV10" s="151"/>
      <c r="CW10" s="135"/>
      <c r="CX10" s="151">
        <f>SUM(CV10:CW10)</f>
        <v>0</v>
      </c>
      <c r="CY10" s="151">
        <f>SUM(CV10:CW10)</f>
        <v>0</v>
      </c>
      <c r="CZ10" s="135" t="str">
        <f t="shared" ref="CZ10:CZ73" si="45">IF(CY10&gt;=75,"A",IF(CY10&gt;=60,"B",IF(CY10&gt;=50,"C",IF(CY10&gt;=40,"D",IF(CY10&gt;=35,"E","F")))))</f>
        <v>F</v>
      </c>
      <c r="DA10" s="135" t="str">
        <f>VLOOKUP(RANK(CY10,$CY$10:$CY$109),Sheet1!$A$381:$B$480,2,FALSE)</f>
        <v>1st</v>
      </c>
      <c r="DB10" s="135"/>
      <c r="DC10" s="151">
        <f>CR10+CL10+CF10+BZ10+BT10+BH10+BB10+AV10+AP10+AJ10+AD10+X10+L10+F10+BN10+R10+CX10</f>
        <v>646</v>
      </c>
      <c r="DD10" s="151">
        <f>DC10/17</f>
        <v>38</v>
      </c>
      <c r="DE10" s="135" t="str">
        <f>VLOOKUP(RANK(DD10,$DD$10:$DD$109),Sheet1!$A$381:$B$480,2,FALSE)</f>
        <v>40th</v>
      </c>
      <c r="DF10" s="135">
        <f>CV10</f>
        <v>0</v>
      </c>
      <c r="DG10" s="159">
        <f t="shared" ref="DG10:DG73" si="46">SUM(DC10:DD10)</f>
        <v>684</v>
      </c>
      <c r="DH10" s="119"/>
      <c r="DI10" s="162">
        <v>19</v>
      </c>
      <c r="DJ10" s="162">
        <v>51</v>
      </c>
      <c r="DK10" s="135">
        <f t="shared" ref="DK10:DK73" si="47">SUM(DI10:DJ10)</f>
        <v>70</v>
      </c>
      <c r="DL10" s="135" t="str">
        <f t="shared" ref="DL10:DL41" si="48">REPT(G10,1)</f>
        <v>71</v>
      </c>
      <c r="DM10" s="135">
        <f t="shared" ref="DM10:DM73" si="49">DK10+DL10</f>
        <v>141</v>
      </c>
      <c r="DN10" s="135">
        <f t="shared" ref="DN10:DN73" si="50">DM10/2</f>
        <v>70.5</v>
      </c>
      <c r="DO10" s="135" t="str">
        <f t="shared" ref="DO10:DO73" si="51">IF(DN10&gt;=75,"A",IF(DN10&gt;=60,"B",IF(DN10&gt;=50,"C",IF(DN10&gt;=40,"D",IF(DN10&gt;=35,"E","F")))))</f>
        <v>B</v>
      </c>
      <c r="DP10" s="135" t="str">
        <f>VLOOKUP(RANK(DN10,$DN$10:$DN$109),Sheet1!$A$381:$B$480,2,FALSE)</f>
        <v>35th</v>
      </c>
      <c r="DQ10" s="164">
        <v>23</v>
      </c>
      <c r="DR10" s="165">
        <v>24</v>
      </c>
      <c r="DS10" s="135">
        <f t="shared" ref="DS10:DS73" si="52">SUM(DQ10:DR10)</f>
        <v>47</v>
      </c>
      <c r="DT10" s="135" t="str">
        <f t="shared" ref="DT10:DT41" si="53">REPT(M10,1)</f>
        <v>41</v>
      </c>
      <c r="DU10" s="135">
        <f t="shared" ref="DU10:DU73" si="54">DS10+DT10</f>
        <v>88</v>
      </c>
      <c r="DV10" s="135">
        <f t="shared" ref="DV10:DV41" si="55">DU10/2</f>
        <v>44</v>
      </c>
      <c r="DW10" s="135" t="str">
        <f t="shared" ref="DW10:DW73" si="56">IF(DV10&gt;=75,"A",IF(DV10&gt;=60,"B",IF(DV10&gt;=50,"C",IF(DV10&gt;=40,"D",IF(DV10&gt;=35,"E","F")))))</f>
        <v>D</v>
      </c>
      <c r="DX10" s="135" t="str">
        <f>VLOOKUP(RANK(DV10,$DV$10:$DV$109),Sheet1!$A$381:$B$480,2,FALSE)</f>
        <v>76th</v>
      </c>
      <c r="DY10" s="167">
        <v>28</v>
      </c>
      <c r="DZ10" s="165">
        <v>20</v>
      </c>
      <c r="EA10" s="135">
        <f t="shared" ref="EA10:EA73" si="57">SUM(DY10:DZ10)</f>
        <v>48</v>
      </c>
      <c r="EB10" s="135" t="str">
        <f t="shared" ref="EB10:EB41" si="58">REPT(S10,1)</f>
        <v>58</v>
      </c>
      <c r="EC10" s="135">
        <f t="shared" ref="EC10:EC73" si="59">EA10+EB10</f>
        <v>106</v>
      </c>
      <c r="ED10" s="135">
        <f t="shared" ref="ED10:ED73" si="60">EC10/2</f>
        <v>53</v>
      </c>
      <c r="EE10" s="135" t="str">
        <f t="shared" ref="EE10:EE73" si="61">IF(ED10&gt;=75,"A",IF(ED10&gt;=60,"B",IF(ED10&gt;=50,"C",IF(ED10&gt;=40,"D",IF(ED10&gt;=35,"E","F")))))</f>
        <v>C</v>
      </c>
      <c r="EF10" s="135" t="str">
        <f>VLOOKUP(RANK(ED10,$ED$10:$ED$109),Sheet1!$A$381:$B$480,2,FALSE)</f>
        <v>29th</v>
      </c>
      <c r="EG10" s="162">
        <v>21</v>
      </c>
      <c r="EH10" s="162">
        <v>25</v>
      </c>
      <c r="EI10" s="135">
        <f t="shared" ref="EI10:EI73" si="62">SUM(EG10:EH10)</f>
        <v>46</v>
      </c>
      <c r="EJ10" s="135" t="str">
        <f t="shared" ref="EJ10:EJ41" si="63">REPT(X10,1)</f>
        <v>60</v>
      </c>
      <c r="EK10" s="135">
        <f t="shared" ref="EK10:EK73" si="64">EI10+EJ10</f>
        <v>106</v>
      </c>
      <c r="EL10" s="135">
        <f t="shared" ref="EL10:EL73" si="65">EK10/2</f>
        <v>53</v>
      </c>
      <c r="EM10" s="135" t="str">
        <f t="shared" ref="EM10:EM73" si="66">IF(EL10&gt;=75,"A",IF(EL10&gt;=60,"B",IF(EL10&gt;=50,"C",IF(EL10&gt;=40,"D",IF(EL10&gt;=35,"E","F")))))</f>
        <v>C</v>
      </c>
      <c r="EN10" s="135" t="str">
        <f>VLOOKUP(RANK(EL10,$EL$10:$EL$109),Sheet1!$A$381:$B$480,2,FALSE)</f>
        <v>53rd</v>
      </c>
      <c r="EO10" s="162">
        <v>21</v>
      </c>
      <c r="EP10" s="162">
        <v>16</v>
      </c>
      <c r="EQ10" s="135">
        <f t="shared" ref="EQ10:EQ73" si="67">SUM(EO10:EP10)</f>
        <v>37</v>
      </c>
      <c r="ER10" s="135" t="str">
        <f t="shared" ref="ER10:ER41" si="68">REPT(AE10,1)</f>
        <v>63</v>
      </c>
      <c r="ES10" s="135">
        <f t="shared" ref="ES10:ES73" si="69">EQ10+ER10</f>
        <v>100</v>
      </c>
      <c r="ET10" s="135">
        <f t="shared" ref="ET10:ET73" si="70">ES10/2</f>
        <v>50</v>
      </c>
      <c r="EU10" s="135" t="str">
        <f t="shared" ref="EU10:EU73" si="71">IF(ET10&gt;=75,"A",IF(ET10&gt;=60,"B",IF(ET10&gt;=50,"C",IF(ET10&gt;=40,"D",IF(ET10&gt;=35,"E","F")))))</f>
        <v>C</v>
      </c>
      <c r="EV10" s="135" t="str">
        <f>VLOOKUP(RANK(ET10,$ET$10:$ET$109),Sheet1!$A$381:$B$480,2,FALSE)</f>
        <v>60th</v>
      </c>
      <c r="EW10" s="169"/>
      <c r="EX10" s="135"/>
      <c r="EY10" s="135">
        <f t="shared" ref="EY10:EY73" si="72">SUM(EW10:EX10)</f>
        <v>0</v>
      </c>
      <c r="EZ10" s="135" t="str">
        <f t="shared" ref="EZ10:EZ41" si="73">REPT(AK10,1)</f>
        <v>0</v>
      </c>
      <c r="FA10" s="135">
        <f t="shared" ref="FA10:FA73" si="74">EY10+EZ10</f>
        <v>0</v>
      </c>
      <c r="FB10" s="135">
        <f t="shared" ref="FB10:FB73" si="75">FA10/2</f>
        <v>0</v>
      </c>
      <c r="FC10" s="135" t="str">
        <f t="shared" ref="FC10:FC73" si="76">IF(FB10&gt;=75,"A",IF(FB10&gt;=60,"B",IF(FB10&gt;=50,"C",IF(FB10&gt;=40,"D",IF(FB10&gt;=35,"E","F")))))</f>
        <v>F</v>
      </c>
      <c r="FD10" s="135" t="str">
        <f>VLOOKUP(RANK(FB10,$FB$10:$FB$109),Sheet1!$A$381:$B$480,2,FALSE)</f>
        <v>1st</v>
      </c>
      <c r="FE10" s="171"/>
      <c r="FF10" s="135"/>
      <c r="FG10" s="135">
        <f t="shared" ref="FG10:FG73" si="77">SUM(FE10:FF10)</f>
        <v>0</v>
      </c>
      <c r="FH10" s="135" t="str">
        <f t="shared" ref="FH10:FH41" si="78">REPT(AQ10,1)</f>
        <v>0</v>
      </c>
      <c r="FI10" s="135">
        <f t="shared" ref="FI10:FI73" si="79">FG10+FH10</f>
        <v>0</v>
      </c>
      <c r="FJ10" s="135">
        <f t="shared" ref="FJ10:FJ73" si="80">FI10/2</f>
        <v>0</v>
      </c>
      <c r="FK10" s="135" t="str">
        <f t="shared" ref="FK10:FK73" si="81">IF(FJ10&gt;=75,"A",IF(FJ10&gt;=60,"B",IF(FJ10&gt;=50,"C",IF(FJ10&gt;=40,"D",IF(FJ10&gt;=35,"E","F")))))</f>
        <v>F</v>
      </c>
      <c r="FL10" s="135" t="str">
        <f>VLOOKUP(RANK(FJ10,$FJ$10:$FJ$109),Sheet1!$A$381:$B$480,2,FALSE)</f>
        <v>1st</v>
      </c>
      <c r="FM10" s="164">
        <v>29</v>
      </c>
      <c r="FN10" s="165">
        <v>21</v>
      </c>
      <c r="FO10" s="135">
        <f t="shared" ref="FO10:FO73" si="82">SUM(FM10:FN10)</f>
        <v>50</v>
      </c>
      <c r="FP10" s="135" t="str">
        <f t="shared" ref="FP10:FP41" si="83">REPT(AW10,1)</f>
        <v>50</v>
      </c>
      <c r="FQ10" s="135">
        <f t="shared" ref="FQ10:FQ73" si="84">FO10+FP10</f>
        <v>100</v>
      </c>
      <c r="FR10" s="135">
        <f t="shared" ref="FR10:FR73" si="85">FQ10/2</f>
        <v>50</v>
      </c>
      <c r="FS10" s="135" t="str">
        <f t="shared" ref="FS10:FS73" si="86">IF(FR10&gt;=75,"A",IF(FR10&gt;=60,"B",IF(FR10&gt;=50,"C",IF(FR10&gt;=40,"D",IF(FR10&gt;=35,"E","F")))))</f>
        <v>C</v>
      </c>
      <c r="FT10" s="135" t="str">
        <f>VLOOKUP(RANK(FR10,$FR$10:$FR$109),Sheet1!$A$381:$B$480,2,FALSE)</f>
        <v>77th</v>
      </c>
      <c r="FU10" s="148">
        <v>24</v>
      </c>
      <c r="FV10" s="150">
        <v>25</v>
      </c>
      <c r="FW10" s="135">
        <f t="shared" ref="FW10:FW73" si="87">SUM(FU10:FV10)</f>
        <v>49</v>
      </c>
      <c r="FX10" s="135" t="str">
        <f t="shared" ref="FX10:FX41" si="88">REPT(BB10,1)</f>
        <v>70</v>
      </c>
      <c r="FY10" s="135">
        <f>FW10+FX10</f>
        <v>119</v>
      </c>
      <c r="FZ10" s="135">
        <f t="shared" ref="FZ10:FZ73" si="89">FY10/2</f>
        <v>59.5</v>
      </c>
      <c r="GA10" s="135" t="str">
        <f t="shared" ref="GA10:GA73" si="90">IF(FZ10&gt;=75,"A",IF(FZ10&gt;=60,"B",IF(FZ10&gt;=50,"C",IF(FZ10&gt;=40,"D",IF(FZ10&gt;=35,"E","F")))))</f>
        <v>C</v>
      </c>
      <c r="GB10" s="135" t="str">
        <f>VLOOKUP(RANK(FZ10,$FZ$10:$FZ$109),Sheet1!$A$381:$B$480,2,FALSE)</f>
        <v>1st</v>
      </c>
      <c r="GC10" s="164">
        <v>6</v>
      </c>
      <c r="GD10" s="165">
        <v>29</v>
      </c>
      <c r="GE10" s="135">
        <f t="shared" ref="GE10:GE73" si="91">SUM(GC10:GD10)</f>
        <v>35</v>
      </c>
      <c r="GF10" s="135" t="str">
        <f t="shared" ref="GF10:GF41" si="92">REPT(BI10,1)</f>
        <v>34</v>
      </c>
      <c r="GG10" s="135">
        <f>GE10+GF10</f>
        <v>69</v>
      </c>
      <c r="GH10" s="135">
        <f>GG10/2</f>
        <v>34.5</v>
      </c>
      <c r="GI10" s="135" t="str">
        <f t="shared" ref="GI10:GI73" si="93">IF(GH10&gt;=75,"A",IF(GH10&gt;=60,"B",IF(GH10&gt;=50,"C",IF(GH10&gt;=40,"D",IF(GH10&gt;=35,"E","F")))))</f>
        <v>F</v>
      </c>
      <c r="GJ10" s="135" t="str">
        <f>VLOOKUP(RANK(GH10,$GH$10:$GH$109),Sheet1!$A$381:$B$480,2,FALSE)</f>
        <v>62nd</v>
      </c>
      <c r="GK10" s="164">
        <v>26</v>
      </c>
      <c r="GL10" s="165">
        <v>14</v>
      </c>
      <c r="GM10" s="135">
        <f t="shared" ref="GM10:GM73" si="94">SUM(GK10:GL10)</f>
        <v>40</v>
      </c>
      <c r="GN10" s="135" t="str">
        <f t="shared" ref="GN10:GN41" si="95">REPT(BO10,1)</f>
        <v>52</v>
      </c>
      <c r="GO10" s="135">
        <f>GM10+GN10</f>
        <v>92</v>
      </c>
      <c r="GP10" s="135">
        <f t="shared" ref="GP10:GP73" si="96">GO10/2</f>
        <v>46</v>
      </c>
      <c r="GQ10" s="135" t="str">
        <f t="shared" ref="GQ10:GQ73" si="97">IF(GP10&gt;=75,"A",IF(GP10&gt;=60,"B",IF(GP10&gt;=50,"C",IF(GP10&gt;=40,"D",IF(GP10&gt;=35,"E","F")))))</f>
        <v>D</v>
      </c>
      <c r="GR10" s="135" t="str">
        <f>VLOOKUP(RANK(GP10,$GP$10:$GP$109),Sheet1!$A$381:$B$480,2,FALSE)</f>
        <v>82nd</v>
      </c>
      <c r="GS10" s="164">
        <v>28</v>
      </c>
      <c r="GT10" s="165">
        <v>26</v>
      </c>
      <c r="GU10" s="135">
        <f t="shared" ref="GU10:GU73" si="98">SUM(GS10:GT10)</f>
        <v>54</v>
      </c>
      <c r="GV10" s="135" t="str">
        <f t="shared" ref="GV10:GV41" si="99">REPT(BU10,1)</f>
        <v>29</v>
      </c>
      <c r="GW10" s="135">
        <f t="shared" ref="GW10:GW73" si="100">GU10+GV10</f>
        <v>83</v>
      </c>
      <c r="GX10" s="135">
        <f t="shared" ref="GX10:GX73" si="101">GW10/2</f>
        <v>41.5</v>
      </c>
      <c r="GY10" s="135" t="str">
        <f t="shared" ref="GY10:GY73" si="102">IF(GX10&gt;=75,"A",IF(GX10&gt;=60,"B",IF(GX10&gt;=50,"C",IF(GX10&gt;=40,"D",IF(GX10&gt;=35,"E","F")))))</f>
        <v>D</v>
      </c>
      <c r="GZ10" s="135" t="str">
        <f>VLOOKUP(RANK(GX10,$GX$10:$GX$109),Sheet1!$A$381:$B$480,2,FALSE)</f>
        <v>69th</v>
      </c>
      <c r="HA10" s="164">
        <v>30</v>
      </c>
      <c r="HB10" s="165">
        <v>10</v>
      </c>
      <c r="HC10" s="135">
        <f t="shared" ref="HC10:HC73" si="103">SUM(HA10:HB10)</f>
        <v>40</v>
      </c>
      <c r="HD10" s="135" t="str">
        <f t="shared" ref="HD10:HD41" si="104">REPT(CA10,1)</f>
        <v>58</v>
      </c>
      <c r="HE10" s="135">
        <f t="shared" ref="HE10:HE73" si="105">HC10+HD10</f>
        <v>98</v>
      </c>
      <c r="HF10" s="135">
        <f t="shared" ref="HF10:HF73" si="106">HE10/2</f>
        <v>49</v>
      </c>
      <c r="HG10" s="135" t="str">
        <f t="shared" ref="HG10:HG73" si="107">IF(HF10&gt;=75,"A",IF(HF10&gt;=60,"B",IF(HF10&gt;=50,"C",IF(HF10&gt;=40,"D",IF(HF10&gt;=35,"E","F")))))</f>
        <v>D</v>
      </c>
      <c r="HH10" s="135" t="str">
        <f>VLOOKUP(RANK(HF10,$HF$10:$HF$109),Sheet1!$A$381:$B$480,2,FALSE)</f>
        <v>11th</v>
      </c>
      <c r="HI10" s="148">
        <v>25</v>
      </c>
      <c r="HJ10" s="150">
        <v>46</v>
      </c>
      <c r="HK10" s="135">
        <f t="shared" ref="HK10:HK73" si="108">SUM(HI10:HJ10)</f>
        <v>71</v>
      </c>
      <c r="HL10" s="135" t="str">
        <f t="shared" ref="HL10:HL41" si="109">REPT(CG10,1)</f>
        <v>60</v>
      </c>
      <c r="HM10" s="135">
        <f t="shared" ref="HM10:HM73" si="110">HK10+HL10</f>
        <v>131</v>
      </c>
      <c r="HN10" s="135">
        <f t="shared" ref="HN10:HN73" si="111">HM10/2</f>
        <v>65.5</v>
      </c>
      <c r="HO10" s="135" t="str">
        <f t="shared" ref="HO10:HO73" si="112">IF(HN10&gt;=75,"A",IF(HN10&gt;=60,"B",IF(HN10&gt;=50,"C",IF(HN10&gt;=40,"D",IF(HN10&gt;=35,"E","F")))))</f>
        <v>B</v>
      </c>
      <c r="HP10" s="135" t="str">
        <f>VLOOKUP(RANK(HN10,$HN$10:$HN$109),Sheet1!$A$381:$B$480,2,FALSE)</f>
        <v>45th</v>
      </c>
      <c r="HQ10" s="135"/>
      <c r="HR10" s="135"/>
      <c r="HS10" s="135">
        <f t="shared" ref="HS10:HS73" si="113">SUM(HQ10:HR10)</f>
        <v>0</v>
      </c>
      <c r="HT10" s="135" t="str">
        <f t="shared" ref="HT10:HT41" si="114">REPT(CM10,1)</f>
        <v>0</v>
      </c>
      <c r="HU10" s="135">
        <f t="shared" ref="HU10:HU73" si="115">HS10+HT10</f>
        <v>0</v>
      </c>
      <c r="HV10" s="135">
        <f t="shared" ref="HV10:HV73" si="116">HU10/2</f>
        <v>0</v>
      </c>
      <c r="HW10" s="135" t="str">
        <f t="shared" ref="HW10:HW73" si="117">IF(HV10&gt;=75,"A",IF(HV10&gt;=60,"B",IF(HV10&gt;=50,"C",IF(HV10&gt;=40,"D",IF(HV10&gt;=35,"E","F")))))</f>
        <v>F</v>
      </c>
      <c r="HX10" s="135" t="str">
        <f>VLOOKUP(RANK(HV10,$HV$10:$HV$109),Sheet1!$A$381:$B$480,2,FALSE)</f>
        <v>1st</v>
      </c>
      <c r="HY10" s="173"/>
      <c r="HZ10" s="135"/>
      <c r="IA10" s="135">
        <f t="shared" ref="IA10:IA41" si="118">SUM(HY10:HZ10)</f>
        <v>0</v>
      </c>
      <c r="IB10" s="135" t="str">
        <f t="shared" ref="IB10:IB41" si="119">REPT(CS10,1)</f>
        <v>0</v>
      </c>
      <c r="IC10" s="135">
        <f t="shared" ref="IC10:IC73" si="120">IA10+IB10</f>
        <v>0</v>
      </c>
      <c r="ID10" s="135">
        <f t="shared" ref="ID10:ID73" si="121">IC10/2</f>
        <v>0</v>
      </c>
      <c r="IE10" s="135" t="str">
        <f t="shared" ref="IE10:IE73" si="122">IF(ID10&gt;=75,"A",IF(ID10&gt;=60,"B",IF(ID10&gt;=50,"C",IF(ID10&gt;=40,"D",IF(ID10&gt;=35,"E","F")))))</f>
        <v>F</v>
      </c>
      <c r="IF10" s="135" t="str">
        <f>VLOOKUP(RANK(ID10,$ID$10:$ID$109),Sheet1!$A$381:$B$480,2,FALSE)</f>
        <v>1st</v>
      </c>
      <c r="IG10" s="135"/>
      <c r="IH10" s="135"/>
      <c r="II10" s="135">
        <f>SUM(IG10:IH10)</f>
        <v>0</v>
      </c>
      <c r="IJ10" s="135" t="str">
        <f>REPT(CY10,1)</f>
        <v>0</v>
      </c>
      <c r="IK10" s="135">
        <f>II10+IJ10</f>
        <v>0</v>
      </c>
      <c r="IL10" s="135">
        <f>IK10/2</f>
        <v>0</v>
      </c>
      <c r="IM10" s="135" t="str">
        <f t="shared" ref="IM10:IM73" si="123">IF(IL10&gt;=75,"A",IF(IL10&gt;=60,"B",IF(IL10&gt;=50,"C",IF(IL10&gt;=40,"D",IF(IL10&gt;=35,"E","F")))))</f>
        <v>F</v>
      </c>
      <c r="IN10" s="135" t="str">
        <f>VLOOKUP(RANK(IL10,$IL$10:$IL$109),Sheet1!$A$381:$B$480,2,FALSE)</f>
        <v>1st</v>
      </c>
      <c r="IO10" s="135">
        <f>ID10+HV10+HN10+HF10+GX10+GP10+GH10+FZ10+FR10+FJ10+FB10+ET10+EL10+ED10+DV10+DN10+IL10</f>
        <v>616.5</v>
      </c>
      <c r="IP10" s="177">
        <f>IO10/17</f>
        <v>36.264705882352899</v>
      </c>
      <c r="IQ10" s="135" t="str">
        <f>VLOOKUP(RANK(IP10,$IP$10:$IP$109),Sheet1!$A$381:$B$480,2,FALSE)</f>
        <v>42nd</v>
      </c>
      <c r="IR10" s="178"/>
      <c r="IS10" s="135"/>
      <c r="IT10" s="135"/>
      <c r="IU10" s="135"/>
      <c r="IV10" s="135"/>
      <c r="IW10" s="181"/>
      <c r="IX10" s="182"/>
      <c r="IY10" s="183"/>
      <c r="IZ10" s="151">
        <f>SUM(IX10:IY10)</f>
        <v>0</v>
      </c>
      <c r="JA10" s="151" t="str">
        <f t="shared" ref="JA10:JA73" si="124">REPT(G10,1)</f>
        <v>71</v>
      </c>
      <c r="JB10" s="151" t="str">
        <f t="shared" ref="JB10:JB73" si="125">REPT(DK10,1)</f>
        <v>70</v>
      </c>
      <c r="JC10" s="151">
        <f>IZ10+JA10+JB10</f>
        <v>141</v>
      </c>
      <c r="JD10" s="151">
        <f>JC10/3</f>
        <v>47</v>
      </c>
      <c r="JE10" s="135" t="str">
        <f t="shared" ref="JE10:JE73" si="126">IF(JD10&gt;=75,"A",IF(JD10&gt;=60,"B",IF(JD10&gt;=50,"C",IF(JD10&gt;=40,"D",IF(JD10&gt;=35,"E","F")))))</f>
        <v>D</v>
      </c>
      <c r="JF10" s="151" t="str">
        <f>VLOOKUP(RANK(JD10,$JD$10:$JD$109),Sheet1!$A$381:$B$480,2,FALSE)</f>
        <v>35th</v>
      </c>
      <c r="JG10" s="178"/>
      <c r="JH10" s="151"/>
      <c r="JI10" s="151">
        <f t="shared" ref="JI10:JI73" si="127">SUM(JG10:JH10)</f>
        <v>0</v>
      </c>
      <c r="JJ10" s="151" t="str">
        <f t="shared" ref="JJ10:JJ73" si="128">REPT(M10,1)</f>
        <v>41</v>
      </c>
      <c r="JK10" s="151" t="str">
        <f t="shared" ref="JK10:JK73" si="129">REPT(DS10,1)</f>
        <v>47</v>
      </c>
      <c r="JL10" s="151">
        <f>JI10+JJ10+JK10</f>
        <v>88</v>
      </c>
      <c r="JM10" s="151">
        <f>JL10/3</f>
        <v>29.3333333333333</v>
      </c>
      <c r="JN10" s="135" t="str">
        <f t="shared" ref="JN10:JN73" si="130">IF(JM10&gt;=75,"A",IF(JM10&gt;=60,"B",IF(JM10&gt;=50,"C",IF(JM10&gt;=40,"D",IF(JM10&gt;=35,"E","F")))))</f>
        <v>F</v>
      </c>
      <c r="JO10" s="151" t="str">
        <f>VLOOKUP(RANK(JM10,$JM$10:$JM$109),Sheet1!$A$381:$B$480,2,FALSE)</f>
        <v>76th</v>
      </c>
      <c r="JP10" s="188"/>
      <c r="JQ10" s="151"/>
      <c r="JR10" s="151">
        <f t="shared" ref="JR10:JR73" si="131">SUM(JP10:JQ10)</f>
        <v>0</v>
      </c>
      <c r="JS10" s="151" t="str">
        <f t="shared" ref="JS10:JS73" si="132">REPT(S10,1)</f>
        <v>58</v>
      </c>
      <c r="JT10" s="151" t="str">
        <f t="shared" ref="JT10:JT73" si="133">REPT(EA10,1)</f>
        <v>48</v>
      </c>
      <c r="JU10" s="151">
        <f>JR10+JS10+JT10</f>
        <v>106</v>
      </c>
      <c r="JV10" s="151">
        <f>JU10/3</f>
        <v>35.3333333333333</v>
      </c>
      <c r="JW10" s="135" t="str">
        <f t="shared" ref="JW10:JW73" si="134">IF(JV10&gt;=75,"A",IF(JV10&gt;=60,"B",IF(JV10&gt;=50,"C",IF(JV10&gt;=40,"D",IF(JV10&gt;=35,"E","F")))))</f>
        <v>E</v>
      </c>
      <c r="JX10" s="151" t="str">
        <f>VLOOKUP(RANK(JV10,$JV$10:$JV$109),Sheet1!$A$381:$B$480,2,FALSE)</f>
        <v>29th</v>
      </c>
      <c r="JY10" s="151"/>
      <c r="JZ10" s="151"/>
      <c r="KA10" s="151">
        <f t="shared" ref="KA10:KA73" si="135">SUM(JY10:JZ10)</f>
        <v>0</v>
      </c>
      <c r="KB10" s="151" t="str">
        <f t="shared" ref="KB10:KB73" si="136">REPT(X10,1)</f>
        <v>60</v>
      </c>
      <c r="KC10" s="151" t="str">
        <f t="shared" ref="KC10:KC73" si="137">REPT(EI10,1)</f>
        <v>46</v>
      </c>
      <c r="KD10" s="151">
        <f>KA10+KB10+KC10</f>
        <v>106</v>
      </c>
      <c r="KE10" s="151">
        <f>KD10/3</f>
        <v>35.3333333333333</v>
      </c>
      <c r="KF10" s="135" t="str">
        <f t="shared" ref="KF10:KF73" si="138">IF(KE10&gt;=75,"A",IF(KE10&gt;=60,"B",IF(KE10&gt;=50,"C",IF(KE10&gt;=40,"D",IF(KE10&gt;=35,"E","F")))))</f>
        <v>E</v>
      </c>
      <c r="KG10" s="151" t="str">
        <f>VLOOKUP(RANK(KE10,$KE$10:$KE$109),Sheet1!$A$381:$B$480,2,FALSE)</f>
        <v>53rd</v>
      </c>
      <c r="KH10" s="188"/>
      <c r="KI10" s="151"/>
      <c r="KJ10" s="151">
        <f t="shared" ref="KJ10:KJ73" si="139">SUM(KH10:KI10)</f>
        <v>0</v>
      </c>
      <c r="KK10" s="151" t="str">
        <f t="shared" ref="KK10:KK73" si="140">REPT(AD10,1)</f>
        <v>63</v>
      </c>
      <c r="KL10" s="151" t="str">
        <f t="shared" ref="KL10:KL73" si="141">REPT(EQ10,1)</f>
        <v>37</v>
      </c>
      <c r="KM10" s="151">
        <f>KJ10+KK10+KL10</f>
        <v>100</v>
      </c>
      <c r="KN10" s="151">
        <f>KM10/3</f>
        <v>33.3333333333333</v>
      </c>
      <c r="KO10" s="135" t="str">
        <f t="shared" ref="KO10:KO73" si="142">IF(KN10&gt;=75,"A",IF(KN10&gt;=60,"B",IF(KN10&gt;=50,"C",IF(KN10&gt;=40,"D",IF(KN10&gt;=35,"E","F")))))</f>
        <v>F</v>
      </c>
      <c r="KP10" s="151" t="str">
        <f>VLOOKUP(RANK(KN10,$KN$10:$KN$109),Sheet1!$A$381:$B$480,2,FALSE)</f>
        <v>60th</v>
      </c>
      <c r="KQ10" s="188"/>
      <c r="KR10" s="151"/>
      <c r="KS10" s="151">
        <f t="shared" ref="KS10:KS73" si="143">SUM(KQ10:KR10)</f>
        <v>0</v>
      </c>
      <c r="KT10" s="151" t="str">
        <f t="shared" ref="KT10:KT73" si="144">REPT(AK10,1)</f>
        <v>0</v>
      </c>
      <c r="KU10" s="151" t="str">
        <f t="shared" ref="KU10:KU73" si="145">REPT(EY10,1)</f>
        <v>0</v>
      </c>
      <c r="KV10" s="151">
        <f>KS10+KT10+KU10</f>
        <v>0</v>
      </c>
      <c r="KW10" s="151">
        <f>KV10/3</f>
        <v>0</v>
      </c>
      <c r="KX10" s="135" t="str">
        <f t="shared" ref="KX10:KX73" si="146">IF(KW10&gt;=75,"A",IF(KW10&gt;=60,"B",IF(KW10&gt;=50,"C",IF(KW10&gt;=40,"D",IF(KW10&gt;=35,"E","F")))))</f>
        <v>F</v>
      </c>
      <c r="KY10" s="151" t="str">
        <f>VLOOKUP(RANK(KW10,$KW$10:$KW$109),Sheet1!$A$381:$B$480,2,FALSE)</f>
        <v>1st</v>
      </c>
      <c r="KZ10" s="190"/>
      <c r="LA10" s="151"/>
      <c r="LB10" s="151">
        <f t="shared" ref="LB10:LB73" si="147">SUM(KZ10:LA10)</f>
        <v>0</v>
      </c>
      <c r="LC10" s="151" t="str">
        <f t="shared" ref="LC10:LC73" si="148">REPT(AQ10,1)</f>
        <v>0</v>
      </c>
      <c r="LD10" s="151" t="str">
        <f t="shared" ref="LD10:LD73" si="149">REPT(FG10,1)</f>
        <v>0</v>
      </c>
      <c r="LE10" s="151">
        <f>LB10+LC10+LD10</f>
        <v>0</v>
      </c>
      <c r="LF10" s="151">
        <f>LE10/3</f>
        <v>0</v>
      </c>
      <c r="LG10" s="135" t="str">
        <f t="shared" ref="LG10:LG73" si="150">IF(LF10&gt;=75,"A",IF(LF10&gt;=60,"B",IF(LF10&gt;=50,"C",IF(LF10&gt;=40,"D",IF(LF10&gt;=35,"E","F")))))</f>
        <v>F</v>
      </c>
      <c r="LH10" s="151" t="str">
        <f>VLOOKUP(RANK(LF10,$LF$10:$LF$109),Sheet1!$A$381:$B$480,2,FALSE)</f>
        <v>1st</v>
      </c>
      <c r="LI10" s="190"/>
      <c r="LJ10" s="151"/>
      <c r="LK10" s="151">
        <f t="shared" ref="LK10:LK73" si="151">SUM(LI10:LJ10)</f>
        <v>0</v>
      </c>
      <c r="LL10" s="151" t="str">
        <f t="shared" ref="LL10:LL73" si="152">REPT(AW10,1)</f>
        <v>50</v>
      </c>
      <c r="LM10" s="151" t="str">
        <f t="shared" ref="LM10:LM73" si="153">REPT(FO10,1)</f>
        <v>50</v>
      </c>
      <c r="LN10" s="151">
        <f>LK10+LL10+LM10</f>
        <v>100</v>
      </c>
      <c r="LO10" s="151">
        <f>LN10/3</f>
        <v>33.3333333333333</v>
      </c>
      <c r="LP10" s="135" t="str">
        <f t="shared" ref="LP10:LP73" si="154">IF(LO10&gt;=75,"A",IF(LO10&gt;=60,"B",IF(LO10&gt;=50,"C",IF(LO10&gt;=40,"D",IF(LO10&gt;=35,"E","F")))))</f>
        <v>F</v>
      </c>
      <c r="LQ10" s="151" t="str">
        <f>VLOOKUP(RANK(LO10,$LO$10:$LO$109),Sheet1!$A$381:$B$480,2,FALSE)</f>
        <v>77th</v>
      </c>
      <c r="LR10" s="190"/>
      <c r="LS10" s="151"/>
      <c r="LT10" s="151">
        <f t="shared" ref="LT10:LT73" si="155">SUM(LR10:LS10)</f>
        <v>0</v>
      </c>
      <c r="LU10" s="151" t="str">
        <f t="shared" ref="LU10:LU73" si="156">REPT(BB10,1)</f>
        <v>70</v>
      </c>
      <c r="LV10" s="151" t="str">
        <f t="shared" ref="LV10:LV73" si="157">REPT(FW10,1)</f>
        <v>49</v>
      </c>
      <c r="LW10" s="151">
        <f>LT10+LV10+LU10</f>
        <v>119</v>
      </c>
      <c r="LX10" s="151">
        <f>LW10/3</f>
        <v>39.6666666666667</v>
      </c>
      <c r="LY10" s="135" t="str">
        <f t="shared" ref="LY10:LY73" si="158">IF(LX10&gt;=75,"A",IF(LX10&gt;=60,"B",IF(LX10&gt;=50,"C",IF(LX10&gt;=40,"D",IF(LX10&gt;=35,"E","F")))))</f>
        <v>E</v>
      </c>
      <c r="LZ10" s="151" t="str">
        <f>VLOOKUP(RANK(LX10,$LX$10:$LX$109),Sheet1!$A$381:$B$480,2,FALSE)</f>
        <v>22nd</v>
      </c>
      <c r="MA10" s="192"/>
      <c r="MB10" s="151"/>
      <c r="MC10" s="151">
        <f t="shared" ref="MC10:MC73" si="159">SUM(MA10:MB10)</f>
        <v>0</v>
      </c>
      <c r="MD10" s="151" t="str">
        <f t="shared" ref="MD10:MD73" si="160">REPT(BI10,1)</f>
        <v>34</v>
      </c>
      <c r="ME10" s="151" t="str">
        <f t="shared" ref="ME10:ME73" si="161">REPT(GE10,1)</f>
        <v>35</v>
      </c>
      <c r="MF10" s="183">
        <f>MC10+MD10+ME10</f>
        <v>69</v>
      </c>
      <c r="MG10" s="151">
        <f>MF10/3</f>
        <v>23</v>
      </c>
      <c r="MH10" s="135" t="str">
        <f t="shared" ref="MH10:MH73" si="162">IF(MG10&gt;=75,"A",IF(MG10&gt;=60,"B",IF(MG10&gt;=50,"C",IF(MG10&gt;=40,"D",IF(MG10&gt;=35,"E","F")))))</f>
        <v>F</v>
      </c>
      <c r="MI10" s="151" t="str">
        <f>VLOOKUP(RANK(MG10,$MG$10:$MG$109),Sheet1!$A$381:$B$480,2,FALSE)</f>
        <v>62nd</v>
      </c>
      <c r="MJ10" s="190"/>
      <c r="MK10" s="151"/>
      <c r="ML10" s="151">
        <f t="shared" ref="ML10:ML73" si="163">SUM(MJ10:MK10)</f>
        <v>0</v>
      </c>
      <c r="MM10" s="151" t="str">
        <f t="shared" ref="MM10:MM73" si="164">REPT(BO10,1)</f>
        <v>52</v>
      </c>
      <c r="MN10" s="151" t="str">
        <f t="shared" ref="MN10:MN73" si="165">REPT(GM10,1)</f>
        <v>40</v>
      </c>
      <c r="MO10" s="151">
        <f>ML10+MM10+MN10</f>
        <v>92</v>
      </c>
      <c r="MP10" s="151">
        <f>MO10/3</f>
        <v>30.6666666666667</v>
      </c>
      <c r="MQ10" s="135" t="str">
        <f t="shared" ref="MQ10:MQ73" si="166">IF(MP10&gt;=75,"A",IF(MP10&gt;=60,"B",IF(MP10&gt;=50,"C",IF(MP10&gt;=40,"D",IF(MP10&gt;=35,"E","F")))))</f>
        <v>F</v>
      </c>
      <c r="MR10" s="151" t="str">
        <f>VLOOKUP(RANK(MP10,$MP$10:$MP$109),Sheet1!$A$381:$B$480,2,FALSE)</f>
        <v>82nd</v>
      </c>
      <c r="MS10" s="190"/>
      <c r="MT10" s="151"/>
      <c r="MU10" s="151">
        <f t="shared" ref="MU10:MU73" si="167">SUM(MS10:MT10)</f>
        <v>0</v>
      </c>
      <c r="MV10" s="151" t="str">
        <f t="shared" ref="MV10:MV73" si="168">REPT(BU10,1)</f>
        <v>29</v>
      </c>
      <c r="MW10" s="151" t="str">
        <f t="shared" ref="MW10:MW73" si="169">REPT(GU10,1)</f>
        <v>54</v>
      </c>
      <c r="MX10" s="151">
        <f>MU10+MV10+MW10</f>
        <v>83</v>
      </c>
      <c r="MY10" s="151">
        <f>MX10/3</f>
        <v>27.6666666666667</v>
      </c>
      <c r="MZ10" s="135" t="str">
        <f t="shared" ref="MZ10:MZ73" si="170">IF(MY10&gt;=75,"A",IF(MY10&gt;=60,"B",IF(MY10&gt;=50,"C",IF(MY10&gt;=40,"D",IF(MY10&gt;=35,"E","F")))))</f>
        <v>F</v>
      </c>
      <c r="NA10" s="151" t="str">
        <f>VLOOKUP(RANK(MY10,$MY$10:$MY$109),Sheet1!$A$381:$B$480,2,FALSE)</f>
        <v>69th</v>
      </c>
      <c r="NB10" s="192"/>
      <c r="NC10" s="151"/>
      <c r="ND10" s="151">
        <f t="shared" ref="ND10:ND73" si="171">SUM(NB10:NC10)</f>
        <v>0</v>
      </c>
      <c r="NE10" s="151" t="str">
        <f t="shared" ref="NE10:NE73" si="172">REPT(CA10,1)</f>
        <v>58</v>
      </c>
      <c r="NF10" s="151" t="str">
        <f t="shared" ref="NF10:NF73" si="173">REPT(HC10,1)</f>
        <v>40</v>
      </c>
      <c r="NG10" s="151">
        <f>ND10+NF10+NE10</f>
        <v>98</v>
      </c>
      <c r="NH10" s="151">
        <f>NG10/3</f>
        <v>32.6666666666667</v>
      </c>
      <c r="NI10" s="135" t="str">
        <f t="shared" ref="NI10:NI73" si="174">IF(NH10&gt;=75,"A",IF(NH10&gt;=60,"B",IF(NH10&gt;=50,"C",IF(NH10&gt;=40,"D",IF(NH10&gt;=35,"E","F")))))</f>
        <v>F</v>
      </c>
      <c r="NJ10" s="151" t="str">
        <f>VLOOKUP(RANK(NH10,$NH$10:$NH$109),Sheet1!$A$381:$B$480,2,FALSE)</f>
        <v>11th</v>
      </c>
      <c r="NK10" s="151"/>
      <c r="NL10" s="151"/>
      <c r="NM10" s="151">
        <f t="shared" ref="NM10:NM73" si="175">SUM(NK10:NL10)</f>
        <v>0</v>
      </c>
      <c r="NN10" s="151" t="str">
        <f t="shared" ref="NN10:NN73" si="176">REPT(CG10,1)</f>
        <v>60</v>
      </c>
      <c r="NO10" s="151" t="str">
        <f t="shared" ref="NO10:NO73" si="177">REPT(HK10,1)</f>
        <v>71</v>
      </c>
      <c r="NP10" s="151">
        <f>NM10+NO10+NN10</f>
        <v>131</v>
      </c>
      <c r="NQ10" s="151">
        <f t="shared" ref="NQ10:NQ41" si="178">NP10/3</f>
        <v>43.6666666666667</v>
      </c>
      <c r="NR10" s="135" t="str">
        <f t="shared" ref="NR10:NR73" si="179">IF(NQ10&gt;=75,"A",IF(NQ10&gt;=60,"B",IF(NQ10&gt;=50,"C",IF(NQ10&gt;=40,"D",IF(NQ10&gt;=35,"E","F")))))</f>
        <v>D</v>
      </c>
      <c r="NS10" s="151" t="str">
        <f>VLOOKUP(RANK(NQ10,$NQ$10:$NQ$109),Sheet1!$A$381:$B$480,2,FALSE)</f>
        <v>45th</v>
      </c>
      <c r="NT10" s="192"/>
      <c r="NU10" s="151"/>
      <c r="NV10" s="151">
        <f t="shared" ref="NV10:NV73" si="180">SUM(NT10:NU10)</f>
        <v>0</v>
      </c>
      <c r="NW10" s="151" t="str">
        <f t="shared" ref="NW10:NW73" si="181">REPT(CM10,1)</f>
        <v>0</v>
      </c>
      <c r="NX10" s="151" t="str">
        <f t="shared" ref="NX10:NX73" si="182">REPT(HS10,1)</f>
        <v>0</v>
      </c>
      <c r="NY10" s="151">
        <f>NV10+NX10+NW10</f>
        <v>0</v>
      </c>
      <c r="NZ10" s="151">
        <f t="shared" ref="NZ10:NZ41" si="183">NY10/3</f>
        <v>0</v>
      </c>
      <c r="OA10" s="135" t="str">
        <f t="shared" ref="OA10:OA73" si="184">IF(NZ10&gt;=75,"A",IF(NZ10&gt;=60,"B",IF(NZ10&gt;=50,"C",IF(NZ10&gt;=40,"D",IF(NZ10&gt;=35,"E","F")))))</f>
        <v>F</v>
      </c>
      <c r="OB10" s="151" t="str">
        <f>VLOOKUP(RANK(NZ10,$NZ$10:$NZ$109),Sheet1!$A$381:$B$480,2,FALSE)</f>
        <v>1st</v>
      </c>
      <c r="OC10" s="192"/>
      <c r="OD10" s="151"/>
      <c r="OE10" s="151">
        <f t="shared" ref="OE10:OE73" si="185">SUM(OC10:OD10)</f>
        <v>0</v>
      </c>
      <c r="OF10" s="151" t="str">
        <f t="shared" ref="OF10:OF73" si="186">REPT(CS10,1)</f>
        <v>0</v>
      </c>
      <c r="OG10" s="151" t="str">
        <f t="shared" ref="OG10:OG73" si="187">REPT(IA10,1)</f>
        <v>0</v>
      </c>
      <c r="OH10" s="151">
        <f>OE10+OG10+OF10</f>
        <v>0</v>
      </c>
      <c r="OI10" s="151">
        <f>OH10/3</f>
        <v>0</v>
      </c>
      <c r="OJ10" s="135" t="str">
        <f t="shared" ref="OJ10:OJ73" si="188">IF(OI10&gt;=75,"A",IF(OI10&gt;=60,"B",IF(OI10&gt;=50,"C",IF(OI10&gt;=40,"D",IF(OI10&gt;=35,"E","F")))))</f>
        <v>F</v>
      </c>
      <c r="OK10" s="151" t="str">
        <f>VLOOKUP(RANK(OI10,$OI$10:$OI$109),Sheet1!$A$381:$B$480,2,FALSE)</f>
        <v>1st</v>
      </c>
      <c r="OL10" s="192"/>
      <c r="OM10" s="151"/>
      <c r="ON10" s="151">
        <f>SUM(OL10:OM10)</f>
        <v>0</v>
      </c>
      <c r="OO10" s="151" t="str">
        <f>REPT(CY10,1)</f>
        <v>0</v>
      </c>
      <c r="OP10" s="151" t="str">
        <f>REPT(IL10,1)</f>
        <v>0</v>
      </c>
      <c r="OQ10" s="151">
        <f>ON10+OP10+OO10</f>
        <v>0</v>
      </c>
      <c r="OR10" s="151">
        <f>OQ10/3</f>
        <v>0</v>
      </c>
      <c r="OS10" s="135" t="str">
        <f t="shared" ref="OS10:OS73" si="189">IF(OR10&gt;=75,"A",IF(OR10&gt;=60,"B",IF(OR10&gt;=50,"C",IF(OR10&gt;=40,"D",IF(OR10&gt;=35,"E","F")))))</f>
        <v>F</v>
      </c>
      <c r="OT10" s="151" t="str">
        <f>VLOOKUP(RANK(OR10,$OI$10:$OI$109),Sheet1!$A$381:$B$480,2,FALSE)</f>
        <v>1st</v>
      </c>
      <c r="OU10" s="151">
        <f>(OI10+NZ10+NQ10+NH10+MY10+MP10+MG10+LX10+LO10+LF10+KW10+KN10+KE10+JV10+JM10+JD10+OR10)</f>
        <v>411</v>
      </c>
      <c r="OV10" s="200">
        <f>(OI10+NZ10+NQ10+NH10+MY10+MP10+MG10+LX10+LO10+LF10+KW10+KN10+KE10+JV10+JM10+JD10)/17</f>
        <v>24.176470588235301</v>
      </c>
      <c r="OW10" s="151" t="str">
        <f>VLOOKUP(RANK(OV10,$OV$10:$OV$109),Sheet1!$A$381:$B$480,2,FALSE)</f>
        <v>49th</v>
      </c>
      <c r="OX10" s="151"/>
      <c r="OY10" s="151"/>
      <c r="OZ10" s="151"/>
      <c r="PA10" s="151"/>
      <c r="PB10" s="151"/>
    </row>
    <row r="11" spans="1:418" s="118" customFormat="1" ht="18.75">
      <c r="A11" s="131">
        <v>2</v>
      </c>
      <c r="B11" s="132" t="s">
        <v>98</v>
      </c>
      <c r="C11" s="133" t="s">
        <v>97</v>
      </c>
      <c r="D11" s="136">
        <v>31</v>
      </c>
      <c r="E11" s="136">
        <v>39</v>
      </c>
      <c r="F11" s="137">
        <f t="shared" si="0"/>
        <v>70</v>
      </c>
      <c r="G11" s="137">
        <f t="shared" si="1"/>
        <v>70</v>
      </c>
      <c r="H11" s="135" t="str">
        <f t="shared" ref="H11:H42" si="190">IF(G11&gt;=75,"A",IF(G11&gt;=60,"B",IF(G11&gt;=50,"C",IF(G11&gt;=40,"D",IF(G11&gt;=35,"E","F")))))</f>
        <v>B</v>
      </c>
      <c r="I11" s="135" t="str">
        <f>VLOOKUP(RANK(G11,$G$10:$G$109),Sheet1!$A$381:$B$480,2,FALSE)</f>
        <v>36th</v>
      </c>
      <c r="J11" s="136">
        <v>25</v>
      </c>
      <c r="K11" s="136">
        <v>20</v>
      </c>
      <c r="L11" s="137">
        <f t="shared" si="2"/>
        <v>45</v>
      </c>
      <c r="M11" s="137">
        <f t="shared" si="3"/>
        <v>45</v>
      </c>
      <c r="N11" s="135" t="str">
        <f t="shared" si="4"/>
        <v>D</v>
      </c>
      <c r="O11" s="141" t="str">
        <f>VLOOKUP(RANK(M11,$M$10:$M$109),Sheet1!$A$381:$B$480,2,FALSE)</f>
        <v>79th</v>
      </c>
      <c r="P11" s="142">
        <v>29</v>
      </c>
      <c r="Q11" s="145">
        <v>5</v>
      </c>
      <c r="R11" s="147">
        <f t="shared" si="5"/>
        <v>34</v>
      </c>
      <c r="S11" s="137">
        <f t="shared" si="6"/>
        <v>34</v>
      </c>
      <c r="T11" s="135" t="str">
        <f t="shared" si="7"/>
        <v>F</v>
      </c>
      <c r="U11" s="135" t="str">
        <f>VLOOKUP(RANK(S11,$S$10:$S$109),Sheet1!$A$381:$B$480,2,FALSE)</f>
        <v>74th</v>
      </c>
      <c r="V11" s="136">
        <v>36</v>
      </c>
      <c r="W11" s="136">
        <v>13</v>
      </c>
      <c r="X11" s="137">
        <f t="shared" ref="X11:X76" si="191">SUM(V11:W11)</f>
        <v>49</v>
      </c>
      <c r="Y11" s="137">
        <f>SUM(V11:W11)</f>
        <v>49</v>
      </c>
      <c r="Z11" s="135" t="str">
        <f t="shared" si="8"/>
        <v>D</v>
      </c>
      <c r="AA11" s="135" t="str">
        <f>VLOOKUP(RANK(Y11,$Y$10:$Y$109),Sheet1!$A$381:$B$480,2,FALSE)</f>
        <v>71st</v>
      </c>
      <c r="AB11" s="136">
        <v>28</v>
      </c>
      <c r="AC11" s="136">
        <v>12</v>
      </c>
      <c r="AD11" s="137">
        <f t="shared" si="9"/>
        <v>40</v>
      </c>
      <c r="AE11" s="137">
        <f t="shared" si="10"/>
        <v>40</v>
      </c>
      <c r="AF11" s="135" t="str">
        <f t="shared" si="11"/>
        <v>D</v>
      </c>
      <c r="AG11" s="135" t="str">
        <f>VLOOKUP(RANK(AE11,$AE$10:$AE$109),Sheet1!$A$381:$B$480,2,FALSE)</f>
        <v>78th</v>
      </c>
      <c r="AH11" s="137"/>
      <c r="AI11" s="137"/>
      <c r="AJ11" s="137">
        <f t="shared" si="12"/>
        <v>0</v>
      </c>
      <c r="AK11" s="137">
        <f t="shared" si="13"/>
        <v>0</v>
      </c>
      <c r="AL11" s="135" t="str">
        <f t="shared" si="14"/>
        <v>F</v>
      </c>
      <c r="AM11" s="135" t="str">
        <f>VLOOKUP(RANK(AK11,$AK$10:$AK$109),Sheet1!$A$381:$B$480,2,FALSE)</f>
        <v>1st</v>
      </c>
      <c r="AN11" s="136"/>
      <c r="AO11" s="136"/>
      <c r="AP11" s="137">
        <f t="shared" si="15"/>
        <v>0</v>
      </c>
      <c r="AQ11" s="137">
        <f t="shared" si="16"/>
        <v>0</v>
      </c>
      <c r="AR11" s="135" t="str">
        <f t="shared" si="17"/>
        <v>F</v>
      </c>
      <c r="AS11" s="135" t="str">
        <f>VLOOKUP(RANK(AQ11,$AQ$10:$AQ$109),Sheet1!$A$381:$B$480,2,FALSE)</f>
        <v>1st</v>
      </c>
      <c r="AT11" s="142">
        <v>25</v>
      </c>
      <c r="AU11" s="145">
        <v>30</v>
      </c>
      <c r="AV11" s="137">
        <f t="shared" si="18"/>
        <v>55</v>
      </c>
      <c r="AW11" s="137">
        <f t="shared" si="19"/>
        <v>55</v>
      </c>
      <c r="AX11" s="135" t="str">
        <f t="shared" si="20"/>
        <v>C</v>
      </c>
      <c r="AY11" s="141" t="str">
        <f>VLOOKUP(RANK(AW11,$AW$10:$AW$109),Sheet1!$A$381:$B$480,2,FALSE)</f>
        <v>21st</v>
      </c>
      <c r="AZ11" s="142">
        <v>34</v>
      </c>
      <c r="BA11" s="145">
        <v>25</v>
      </c>
      <c r="BB11" s="147">
        <f t="shared" si="21"/>
        <v>59</v>
      </c>
      <c r="BC11" s="137">
        <f t="shared" si="22"/>
        <v>59</v>
      </c>
      <c r="BD11" s="135" t="str">
        <f t="shared" si="23"/>
        <v>C</v>
      </c>
      <c r="BE11" s="135" t="str">
        <f>VLOOKUP(RANK(BC11,$BC$10:$BC$109),Sheet1!$A$381:$B$480,2,FALSE)</f>
        <v>32nd</v>
      </c>
      <c r="BF11" s="142">
        <v>13</v>
      </c>
      <c r="BG11" s="145">
        <v>14</v>
      </c>
      <c r="BH11" s="137">
        <f t="shared" si="24"/>
        <v>27</v>
      </c>
      <c r="BI11" s="137">
        <f t="shared" si="25"/>
        <v>27</v>
      </c>
      <c r="BJ11" s="135" t="str">
        <f t="shared" si="26"/>
        <v>F</v>
      </c>
      <c r="BK11" s="141" t="str">
        <f>VLOOKUP(RANK(BI11,$BI$10:$BI$109),Sheet1!$A$381:$B$480,2,FALSE)</f>
        <v>74th</v>
      </c>
      <c r="BL11" s="148">
        <v>26</v>
      </c>
      <c r="BM11" s="150">
        <v>28</v>
      </c>
      <c r="BN11" s="147">
        <f t="shared" si="27"/>
        <v>54</v>
      </c>
      <c r="BO11" s="137">
        <f t="shared" si="28"/>
        <v>54</v>
      </c>
      <c r="BP11" s="135" t="str">
        <f t="shared" si="29"/>
        <v>C</v>
      </c>
      <c r="BQ11" s="141" t="str">
        <f>VLOOKUP(RANK(BO11,$BO$10:$BO$109),Sheet1!$A$381:$B$480,2,FALSE)</f>
        <v>23rd</v>
      </c>
      <c r="BR11" s="148">
        <v>26</v>
      </c>
      <c r="BS11" s="150">
        <v>6</v>
      </c>
      <c r="BT11" s="147">
        <f t="shared" si="30"/>
        <v>32</v>
      </c>
      <c r="BU11" s="137">
        <f t="shared" si="31"/>
        <v>32</v>
      </c>
      <c r="BV11" s="135" t="str">
        <f t="shared" si="32"/>
        <v>F</v>
      </c>
      <c r="BW11" s="135" t="str">
        <f>VLOOKUP(RANK(BU11,$BU$10:$BU$109),Sheet1!$A$381:$B$480,2,FALSE)</f>
        <v>88th</v>
      </c>
      <c r="BX11" s="148">
        <v>34</v>
      </c>
      <c r="BY11" s="150">
        <v>10</v>
      </c>
      <c r="BZ11" s="137">
        <f t="shared" si="33"/>
        <v>44</v>
      </c>
      <c r="CA11" s="137">
        <f t="shared" si="34"/>
        <v>44</v>
      </c>
      <c r="CB11" s="135" t="str">
        <f t="shared" si="35"/>
        <v>D</v>
      </c>
      <c r="CC11" s="135" t="str">
        <f>VLOOKUP(RANK(CA11,$CA$10:$CA$109),Sheet1!$A$381:$B$480,2,FALSE)</f>
        <v>20th</v>
      </c>
      <c r="CD11" s="148">
        <v>30</v>
      </c>
      <c r="CE11" s="150">
        <v>45</v>
      </c>
      <c r="CF11" s="137">
        <f t="shared" si="36"/>
        <v>75</v>
      </c>
      <c r="CG11" s="137">
        <f t="shared" si="37"/>
        <v>75</v>
      </c>
      <c r="CH11" s="135" t="str">
        <f t="shared" si="38"/>
        <v>A</v>
      </c>
      <c r="CI11" s="135" t="str">
        <f>VLOOKUP(RANK(CG11,$CG$10:$CG$109),Sheet1!$A$381:$B$480,2,FALSE)</f>
        <v>12th</v>
      </c>
      <c r="CJ11" s="137"/>
      <c r="CK11" s="137"/>
      <c r="CL11" s="137">
        <f t="shared" si="39"/>
        <v>0</v>
      </c>
      <c r="CM11" s="137">
        <f t="shared" si="40"/>
        <v>0</v>
      </c>
      <c r="CN11" s="135" t="str">
        <f t="shared" si="41"/>
        <v>F</v>
      </c>
      <c r="CO11" s="135" t="str">
        <f>VLOOKUP(RANK(CM11,$CM$10:$CM$109),Sheet1!$A$381:$B$480,2,FALSE)</f>
        <v>1st</v>
      </c>
      <c r="CP11" s="137"/>
      <c r="CQ11" s="137"/>
      <c r="CR11" s="137">
        <f t="shared" si="42"/>
        <v>0</v>
      </c>
      <c r="CS11" s="137">
        <f t="shared" si="43"/>
        <v>0</v>
      </c>
      <c r="CT11" s="135" t="str">
        <f t="shared" si="44"/>
        <v>F</v>
      </c>
      <c r="CU11" s="135" t="str">
        <f>VLOOKUP(RANK(CS11,$CS$10:$CS$109),Sheet1!$A$381:$B$480,2,FALSE)</f>
        <v>1st</v>
      </c>
      <c r="CV11" s="151"/>
      <c r="CW11" s="135"/>
      <c r="CX11" s="151">
        <f t="shared" ref="CX11:CX42" si="192">SUM(CV11:CW11)</f>
        <v>0</v>
      </c>
      <c r="CY11" s="151">
        <f t="shared" ref="CY11:CY42" si="193">SUM(CV11:CW11)</f>
        <v>0</v>
      </c>
      <c r="CZ11" s="135" t="str">
        <f t="shared" si="45"/>
        <v>F</v>
      </c>
      <c r="DA11" s="135" t="str">
        <f>VLOOKUP(RANK(CY11,$CY$10:$CY$109),Sheet1!$A$381:$B$480,2,FALSE)</f>
        <v>1st</v>
      </c>
      <c r="DB11" s="135"/>
      <c r="DC11" s="151">
        <f t="shared" ref="DC11:DC42" si="194">CR11+CL11+CF11+BZ11+BT11+BH11+BB11+AV11+AP11+AJ11+AD11+X11+L11+F11+BN11+R11+CX11</f>
        <v>584</v>
      </c>
      <c r="DD11" s="151">
        <f t="shared" ref="DD11:DD42" si="195">DC11/17</f>
        <v>34.352941176470601</v>
      </c>
      <c r="DE11" s="135" t="str">
        <f>VLOOKUP(RANK(DD11,$DD$10:$DD$109),Sheet1!$A$381:$B$480,2,FALSE)</f>
        <v>62nd</v>
      </c>
      <c r="DF11" s="137"/>
      <c r="DG11" s="160">
        <f t="shared" si="46"/>
        <v>618.35294117647095</v>
      </c>
      <c r="DH11" s="119"/>
      <c r="DI11" s="163">
        <v>18</v>
      </c>
      <c r="DJ11" s="163">
        <v>35</v>
      </c>
      <c r="DK11" s="137">
        <f t="shared" si="47"/>
        <v>53</v>
      </c>
      <c r="DL11" s="137" t="str">
        <f t="shared" si="48"/>
        <v>70</v>
      </c>
      <c r="DM11" s="137">
        <f t="shared" si="49"/>
        <v>123</v>
      </c>
      <c r="DN11" s="137">
        <f t="shared" si="50"/>
        <v>61.5</v>
      </c>
      <c r="DO11" s="135" t="str">
        <f t="shared" si="51"/>
        <v>B</v>
      </c>
      <c r="DP11" s="135" t="str">
        <f>VLOOKUP(RANK(DN11,$DN$10:$DN$109),Sheet1!$A$381:$B$480,2,FALSE)</f>
        <v>72nd</v>
      </c>
      <c r="DQ11" s="164">
        <v>20</v>
      </c>
      <c r="DR11" s="165">
        <v>15</v>
      </c>
      <c r="DS11" s="137">
        <f t="shared" si="52"/>
        <v>35</v>
      </c>
      <c r="DT11" s="137" t="str">
        <f t="shared" si="53"/>
        <v>45</v>
      </c>
      <c r="DU11" s="137">
        <f t="shared" si="54"/>
        <v>80</v>
      </c>
      <c r="DV11" s="137">
        <f t="shared" si="55"/>
        <v>40</v>
      </c>
      <c r="DW11" s="135" t="str">
        <f t="shared" si="56"/>
        <v>D</v>
      </c>
      <c r="DX11" s="135" t="str">
        <f>VLOOKUP(RANK(DV11,$DV$10:$DV$109),Sheet1!$A$381:$B$480,2,FALSE)</f>
        <v>84th</v>
      </c>
      <c r="DY11" s="167">
        <v>27</v>
      </c>
      <c r="DZ11" s="165">
        <v>21</v>
      </c>
      <c r="EA11" s="137">
        <f t="shared" si="57"/>
        <v>48</v>
      </c>
      <c r="EB11" s="137" t="str">
        <f t="shared" si="58"/>
        <v>34</v>
      </c>
      <c r="EC11" s="137">
        <f t="shared" si="59"/>
        <v>82</v>
      </c>
      <c r="ED11" s="137">
        <f t="shared" si="60"/>
        <v>41</v>
      </c>
      <c r="EE11" s="135" t="str">
        <f t="shared" si="61"/>
        <v>D</v>
      </c>
      <c r="EF11" s="135" t="str">
        <f>VLOOKUP(RANK(ED11,$ED$10:$ED$109),Sheet1!$A$381:$B$480,2,FALSE)</f>
        <v>65th</v>
      </c>
      <c r="EG11" s="163">
        <v>21</v>
      </c>
      <c r="EH11" s="163">
        <v>33</v>
      </c>
      <c r="EI11" s="137">
        <f t="shared" si="62"/>
        <v>54</v>
      </c>
      <c r="EJ11" s="137" t="str">
        <f t="shared" si="63"/>
        <v>49</v>
      </c>
      <c r="EK11" s="137">
        <f t="shared" si="64"/>
        <v>103</v>
      </c>
      <c r="EL11" s="137">
        <f t="shared" si="65"/>
        <v>51.5</v>
      </c>
      <c r="EM11" s="135" t="str">
        <f t="shared" si="66"/>
        <v>C</v>
      </c>
      <c r="EN11" s="135" t="str">
        <f>VLOOKUP(RANK(EL11,$EL$10:$EL$109),Sheet1!$A$381:$B$480,2,FALSE)</f>
        <v>57th</v>
      </c>
      <c r="EO11" s="163">
        <v>27</v>
      </c>
      <c r="EP11" s="163">
        <v>22</v>
      </c>
      <c r="EQ11" s="137">
        <f t="shared" si="67"/>
        <v>49</v>
      </c>
      <c r="ER11" s="137" t="str">
        <f t="shared" si="68"/>
        <v>40</v>
      </c>
      <c r="ES11" s="137">
        <f t="shared" si="69"/>
        <v>89</v>
      </c>
      <c r="ET11" s="137">
        <f t="shared" si="70"/>
        <v>44.5</v>
      </c>
      <c r="EU11" s="135" t="str">
        <f t="shared" si="71"/>
        <v>D</v>
      </c>
      <c r="EV11" s="135" t="str">
        <f>VLOOKUP(RANK(ET11,$ET$10:$ET$109),Sheet1!$A$381:$B$480,2,FALSE)</f>
        <v>69th</v>
      </c>
      <c r="EW11" s="170"/>
      <c r="EX11" s="137"/>
      <c r="EY11" s="137">
        <f t="shared" si="72"/>
        <v>0</v>
      </c>
      <c r="EZ11" s="137" t="str">
        <f t="shared" si="73"/>
        <v>0</v>
      </c>
      <c r="FA11" s="137">
        <f t="shared" si="74"/>
        <v>0</v>
      </c>
      <c r="FB11" s="137">
        <f t="shared" si="75"/>
        <v>0</v>
      </c>
      <c r="FC11" s="135" t="str">
        <f t="shared" si="76"/>
        <v>F</v>
      </c>
      <c r="FD11" s="135" t="str">
        <f>VLOOKUP(RANK(FB11,$FB$10:$FB$109),Sheet1!$A$381:$B$480,2,FALSE)</f>
        <v>1st</v>
      </c>
      <c r="FE11" s="172"/>
      <c r="FF11" s="137"/>
      <c r="FG11" s="137">
        <f t="shared" si="77"/>
        <v>0</v>
      </c>
      <c r="FH11" s="137" t="str">
        <f t="shared" si="78"/>
        <v>0</v>
      </c>
      <c r="FI11" s="137">
        <f t="shared" si="79"/>
        <v>0</v>
      </c>
      <c r="FJ11" s="137">
        <f t="shared" si="80"/>
        <v>0</v>
      </c>
      <c r="FK11" s="135" t="str">
        <f t="shared" si="81"/>
        <v>F</v>
      </c>
      <c r="FL11" s="135" t="str">
        <f>VLOOKUP(RANK(FJ11,$FJ$10:$FJ$109),Sheet1!$A$381:$B$480,2,FALSE)</f>
        <v>1st</v>
      </c>
      <c r="FM11" s="164">
        <v>26</v>
      </c>
      <c r="FN11" s="165">
        <v>24</v>
      </c>
      <c r="FO11" s="137">
        <f t="shared" si="82"/>
        <v>50</v>
      </c>
      <c r="FP11" s="137" t="str">
        <f t="shared" si="83"/>
        <v>55</v>
      </c>
      <c r="FQ11" s="137">
        <f t="shared" si="84"/>
        <v>105</v>
      </c>
      <c r="FR11" s="137">
        <f t="shared" si="85"/>
        <v>52.5</v>
      </c>
      <c r="FS11" s="135" t="str">
        <f t="shared" si="86"/>
        <v>C</v>
      </c>
      <c r="FT11" s="135" t="str">
        <f>VLOOKUP(RANK(FR11,$FR$10:$FR$109),Sheet1!$A$381:$B$480,2,FALSE)</f>
        <v>40th</v>
      </c>
      <c r="FU11" s="148">
        <v>38</v>
      </c>
      <c r="FV11" s="150">
        <v>30</v>
      </c>
      <c r="FW11" s="137">
        <f t="shared" si="87"/>
        <v>68</v>
      </c>
      <c r="FX11" s="137" t="str">
        <f t="shared" si="88"/>
        <v>59</v>
      </c>
      <c r="FY11" s="137">
        <f t="shared" ref="FY11:FY74" si="196">SUM(FW11:FX11)</f>
        <v>68</v>
      </c>
      <c r="FZ11" s="137">
        <f t="shared" si="89"/>
        <v>34</v>
      </c>
      <c r="GA11" s="135" t="str">
        <f t="shared" si="90"/>
        <v>F</v>
      </c>
      <c r="GB11" s="135" t="str">
        <f>VLOOKUP(RANK(FZ11,$FZ$10:$FZ$109),Sheet1!$A$381:$B$480,2,FALSE)</f>
        <v>4th</v>
      </c>
      <c r="GC11" s="164">
        <v>22</v>
      </c>
      <c r="GD11" s="165">
        <v>26</v>
      </c>
      <c r="GE11" s="137">
        <f t="shared" si="91"/>
        <v>48</v>
      </c>
      <c r="GF11" s="137" t="str">
        <f t="shared" si="92"/>
        <v>27</v>
      </c>
      <c r="GG11" s="135">
        <f t="shared" ref="GG11:GG42" si="197">GE11+GF11</f>
        <v>75</v>
      </c>
      <c r="GH11" s="137">
        <f t="shared" ref="GH11:GH42" si="198">GG11/2</f>
        <v>37.5</v>
      </c>
      <c r="GI11" s="135" t="str">
        <f t="shared" si="93"/>
        <v>E</v>
      </c>
      <c r="GJ11" s="135" t="str">
        <f>VLOOKUP(RANK(GH11,$GH$10:$GH$109),Sheet1!$A$381:$B$480,2,FALSE)</f>
        <v>53rd</v>
      </c>
      <c r="GK11" s="164">
        <v>25</v>
      </c>
      <c r="GL11" s="165">
        <v>17</v>
      </c>
      <c r="GM11" s="137">
        <f t="shared" si="94"/>
        <v>42</v>
      </c>
      <c r="GN11" s="137" t="str">
        <f t="shared" si="95"/>
        <v>54</v>
      </c>
      <c r="GO11" s="135">
        <f t="shared" ref="GO11:GO42" si="199">GM11+GN11</f>
        <v>96</v>
      </c>
      <c r="GP11" s="137">
        <f t="shared" si="96"/>
        <v>48</v>
      </c>
      <c r="GQ11" s="135" t="str">
        <f t="shared" si="97"/>
        <v>D</v>
      </c>
      <c r="GR11" s="135" t="str">
        <f>VLOOKUP(RANK(GP11,$GP$10:$GP$109),Sheet1!$A$381:$B$480,2,FALSE)</f>
        <v>45th</v>
      </c>
      <c r="GS11" s="164">
        <v>27</v>
      </c>
      <c r="GT11" s="165">
        <v>28</v>
      </c>
      <c r="GU11" s="137">
        <f t="shared" si="98"/>
        <v>55</v>
      </c>
      <c r="GV11" s="137" t="str">
        <f t="shared" si="99"/>
        <v>32</v>
      </c>
      <c r="GW11" s="137">
        <f t="shared" si="100"/>
        <v>87</v>
      </c>
      <c r="GX11" s="137">
        <f t="shared" si="101"/>
        <v>43.5</v>
      </c>
      <c r="GY11" s="135" t="str">
        <f t="shared" si="102"/>
        <v>D</v>
      </c>
      <c r="GZ11" s="135" t="str">
        <f>VLOOKUP(RANK(GX11,$GX$10:$GX$109),Sheet1!$A$381:$B$480,2,FALSE)</f>
        <v>66th</v>
      </c>
      <c r="HA11" s="164">
        <v>32</v>
      </c>
      <c r="HB11" s="165">
        <v>14</v>
      </c>
      <c r="HC11" s="137">
        <f t="shared" si="103"/>
        <v>46</v>
      </c>
      <c r="HD11" s="137" t="str">
        <f t="shared" si="104"/>
        <v>44</v>
      </c>
      <c r="HE11" s="137">
        <f t="shared" si="105"/>
        <v>90</v>
      </c>
      <c r="HF11" s="137">
        <f t="shared" si="106"/>
        <v>45</v>
      </c>
      <c r="HG11" s="135" t="str">
        <f t="shared" si="107"/>
        <v>D</v>
      </c>
      <c r="HH11" s="135" t="str">
        <f>VLOOKUP(RANK(HF11,$HF$10:$HF$109),Sheet1!$A$381:$B$480,2,FALSE)</f>
        <v>23rd</v>
      </c>
      <c r="HI11" s="148">
        <v>26</v>
      </c>
      <c r="HJ11" s="150">
        <v>41</v>
      </c>
      <c r="HK11" s="137">
        <f t="shared" si="108"/>
        <v>67</v>
      </c>
      <c r="HL11" s="137" t="str">
        <f t="shared" si="109"/>
        <v>75</v>
      </c>
      <c r="HM11" s="137">
        <f t="shared" si="110"/>
        <v>142</v>
      </c>
      <c r="HN11" s="137">
        <f t="shared" si="111"/>
        <v>71</v>
      </c>
      <c r="HO11" s="135" t="str">
        <f t="shared" si="112"/>
        <v>B</v>
      </c>
      <c r="HP11" s="135" t="str">
        <f>VLOOKUP(RANK(HN11,$HN$10:$HN$109),Sheet1!$A$381:$B$480,2,FALSE)</f>
        <v>23rd</v>
      </c>
      <c r="HQ11" s="137"/>
      <c r="HR11" s="137"/>
      <c r="HS11" s="137">
        <f t="shared" si="113"/>
        <v>0</v>
      </c>
      <c r="HT11" s="137" t="str">
        <f t="shared" si="114"/>
        <v>0</v>
      </c>
      <c r="HU11" s="137">
        <f t="shared" si="115"/>
        <v>0</v>
      </c>
      <c r="HV11" s="137">
        <f t="shared" si="116"/>
        <v>0</v>
      </c>
      <c r="HW11" s="135" t="str">
        <f t="shared" si="117"/>
        <v>F</v>
      </c>
      <c r="HX11" s="135" t="str">
        <f>VLOOKUP(RANK(HV11,$HV$10:$HV$109),Sheet1!$A$381:$B$480,2,FALSE)</f>
        <v>1st</v>
      </c>
      <c r="HY11" s="174"/>
      <c r="HZ11" s="137"/>
      <c r="IA11" s="137">
        <f t="shared" si="118"/>
        <v>0</v>
      </c>
      <c r="IB11" s="137" t="str">
        <f t="shared" si="119"/>
        <v>0</v>
      </c>
      <c r="IC11" s="137">
        <f t="shared" si="120"/>
        <v>0</v>
      </c>
      <c r="ID11" s="137">
        <f t="shared" si="121"/>
        <v>0</v>
      </c>
      <c r="IE11" s="135" t="str">
        <f t="shared" si="122"/>
        <v>F</v>
      </c>
      <c r="IF11" s="135" t="str">
        <f>VLOOKUP(RANK(ID11,$ID$10:$ID$109),Sheet1!$A$381:$B$480,2,FALSE)</f>
        <v>1st</v>
      </c>
      <c r="IG11" s="135"/>
      <c r="IH11" s="135"/>
      <c r="II11" s="135">
        <f t="shared" ref="II11:II42" si="200">SUM(IG11:IH11)</f>
        <v>0</v>
      </c>
      <c r="IJ11" s="135" t="str">
        <f t="shared" ref="IJ11:IJ42" si="201">REPT(CY11,1)</f>
        <v>0</v>
      </c>
      <c r="IK11" s="135">
        <f t="shared" ref="IK11:IK42" si="202">II11+IJ11</f>
        <v>0</v>
      </c>
      <c r="IL11" s="135">
        <f t="shared" ref="IL11:IL42" si="203">IK11/2</f>
        <v>0</v>
      </c>
      <c r="IM11" s="135" t="str">
        <f t="shared" si="123"/>
        <v>F</v>
      </c>
      <c r="IN11" s="135" t="str">
        <f>VLOOKUP(RANK(IL11,$IL$10:$IL$109),Sheet1!$A$381:$B$480,2,FALSE)</f>
        <v>1st</v>
      </c>
      <c r="IO11" s="135">
        <f t="shared" ref="IO11:IO42" si="204">ID11+HV11+HN11+HF11+GX11+GP11+GH11+FZ11+FR11+FJ11+FB11+ET11+EL11+ED11+DV11+DN11+IL11</f>
        <v>570</v>
      </c>
      <c r="IP11" s="177">
        <f t="shared" ref="IP11:IP42" si="205">IO11/17</f>
        <v>33.529411764705898</v>
      </c>
      <c r="IQ11" s="135" t="str">
        <f>VLOOKUP(RANK(IP11,$IP$10:$IP$109),Sheet1!$A$381:$B$480,2,FALSE)</f>
        <v>56th</v>
      </c>
      <c r="IR11" s="178"/>
      <c r="IS11" s="137"/>
      <c r="IT11" s="137"/>
      <c r="IU11" s="137"/>
      <c r="IV11" s="137"/>
      <c r="IW11" s="181"/>
      <c r="IX11" s="184"/>
      <c r="IY11" s="185"/>
      <c r="IZ11" s="186">
        <f t="shared" ref="IZ11:IZ73" si="206">SUM(IX11:IY11)</f>
        <v>0</v>
      </c>
      <c r="JA11" s="186" t="str">
        <f t="shared" si="124"/>
        <v>70</v>
      </c>
      <c r="JB11" s="186" t="str">
        <f t="shared" si="125"/>
        <v>53</v>
      </c>
      <c r="JC11" s="186">
        <f t="shared" ref="JC11:JC42" si="207">IZ11+JA11+JB11</f>
        <v>123</v>
      </c>
      <c r="JD11" s="186">
        <f t="shared" ref="JD11:JD42" si="208">JC11/3</f>
        <v>41</v>
      </c>
      <c r="JE11" s="135" t="str">
        <f t="shared" si="126"/>
        <v>D</v>
      </c>
      <c r="JF11" s="151" t="str">
        <f>VLOOKUP(RANK(JD11,$JD$10:$JD$109),Sheet1!$A$381:$B$480,2,FALSE)</f>
        <v>72nd</v>
      </c>
      <c r="JG11" s="187"/>
      <c r="JH11" s="186"/>
      <c r="JI11" s="186">
        <f t="shared" si="127"/>
        <v>0</v>
      </c>
      <c r="JJ11" s="186" t="str">
        <f t="shared" si="128"/>
        <v>45</v>
      </c>
      <c r="JK11" s="186" t="str">
        <f t="shared" si="129"/>
        <v>35</v>
      </c>
      <c r="JL11" s="186">
        <f t="shared" ref="JL11:JL42" si="209">JI11+JJ11+JK11</f>
        <v>80</v>
      </c>
      <c r="JM11" s="186">
        <f t="shared" ref="JM11:JM42" si="210">JL11/3</f>
        <v>26.6666666666667</v>
      </c>
      <c r="JN11" s="135" t="str">
        <f t="shared" si="130"/>
        <v>F</v>
      </c>
      <c r="JO11" s="151" t="str">
        <f>VLOOKUP(RANK(JM11,$JM$10:$JM$109),Sheet1!$A$381:$B$480,2,FALSE)</f>
        <v>84th</v>
      </c>
      <c r="JP11" s="189"/>
      <c r="JQ11" s="186"/>
      <c r="JR11" s="186">
        <f t="shared" si="131"/>
        <v>0</v>
      </c>
      <c r="JS11" s="186" t="str">
        <f t="shared" si="132"/>
        <v>34</v>
      </c>
      <c r="JT11" s="186" t="str">
        <f t="shared" si="133"/>
        <v>48</v>
      </c>
      <c r="JU11" s="186">
        <f t="shared" ref="JU11:JU42" si="211">JR11+JS11+JT11</f>
        <v>82</v>
      </c>
      <c r="JV11" s="186">
        <f t="shared" ref="JV11:JV42" si="212">JU11/3</f>
        <v>27.3333333333333</v>
      </c>
      <c r="JW11" s="135" t="str">
        <f t="shared" si="134"/>
        <v>F</v>
      </c>
      <c r="JX11" s="151" t="str">
        <f>VLOOKUP(RANK(JV11,$JV$10:$JV$109),Sheet1!$A$381:$B$480,2,FALSE)</f>
        <v>65th</v>
      </c>
      <c r="JY11" s="186"/>
      <c r="JZ11" s="186"/>
      <c r="KA11" s="186">
        <f t="shared" si="135"/>
        <v>0</v>
      </c>
      <c r="KB11" s="186" t="str">
        <f t="shared" si="136"/>
        <v>49</v>
      </c>
      <c r="KC11" s="186" t="str">
        <f t="shared" si="137"/>
        <v>54</v>
      </c>
      <c r="KD11" s="186">
        <f t="shared" ref="KD11:KD42" si="213">KA11+KB11+KC11</f>
        <v>103</v>
      </c>
      <c r="KE11" s="186">
        <f t="shared" ref="KE11:KE42" si="214">KD11/3</f>
        <v>34.3333333333333</v>
      </c>
      <c r="KF11" s="135" t="str">
        <f t="shared" si="138"/>
        <v>F</v>
      </c>
      <c r="KG11" s="151" t="str">
        <f>VLOOKUP(RANK(KE11,$KE$10:$KE$109),Sheet1!$A$381:$B$480,2,FALSE)</f>
        <v>57th</v>
      </c>
      <c r="KH11" s="189"/>
      <c r="KI11" s="186"/>
      <c r="KJ11" s="186">
        <f t="shared" si="139"/>
        <v>0</v>
      </c>
      <c r="KK11" s="186" t="str">
        <f t="shared" si="140"/>
        <v>40</v>
      </c>
      <c r="KL11" s="186" t="str">
        <f t="shared" si="141"/>
        <v>49</v>
      </c>
      <c r="KM11" s="186">
        <f t="shared" ref="KM11:KM42" si="215">KJ11+KK11+KL11</f>
        <v>89</v>
      </c>
      <c r="KN11" s="186">
        <f t="shared" ref="KN11:KN42" si="216">KM11/3</f>
        <v>29.6666666666667</v>
      </c>
      <c r="KO11" s="135" t="str">
        <f t="shared" si="142"/>
        <v>F</v>
      </c>
      <c r="KP11" s="151" t="str">
        <f>VLOOKUP(RANK(KN11,$KN$10:$KN$109),Sheet1!$A$381:$B$480,2,FALSE)</f>
        <v>69th</v>
      </c>
      <c r="KQ11" s="189"/>
      <c r="KR11" s="186"/>
      <c r="KS11" s="186">
        <f t="shared" si="143"/>
        <v>0</v>
      </c>
      <c r="KT11" s="186" t="str">
        <f t="shared" si="144"/>
        <v>0</v>
      </c>
      <c r="KU11" s="186" t="str">
        <f t="shared" si="145"/>
        <v>0</v>
      </c>
      <c r="KV11" s="186">
        <f t="shared" ref="KV11:KV42" si="217">KS11+KT11+KU11</f>
        <v>0</v>
      </c>
      <c r="KW11" s="186">
        <f t="shared" ref="KW11:KW42" si="218">KV11/3</f>
        <v>0</v>
      </c>
      <c r="KX11" s="135" t="str">
        <f t="shared" si="146"/>
        <v>F</v>
      </c>
      <c r="KY11" s="151" t="str">
        <f>VLOOKUP(RANK(KW11,$KW$10:$KW$109),Sheet1!$A$381:$B$480,2,FALSE)</f>
        <v>1st</v>
      </c>
      <c r="KZ11" s="191"/>
      <c r="LA11" s="186"/>
      <c r="LB11" s="186">
        <f t="shared" si="147"/>
        <v>0</v>
      </c>
      <c r="LC11" s="186" t="str">
        <f t="shared" si="148"/>
        <v>0</v>
      </c>
      <c r="LD11" s="186" t="str">
        <f t="shared" si="149"/>
        <v>0</v>
      </c>
      <c r="LE11" s="186">
        <f t="shared" ref="LE11:LE42" si="219">LB11+LC11+LD11</f>
        <v>0</v>
      </c>
      <c r="LF11" s="186">
        <f t="shared" ref="LF11:LF42" si="220">LE11/3</f>
        <v>0</v>
      </c>
      <c r="LG11" s="135" t="str">
        <f t="shared" si="150"/>
        <v>F</v>
      </c>
      <c r="LH11" s="151" t="str">
        <f>VLOOKUP(RANK(LF11,$LF$10:$LF$109),Sheet1!$A$381:$B$480,2,FALSE)</f>
        <v>1st</v>
      </c>
      <c r="LI11" s="191"/>
      <c r="LJ11" s="186"/>
      <c r="LK11" s="186">
        <f t="shared" si="151"/>
        <v>0</v>
      </c>
      <c r="LL11" s="186" t="str">
        <f t="shared" si="152"/>
        <v>55</v>
      </c>
      <c r="LM11" s="186" t="str">
        <f t="shared" si="153"/>
        <v>50</v>
      </c>
      <c r="LN11" s="186">
        <f t="shared" ref="LN11:LN42" si="221">LK11+LL11+LM11</f>
        <v>105</v>
      </c>
      <c r="LO11" s="186">
        <f t="shared" ref="LO11:LO42" si="222">LN11/3</f>
        <v>35</v>
      </c>
      <c r="LP11" s="135" t="str">
        <f t="shared" si="154"/>
        <v>E</v>
      </c>
      <c r="LQ11" s="151" t="str">
        <f>VLOOKUP(RANK(LO11,$LO$10:$LO$109),Sheet1!$A$381:$B$480,2,FALSE)</f>
        <v>40th</v>
      </c>
      <c r="LR11" s="191"/>
      <c r="LS11" s="186"/>
      <c r="LT11" s="186">
        <f t="shared" si="155"/>
        <v>0</v>
      </c>
      <c r="LU11" s="186" t="str">
        <f t="shared" si="156"/>
        <v>59</v>
      </c>
      <c r="LV11" s="186" t="str">
        <f t="shared" si="157"/>
        <v>68</v>
      </c>
      <c r="LW11" s="186">
        <f t="shared" ref="LW11:LW42" si="223">LT11+LV11+LU11</f>
        <v>127</v>
      </c>
      <c r="LX11" s="186">
        <f t="shared" ref="LX11:LX42" si="224">LW11/3</f>
        <v>42.3333333333333</v>
      </c>
      <c r="LY11" s="135" t="str">
        <f t="shared" si="158"/>
        <v>D</v>
      </c>
      <c r="LZ11" s="151" t="str">
        <f>VLOOKUP(RANK(LX11,$LX$10:$LX$109),Sheet1!$A$381:$B$480,2,FALSE)</f>
        <v>9th</v>
      </c>
      <c r="MA11" s="193"/>
      <c r="MB11" s="186"/>
      <c r="MC11" s="186">
        <f t="shared" si="159"/>
        <v>0</v>
      </c>
      <c r="MD11" s="186" t="str">
        <f t="shared" si="160"/>
        <v>27</v>
      </c>
      <c r="ME11" s="186" t="str">
        <f t="shared" si="161"/>
        <v>48</v>
      </c>
      <c r="MF11" s="183">
        <f t="shared" ref="MF11:MF42" si="225">MC11+MD11+ME11</f>
        <v>75</v>
      </c>
      <c r="MG11" s="151">
        <f t="shared" ref="MG11:MG42" si="226">MF11/3</f>
        <v>25</v>
      </c>
      <c r="MH11" s="135" t="str">
        <f t="shared" si="162"/>
        <v>F</v>
      </c>
      <c r="MI11" s="151" t="str">
        <f>VLOOKUP(RANK(MG11,$MG$10:$MG$109),Sheet1!$A$381:$B$480,2,FALSE)</f>
        <v>53rd</v>
      </c>
      <c r="MJ11" s="191"/>
      <c r="MK11" s="186"/>
      <c r="ML11" s="186">
        <f t="shared" si="163"/>
        <v>0</v>
      </c>
      <c r="MM11" s="186" t="str">
        <f t="shared" si="164"/>
        <v>54</v>
      </c>
      <c r="MN11" s="186" t="str">
        <f t="shared" si="165"/>
        <v>42</v>
      </c>
      <c r="MO11" s="186">
        <f t="shared" ref="MO11:MO42" si="227">ML11+MM11+MN11</f>
        <v>96</v>
      </c>
      <c r="MP11" s="186">
        <f t="shared" ref="MP11:MP42" si="228">MO11/3</f>
        <v>32</v>
      </c>
      <c r="MQ11" s="135" t="str">
        <f t="shared" si="166"/>
        <v>F</v>
      </c>
      <c r="MR11" s="151" t="str">
        <f>VLOOKUP(RANK(MP11,$MP$10:$MP$109),Sheet1!$A$381:$B$480,2,FALSE)</f>
        <v>45th</v>
      </c>
      <c r="MS11" s="191"/>
      <c r="MT11" s="186"/>
      <c r="MU11" s="186">
        <f t="shared" si="167"/>
        <v>0</v>
      </c>
      <c r="MV11" s="186" t="str">
        <f t="shared" si="168"/>
        <v>32</v>
      </c>
      <c r="MW11" s="186" t="str">
        <f t="shared" si="169"/>
        <v>55</v>
      </c>
      <c r="MX11" s="186">
        <f t="shared" ref="MX11:MX42" si="229">MU11+MV11+MW11</f>
        <v>87</v>
      </c>
      <c r="MY11" s="186">
        <f t="shared" ref="MY11:MY42" si="230">MX11/3</f>
        <v>29</v>
      </c>
      <c r="MZ11" s="135" t="str">
        <f t="shared" si="170"/>
        <v>F</v>
      </c>
      <c r="NA11" s="151" t="str">
        <f>VLOOKUP(RANK(MY11,$MY$10:$MY$109),Sheet1!$A$381:$B$480,2,FALSE)</f>
        <v>66th</v>
      </c>
      <c r="NB11" s="193"/>
      <c r="NC11" s="186"/>
      <c r="ND11" s="186">
        <f t="shared" si="171"/>
        <v>0</v>
      </c>
      <c r="NE11" s="186" t="str">
        <f t="shared" si="172"/>
        <v>44</v>
      </c>
      <c r="NF11" s="186" t="str">
        <f t="shared" si="173"/>
        <v>46</v>
      </c>
      <c r="NG11" s="186">
        <f t="shared" ref="NG11:NG42" si="231">ND11+NF11+NE11</f>
        <v>90</v>
      </c>
      <c r="NH11" s="186">
        <f t="shared" ref="NH11:NH42" si="232">NG11/3</f>
        <v>30</v>
      </c>
      <c r="NI11" s="135" t="str">
        <f t="shared" si="174"/>
        <v>F</v>
      </c>
      <c r="NJ11" s="151" t="str">
        <f>VLOOKUP(RANK(NH11,$NH$10:$NH$109),Sheet1!$A$381:$B$480,2,FALSE)</f>
        <v>23rd</v>
      </c>
      <c r="NK11" s="186"/>
      <c r="NL11" s="186"/>
      <c r="NM11" s="186">
        <f t="shared" si="175"/>
        <v>0</v>
      </c>
      <c r="NN11" s="186" t="str">
        <f t="shared" si="176"/>
        <v>75</v>
      </c>
      <c r="NO11" s="186" t="str">
        <f t="shared" si="177"/>
        <v>67</v>
      </c>
      <c r="NP11" s="186">
        <f t="shared" ref="NP11:NP42" si="233">NM11+NO11+NN11</f>
        <v>142</v>
      </c>
      <c r="NQ11" s="186">
        <f t="shared" si="178"/>
        <v>47.3333333333333</v>
      </c>
      <c r="NR11" s="135" t="str">
        <f t="shared" si="179"/>
        <v>D</v>
      </c>
      <c r="NS11" s="151" t="str">
        <f>VLOOKUP(RANK(NQ11,$NQ$10:$NQ$109),Sheet1!$A$381:$B$480,2,FALSE)</f>
        <v>23rd</v>
      </c>
      <c r="NT11" s="186"/>
      <c r="NU11" s="186"/>
      <c r="NV11" s="186">
        <f t="shared" si="180"/>
        <v>0</v>
      </c>
      <c r="NW11" s="186" t="str">
        <f t="shared" si="181"/>
        <v>0</v>
      </c>
      <c r="NX11" s="186" t="str">
        <f t="shared" si="182"/>
        <v>0</v>
      </c>
      <c r="NY11" s="186">
        <f t="shared" ref="NY11:NY42" si="234">NV11+NX11+NW11</f>
        <v>0</v>
      </c>
      <c r="NZ11" s="186">
        <f t="shared" si="183"/>
        <v>0</v>
      </c>
      <c r="OA11" s="135" t="str">
        <f t="shared" si="184"/>
        <v>F</v>
      </c>
      <c r="OB11" s="151" t="str">
        <f>VLOOKUP(RANK(NZ11,$NZ$10:$NZ$109),Sheet1!$A$381:$B$480,2,FALSE)</f>
        <v>1st</v>
      </c>
      <c r="OC11" s="193"/>
      <c r="OD11" s="186"/>
      <c r="OE11" s="186">
        <f t="shared" si="185"/>
        <v>0</v>
      </c>
      <c r="OF11" s="186" t="str">
        <f t="shared" si="186"/>
        <v>0</v>
      </c>
      <c r="OG11" s="186" t="str">
        <f t="shared" si="187"/>
        <v>0</v>
      </c>
      <c r="OH11" s="186">
        <f t="shared" ref="OH11:OH42" si="235">OE11+OG11+OF11</f>
        <v>0</v>
      </c>
      <c r="OI11" s="186">
        <f t="shared" ref="OI11:OI73" si="236">OH11/2</f>
        <v>0</v>
      </c>
      <c r="OJ11" s="135" t="str">
        <f t="shared" si="188"/>
        <v>F</v>
      </c>
      <c r="OK11" s="151" t="str">
        <f>VLOOKUP(RANK(OI11,$OI$10:$OI$109),Sheet1!$A$381:$B$480,2,FALSE)</f>
        <v>1st</v>
      </c>
      <c r="OL11" s="151"/>
      <c r="OM11" s="151"/>
      <c r="ON11" s="151">
        <f t="shared" ref="ON11:ON42" si="237">SUM(OL11:OM11)</f>
        <v>0</v>
      </c>
      <c r="OO11" s="151" t="str">
        <f t="shared" ref="OO11:OO42" si="238">REPT(CY11,1)</f>
        <v>0</v>
      </c>
      <c r="OP11" s="151" t="str">
        <f t="shared" ref="OP11:OP42" si="239">REPT(IL11,1)</f>
        <v>0</v>
      </c>
      <c r="OQ11" s="151">
        <f t="shared" ref="OQ11:OQ42" si="240">ON11+OP11+OO11</f>
        <v>0</v>
      </c>
      <c r="OR11" s="151">
        <f t="shared" ref="OR11:OR42" si="241">OQ11/3</f>
        <v>0</v>
      </c>
      <c r="OS11" s="135" t="str">
        <f t="shared" si="189"/>
        <v>F</v>
      </c>
      <c r="OT11" s="151" t="str">
        <f>VLOOKUP(RANK(OR11,$OI$10:$OI$109),Sheet1!$A$381:$B$480,2,FALSE)</f>
        <v>1st</v>
      </c>
      <c r="OU11" s="151">
        <f t="shared" ref="OU11:OU42" si="242">(OI11+NZ11+NQ11+NH11+MY11+MP11+MG11+LX11+LO11+LF11+KW11+KN11+KE11+JV11+JM11+JD11+OR11)</f>
        <v>399.66666666666703</v>
      </c>
      <c r="OV11" s="151">
        <f t="shared" ref="OV11:OV42" si="243">(OI11+NZ11+NQ11+NH11+MY11+MP11+MG11+LX11+LO11+LF11+KW11+KN11+KE11+JV11+JM11+JD11)/17</f>
        <v>23.509803921568601</v>
      </c>
      <c r="OW11" s="151" t="str">
        <f>VLOOKUP(RANK(OV11,$OV$10:$OV$109),Sheet1!$A$381:$B$480,2,FALSE)</f>
        <v>56th</v>
      </c>
      <c r="OX11" s="151"/>
      <c r="OY11" s="186"/>
      <c r="OZ11" s="186"/>
      <c r="PA11" s="186"/>
      <c r="PB11" s="186"/>
    </row>
    <row r="12" spans="1:418" s="118" customFormat="1" ht="18.75">
      <c r="A12" s="131">
        <v>3</v>
      </c>
      <c r="B12" s="132" t="s">
        <v>99</v>
      </c>
      <c r="C12" s="133" t="s">
        <v>97</v>
      </c>
      <c r="D12" s="136">
        <v>22</v>
      </c>
      <c r="E12" s="136">
        <v>43</v>
      </c>
      <c r="F12" s="137">
        <f t="shared" si="0"/>
        <v>65</v>
      </c>
      <c r="G12" s="137">
        <f t="shared" si="1"/>
        <v>65</v>
      </c>
      <c r="H12" s="135" t="str">
        <f t="shared" si="190"/>
        <v>B</v>
      </c>
      <c r="I12" s="135" t="str">
        <f>VLOOKUP(RANK(G12,$G$10:$G$109),Sheet1!$A$381:$B$480,2,FALSE)</f>
        <v>56th</v>
      </c>
      <c r="J12" s="136">
        <v>32</v>
      </c>
      <c r="K12" s="136">
        <v>30</v>
      </c>
      <c r="L12" s="137">
        <f t="shared" si="2"/>
        <v>62</v>
      </c>
      <c r="M12" s="137">
        <f t="shared" si="3"/>
        <v>62</v>
      </c>
      <c r="N12" s="135" t="str">
        <f t="shared" si="4"/>
        <v>B</v>
      </c>
      <c r="O12" s="141" t="str">
        <f>VLOOKUP(RANK(M12,$M$10:$M$109),Sheet1!$A$381:$B$480,2,FALSE)</f>
        <v>23rd</v>
      </c>
      <c r="P12" s="142">
        <v>25</v>
      </c>
      <c r="Q12" s="145">
        <v>15</v>
      </c>
      <c r="R12" s="147">
        <f t="shared" si="5"/>
        <v>40</v>
      </c>
      <c r="S12" s="137">
        <f t="shared" si="6"/>
        <v>40</v>
      </c>
      <c r="T12" s="135" t="str">
        <f t="shared" si="7"/>
        <v>D</v>
      </c>
      <c r="U12" s="135" t="str">
        <f>VLOOKUP(RANK(S12,$S$10:$S$109),Sheet1!$A$381:$B$480,2,FALSE)</f>
        <v>57th</v>
      </c>
      <c r="V12" s="136">
        <v>35</v>
      </c>
      <c r="W12" s="136">
        <v>50</v>
      </c>
      <c r="X12" s="137">
        <f t="shared" si="191"/>
        <v>85</v>
      </c>
      <c r="Y12" s="137">
        <f t="shared" ref="Y12:Y75" si="244">SUM(V12:W12)</f>
        <v>85</v>
      </c>
      <c r="Z12" s="135" t="str">
        <f t="shared" si="8"/>
        <v>A</v>
      </c>
      <c r="AA12" s="135" t="str">
        <f>VLOOKUP(RANK(Y12,$Y$10:$Y$109),Sheet1!$A$381:$B$480,2,FALSE)</f>
        <v>6th</v>
      </c>
      <c r="AB12" s="136">
        <v>32</v>
      </c>
      <c r="AC12" s="136">
        <v>48</v>
      </c>
      <c r="AD12" s="137">
        <f t="shared" si="9"/>
        <v>80</v>
      </c>
      <c r="AE12" s="137">
        <f t="shared" si="10"/>
        <v>80</v>
      </c>
      <c r="AF12" s="135" t="str">
        <f t="shared" si="11"/>
        <v>A</v>
      </c>
      <c r="AG12" s="135" t="str">
        <f>VLOOKUP(RANK(AE12,$AE$10:$AE$109),Sheet1!$A$381:$B$480,2,FALSE)</f>
        <v>13th</v>
      </c>
      <c r="AH12" s="137"/>
      <c r="AI12" s="137"/>
      <c r="AJ12" s="137">
        <f t="shared" si="12"/>
        <v>0</v>
      </c>
      <c r="AK12" s="137">
        <f t="shared" si="13"/>
        <v>0</v>
      </c>
      <c r="AL12" s="135" t="str">
        <f t="shared" si="14"/>
        <v>F</v>
      </c>
      <c r="AM12" s="135" t="str">
        <f>VLOOKUP(RANK(AK12,$AK$10:$AK$109),Sheet1!$A$381:$B$480,2,FALSE)</f>
        <v>1st</v>
      </c>
      <c r="AN12" s="136"/>
      <c r="AO12" s="136"/>
      <c r="AP12" s="137">
        <f t="shared" si="15"/>
        <v>0</v>
      </c>
      <c r="AQ12" s="137">
        <f t="shared" si="16"/>
        <v>0</v>
      </c>
      <c r="AR12" s="135" t="str">
        <f t="shared" si="17"/>
        <v>F</v>
      </c>
      <c r="AS12" s="135" t="str">
        <f>VLOOKUP(RANK(AQ12,$AQ$10:$AQ$109),Sheet1!$A$381:$B$480,2,FALSE)</f>
        <v>1st</v>
      </c>
      <c r="AT12" s="142">
        <v>24</v>
      </c>
      <c r="AU12" s="145">
        <v>37</v>
      </c>
      <c r="AV12" s="137">
        <f t="shared" si="18"/>
        <v>61</v>
      </c>
      <c r="AW12" s="137">
        <f t="shared" si="19"/>
        <v>61</v>
      </c>
      <c r="AX12" s="135" t="str">
        <f t="shared" si="20"/>
        <v>B</v>
      </c>
      <c r="AY12" s="141" t="str">
        <f>VLOOKUP(RANK(AW12,$AW$10:$AW$109),Sheet1!$A$381:$B$480,2,FALSE)</f>
        <v>7th</v>
      </c>
      <c r="AZ12" s="142">
        <v>33</v>
      </c>
      <c r="BA12" s="145">
        <v>21</v>
      </c>
      <c r="BB12" s="147">
        <f t="shared" si="21"/>
        <v>54</v>
      </c>
      <c r="BC12" s="137">
        <f t="shared" si="22"/>
        <v>54</v>
      </c>
      <c r="BD12" s="135" t="str">
        <f t="shared" si="23"/>
        <v>C</v>
      </c>
      <c r="BE12" s="135" t="str">
        <f>VLOOKUP(RANK(BC12,$BC$10:$BC$109),Sheet1!$A$381:$B$480,2,FALSE)</f>
        <v>52nd</v>
      </c>
      <c r="BF12" s="142">
        <v>23</v>
      </c>
      <c r="BG12" s="145">
        <v>35</v>
      </c>
      <c r="BH12" s="137">
        <f t="shared" si="24"/>
        <v>58</v>
      </c>
      <c r="BI12" s="137">
        <f t="shared" si="25"/>
        <v>58</v>
      </c>
      <c r="BJ12" s="135" t="str">
        <f t="shared" si="26"/>
        <v>C</v>
      </c>
      <c r="BK12" s="141" t="str">
        <f>VLOOKUP(RANK(BI12,$BI$10:$BI$109),Sheet1!$A$381:$B$480,2,FALSE)</f>
        <v>8th</v>
      </c>
      <c r="BL12" s="148">
        <v>27</v>
      </c>
      <c r="BM12" s="150">
        <v>23</v>
      </c>
      <c r="BN12" s="147">
        <f t="shared" si="27"/>
        <v>50</v>
      </c>
      <c r="BO12" s="137">
        <f t="shared" si="28"/>
        <v>50</v>
      </c>
      <c r="BP12" s="135" t="str">
        <f t="shared" si="29"/>
        <v>C</v>
      </c>
      <c r="BQ12" s="141" t="str">
        <f>VLOOKUP(RANK(BO12,$BO$10:$BO$109),Sheet1!$A$381:$B$480,2,FALSE)</f>
        <v>85th</v>
      </c>
      <c r="BR12" s="148">
        <v>28</v>
      </c>
      <c r="BS12" s="150">
        <v>47</v>
      </c>
      <c r="BT12" s="147">
        <f t="shared" si="30"/>
        <v>75</v>
      </c>
      <c r="BU12" s="137">
        <f t="shared" si="31"/>
        <v>75</v>
      </c>
      <c r="BV12" s="135" t="str">
        <f t="shared" si="32"/>
        <v>A</v>
      </c>
      <c r="BW12" s="135" t="str">
        <f>VLOOKUP(RANK(BU12,$BU$10:$BU$109),Sheet1!$A$381:$B$480,2,FALSE)</f>
        <v>6th</v>
      </c>
      <c r="BX12" s="148">
        <v>32</v>
      </c>
      <c r="BY12" s="150">
        <v>13</v>
      </c>
      <c r="BZ12" s="137">
        <f t="shared" si="33"/>
        <v>45</v>
      </c>
      <c r="CA12" s="137">
        <f t="shared" si="34"/>
        <v>45</v>
      </c>
      <c r="CB12" s="135" t="str">
        <f t="shared" si="35"/>
        <v>D</v>
      </c>
      <c r="CC12" s="135" t="str">
        <f>VLOOKUP(RANK(CA12,$CA$10:$CA$109),Sheet1!$A$381:$B$480,2,FALSE)</f>
        <v>13th</v>
      </c>
      <c r="CD12" s="148">
        <v>30</v>
      </c>
      <c r="CE12" s="150">
        <v>53</v>
      </c>
      <c r="CF12" s="137">
        <f t="shared" si="36"/>
        <v>83</v>
      </c>
      <c r="CG12" s="137">
        <f t="shared" si="37"/>
        <v>83</v>
      </c>
      <c r="CH12" s="135" t="str">
        <f t="shared" si="38"/>
        <v>A</v>
      </c>
      <c r="CI12" s="135" t="str">
        <f>VLOOKUP(RANK(CG12,$CG$10:$CG$109),Sheet1!$A$381:$B$480,2,FALSE)</f>
        <v>5th</v>
      </c>
      <c r="CJ12" s="137"/>
      <c r="CK12" s="137"/>
      <c r="CL12" s="137">
        <f t="shared" si="39"/>
        <v>0</v>
      </c>
      <c r="CM12" s="137">
        <f t="shared" si="40"/>
        <v>0</v>
      </c>
      <c r="CN12" s="135" t="str">
        <f t="shared" si="41"/>
        <v>F</v>
      </c>
      <c r="CO12" s="135" t="str">
        <f>VLOOKUP(RANK(CM12,$CM$10:$CM$109),Sheet1!$A$381:$B$480,2,FALSE)</f>
        <v>1st</v>
      </c>
      <c r="CP12" s="137"/>
      <c r="CQ12" s="137"/>
      <c r="CR12" s="137">
        <f t="shared" si="42"/>
        <v>0</v>
      </c>
      <c r="CS12" s="137">
        <f t="shared" si="43"/>
        <v>0</v>
      </c>
      <c r="CT12" s="135" t="str">
        <f t="shared" si="44"/>
        <v>F</v>
      </c>
      <c r="CU12" s="135" t="str">
        <f>VLOOKUP(RANK(CS12,$CS$10:$CS$109),Sheet1!$A$381:$B$480,2,FALSE)</f>
        <v>1st</v>
      </c>
      <c r="CV12" s="151"/>
      <c r="CW12" s="135"/>
      <c r="CX12" s="151">
        <f t="shared" si="192"/>
        <v>0</v>
      </c>
      <c r="CY12" s="151">
        <f t="shared" si="193"/>
        <v>0</v>
      </c>
      <c r="CZ12" s="135" t="str">
        <f t="shared" si="45"/>
        <v>F</v>
      </c>
      <c r="DA12" s="135" t="str">
        <f>VLOOKUP(RANK(CY12,$CY$10:$CY$109),Sheet1!$A$381:$B$480,2,FALSE)</f>
        <v>1st</v>
      </c>
      <c r="DB12" s="135"/>
      <c r="DC12" s="151">
        <f t="shared" si="194"/>
        <v>758</v>
      </c>
      <c r="DD12" s="151">
        <f t="shared" si="195"/>
        <v>44.588235294117602</v>
      </c>
      <c r="DE12" s="135" t="str">
        <f>VLOOKUP(RANK(DD12,$DD$10:$DD$109),Sheet1!$A$381:$B$480,2,FALSE)</f>
        <v>8th</v>
      </c>
      <c r="DF12" s="137"/>
      <c r="DG12" s="160">
        <f t="shared" si="46"/>
        <v>802.58823529411802</v>
      </c>
      <c r="DH12" s="119"/>
      <c r="DI12" s="163">
        <v>24</v>
      </c>
      <c r="DJ12" s="163">
        <v>55</v>
      </c>
      <c r="DK12" s="137">
        <f t="shared" si="47"/>
        <v>79</v>
      </c>
      <c r="DL12" s="137" t="str">
        <f t="shared" si="48"/>
        <v>65</v>
      </c>
      <c r="DM12" s="137">
        <f t="shared" si="49"/>
        <v>144</v>
      </c>
      <c r="DN12" s="137">
        <f t="shared" si="50"/>
        <v>72</v>
      </c>
      <c r="DO12" s="135" t="str">
        <f t="shared" si="51"/>
        <v>B</v>
      </c>
      <c r="DP12" s="135" t="str">
        <f>VLOOKUP(RANK(DN12,$DN$10:$DN$109),Sheet1!$A$381:$B$480,2,FALSE)</f>
        <v>29th</v>
      </c>
      <c r="DQ12" s="164">
        <v>19</v>
      </c>
      <c r="DR12" s="165">
        <v>23</v>
      </c>
      <c r="DS12" s="137">
        <f t="shared" si="52"/>
        <v>42</v>
      </c>
      <c r="DT12" s="137" t="str">
        <f t="shared" si="53"/>
        <v>62</v>
      </c>
      <c r="DU12" s="137">
        <f t="shared" si="54"/>
        <v>104</v>
      </c>
      <c r="DV12" s="137">
        <f t="shared" si="55"/>
        <v>52</v>
      </c>
      <c r="DW12" s="135" t="str">
        <f t="shared" si="56"/>
        <v>C</v>
      </c>
      <c r="DX12" s="135" t="str">
        <f>VLOOKUP(RANK(DV12,$DV$10:$DV$109),Sheet1!$A$381:$B$480,2,FALSE)</f>
        <v>35th</v>
      </c>
      <c r="DY12" s="167">
        <v>36</v>
      </c>
      <c r="DZ12" s="165">
        <v>24</v>
      </c>
      <c r="EA12" s="137">
        <f t="shared" si="57"/>
        <v>60</v>
      </c>
      <c r="EB12" s="137" t="str">
        <f t="shared" si="58"/>
        <v>40</v>
      </c>
      <c r="EC12" s="137">
        <f t="shared" si="59"/>
        <v>100</v>
      </c>
      <c r="ED12" s="137">
        <f t="shared" si="60"/>
        <v>50</v>
      </c>
      <c r="EE12" s="135" t="str">
        <f t="shared" si="61"/>
        <v>C</v>
      </c>
      <c r="EF12" s="135" t="str">
        <f>VLOOKUP(RANK(ED12,$ED$10:$ED$109),Sheet1!$A$381:$B$480,2,FALSE)</f>
        <v>36th</v>
      </c>
      <c r="EG12" s="163">
        <v>25</v>
      </c>
      <c r="EH12" s="163">
        <v>42</v>
      </c>
      <c r="EI12" s="137">
        <f t="shared" si="62"/>
        <v>67</v>
      </c>
      <c r="EJ12" s="137" t="str">
        <f t="shared" si="63"/>
        <v>85</v>
      </c>
      <c r="EK12" s="137">
        <f t="shared" si="64"/>
        <v>152</v>
      </c>
      <c r="EL12" s="137">
        <f t="shared" si="65"/>
        <v>76</v>
      </c>
      <c r="EM12" s="135" t="str">
        <f t="shared" si="66"/>
        <v>A</v>
      </c>
      <c r="EN12" s="135" t="str">
        <f>VLOOKUP(RANK(EL12,$EL$10:$EL$109),Sheet1!$A$381:$B$480,2,FALSE)</f>
        <v>6th</v>
      </c>
      <c r="EO12" s="163">
        <v>37</v>
      </c>
      <c r="EP12" s="163">
        <v>35</v>
      </c>
      <c r="EQ12" s="137">
        <f t="shared" si="67"/>
        <v>72</v>
      </c>
      <c r="ER12" s="137" t="str">
        <f t="shared" si="68"/>
        <v>80</v>
      </c>
      <c r="ES12" s="137">
        <f t="shared" si="69"/>
        <v>152</v>
      </c>
      <c r="ET12" s="137">
        <f t="shared" si="70"/>
        <v>76</v>
      </c>
      <c r="EU12" s="135" t="str">
        <f t="shared" si="71"/>
        <v>A</v>
      </c>
      <c r="EV12" s="135" t="str">
        <f>VLOOKUP(RANK(ET12,$ET$10:$ET$109),Sheet1!$A$381:$B$480,2,FALSE)</f>
        <v>10th</v>
      </c>
      <c r="EW12" s="170"/>
      <c r="EX12" s="137"/>
      <c r="EY12" s="137">
        <f t="shared" si="72"/>
        <v>0</v>
      </c>
      <c r="EZ12" s="137" t="str">
        <f t="shared" si="73"/>
        <v>0</v>
      </c>
      <c r="FA12" s="137">
        <f t="shared" si="74"/>
        <v>0</v>
      </c>
      <c r="FB12" s="137">
        <f t="shared" si="75"/>
        <v>0</v>
      </c>
      <c r="FC12" s="135" t="str">
        <f t="shared" si="76"/>
        <v>F</v>
      </c>
      <c r="FD12" s="135" t="str">
        <f>VLOOKUP(RANK(FB12,$FB$10:$FB$109),Sheet1!$A$381:$B$480,2,FALSE)</f>
        <v>1st</v>
      </c>
      <c r="FE12" s="172"/>
      <c r="FF12" s="137"/>
      <c r="FG12" s="137">
        <f t="shared" si="77"/>
        <v>0</v>
      </c>
      <c r="FH12" s="137" t="str">
        <f t="shared" si="78"/>
        <v>0</v>
      </c>
      <c r="FI12" s="137">
        <f t="shared" si="79"/>
        <v>0</v>
      </c>
      <c r="FJ12" s="137">
        <f t="shared" si="80"/>
        <v>0</v>
      </c>
      <c r="FK12" s="135" t="str">
        <f t="shared" si="81"/>
        <v>F</v>
      </c>
      <c r="FL12" s="135" t="str">
        <f>VLOOKUP(RANK(FJ12,$FJ$10:$FJ$109),Sheet1!$A$381:$B$480,2,FALSE)</f>
        <v>1st</v>
      </c>
      <c r="FM12" s="164">
        <v>30</v>
      </c>
      <c r="FN12" s="165">
        <v>32</v>
      </c>
      <c r="FO12" s="137">
        <f t="shared" si="82"/>
        <v>62</v>
      </c>
      <c r="FP12" s="137" t="str">
        <f t="shared" si="83"/>
        <v>61</v>
      </c>
      <c r="FQ12" s="137">
        <f t="shared" si="84"/>
        <v>123</v>
      </c>
      <c r="FR12" s="137">
        <f t="shared" si="85"/>
        <v>61.5</v>
      </c>
      <c r="FS12" s="135" t="str">
        <f t="shared" si="86"/>
        <v>B</v>
      </c>
      <c r="FT12" s="135" t="str">
        <f>VLOOKUP(RANK(FR12,$FR$10:$FR$109),Sheet1!$A$381:$B$480,2,FALSE)</f>
        <v>6th</v>
      </c>
      <c r="FU12" s="148">
        <v>37</v>
      </c>
      <c r="FV12" s="150">
        <v>25</v>
      </c>
      <c r="FW12" s="137">
        <f t="shared" si="87"/>
        <v>62</v>
      </c>
      <c r="FX12" s="137" t="str">
        <f t="shared" si="88"/>
        <v>54</v>
      </c>
      <c r="FY12" s="137">
        <f t="shared" si="196"/>
        <v>62</v>
      </c>
      <c r="FZ12" s="137">
        <f t="shared" si="89"/>
        <v>31</v>
      </c>
      <c r="GA12" s="135" t="str">
        <f t="shared" si="90"/>
        <v>F</v>
      </c>
      <c r="GB12" s="135" t="str">
        <f>VLOOKUP(RANK(FZ12,$FZ$10:$FZ$109),Sheet1!$A$381:$B$480,2,FALSE)</f>
        <v>16th</v>
      </c>
      <c r="GC12" s="164">
        <v>34</v>
      </c>
      <c r="GD12" s="165">
        <v>28</v>
      </c>
      <c r="GE12" s="137">
        <f t="shared" si="91"/>
        <v>62</v>
      </c>
      <c r="GF12" s="137" t="str">
        <f t="shared" si="92"/>
        <v>58</v>
      </c>
      <c r="GG12" s="135">
        <f t="shared" si="197"/>
        <v>120</v>
      </c>
      <c r="GH12" s="137">
        <f t="shared" si="198"/>
        <v>60</v>
      </c>
      <c r="GI12" s="135" t="str">
        <f t="shared" si="93"/>
        <v>B</v>
      </c>
      <c r="GJ12" s="135" t="str">
        <f>VLOOKUP(RANK(GH12,$GH$10:$GH$109),Sheet1!$A$381:$B$480,2,FALSE)</f>
        <v>5th</v>
      </c>
      <c r="GK12" s="164">
        <v>26</v>
      </c>
      <c r="GL12" s="165">
        <v>22</v>
      </c>
      <c r="GM12" s="137">
        <f t="shared" si="94"/>
        <v>48</v>
      </c>
      <c r="GN12" s="137" t="str">
        <f t="shared" si="95"/>
        <v>50</v>
      </c>
      <c r="GO12" s="135">
        <f t="shared" si="199"/>
        <v>98</v>
      </c>
      <c r="GP12" s="137">
        <f t="shared" si="96"/>
        <v>49</v>
      </c>
      <c r="GQ12" s="135" t="str">
        <f t="shared" si="97"/>
        <v>D</v>
      </c>
      <c r="GR12" s="135" t="str">
        <f>VLOOKUP(RANK(GP12,$GP$10:$GP$109),Sheet1!$A$381:$B$480,2,FALSE)</f>
        <v>31st</v>
      </c>
      <c r="GS12" s="164">
        <v>30</v>
      </c>
      <c r="GT12" s="165">
        <v>30</v>
      </c>
      <c r="GU12" s="137">
        <f t="shared" si="98"/>
        <v>60</v>
      </c>
      <c r="GV12" s="137" t="str">
        <f t="shared" si="99"/>
        <v>75</v>
      </c>
      <c r="GW12" s="137">
        <f t="shared" si="100"/>
        <v>135</v>
      </c>
      <c r="GX12" s="137">
        <f t="shared" si="101"/>
        <v>67.5</v>
      </c>
      <c r="GY12" s="135" t="str">
        <f t="shared" si="102"/>
        <v>B</v>
      </c>
      <c r="GZ12" s="135" t="str">
        <f>VLOOKUP(RANK(GX12,$GX$10:$GX$109),Sheet1!$A$381:$B$480,2,FALSE)</f>
        <v>15th</v>
      </c>
      <c r="HA12" s="164">
        <v>30</v>
      </c>
      <c r="HB12" s="165">
        <v>23</v>
      </c>
      <c r="HC12" s="137">
        <f t="shared" si="103"/>
        <v>53</v>
      </c>
      <c r="HD12" s="137" t="str">
        <f t="shared" si="104"/>
        <v>45</v>
      </c>
      <c r="HE12" s="137">
        <f t="shared" si="105"/>
        <v>98</v>
      </c>
      <c r="HF12" s="137">
        <f t="shared" si="106"/>
        <v>49</v>
      </c>
      <c r="HG12" s="135" t="str">
        <f t="shared" si="107"/>
        <v>D</v>
      </c>
      <c r="HH12" s="135" t="str">
        <f>VLOOKUP(RANK(HF12,$HF$10:$HF$109),Sheet1!$A$381:$B$480,2,FALSE)</f>
        <v>11th</v>
      </c>
      <c r="HI12" s="148">
        <v>30</v>
      </c>
      <c r="HJ12" s="150">
        <v>45</v>
      </c>
      <c r="HK12" s="137">
        <f t="shared" si="108"/>
        <v>75</v>
      </c>
      <c r="HL12" s="137" t="str">
        <f t="shared" si="109"/>
        <v>83</v>
      </c>
      <c r="HM12" s="137">
        <f t="shared" si="110"/>
        <v>158</v>
      </c>
      <c r="HN12" s="137">
        <f t="shared" si="111"/>
        <v>79</v>
      </c>
      <c r="HO12" s="135" t="str">
        <f t="shared" si="112"/>
        <v>A</v>
      </c>
      <c r="HP12" s="135" t="str">
        <f>VLOOKUP(RANK(HN12,$HN$10:$HN$109),Sheet1!$A$381:$B$480,2,FALSE)</f>
        <v>6th</v>
      </c>
      <c r="HQ12" s="137"/>
      <c r="HR12" s="137"/>
      <c r="HS12" s="137">
        <f t="shared" si="113"/>
        <v>0</v>
      </c>
      <c r="HT12" s="137" t="str">
        <f t="shared" si="114"/>
        <v>0</v>
      </c>
      <c r="HU12" s="137">
        <f t="shared" si="115"/>
        <v>0</v>
      </c>
      <c r="HV12" s="137">
        <f t="shared" si="116"/>
        <v>0</v>
      </c>
      <c r="HW12" s="135" t="str">
        <f t="shared" si="117"/>
        <v>F</v>
      </c>
      <c r="HX12" s="135" t="str">
        <f>VLOOKUP(RANK(HV12,$HV$10:$HV$109),Sheet1!$A$381:$B$480,2,FALSE)</f>
        <v>1st</v>
      </c>
      <c r="HY12" s="174"/>
      <c r="HZ12" s="137"/>
      <c r="IA12" s="137">
        <f t="shared" si="118"/>
        <v>0</v>
      </c>
      <c r="IB12" s="137" t="str">
        <f t="shared" si="119"/>
        <v>0</v>
      </c>
      <c r="IC12" s="137">
        <f t="shared" si="120"/>
        <v>0</v>
      </c>
      <c r="ID12" s="137">
        <f t="shared" si="121"/>
        <v>0</v>
      </c>
      <c r="IE12" s="135" t="str">
        <f t="shared" si="122"/>
        <v>F</v>
      </c>
      <c r="IF12" s="135" t="str">
        <f>VLOOKUP(RANK(ID12,$ID$10:$ID$109),Sheet1!$A$381:$B$480,2,FALSE)</f>
        <v>1st</v>
      </c>
      <c r="IG12" s="135"/>
      <c r="IH12" s="135"/>
      <c r="II12" s="135">
        <f t="shared" si="200"/>
        <v>0</v>
      </c>
      <c r="IJ12" s="135" t="str">
        <f t="shared" si="201"/>
        <v>0</v>
      </c>
      <c r="IK12" s="135">
        <f t="shared" si="202"/>
        <v>0</v>
      </c>
      <c r="IL12" s="135">
        <f t="shared" si="203"/>
        <v>0</v>
      </c>
      <c r="IM12" s="135" t="str">
        <f t="shared" si="123"/>
        <v>F</v>
      </c>
      <c r="IN12" s="135" t="str">
        <f>VLOOKUP(RANK(IL12,$IL$10:$IL$109),Sheet1!$A$381:$B$480,2,FALSE)</f>
        <v>1st</v>
      </c>
      <c r="IO12" s="135">
        <f t="shared" si="204"/>
        <v>723</v>
      </c>
      <c r="IP12" s="177">
        <f t="shared" si="205"/>
        <v>42.529411764705898</v>
      </c>
      <c r="IQ12" s="135" t="str">
        <f>VLOOKUP(RANK(IP12,$IP$10:$IP$109),Sheet1!$A$381:$B$480,2,FALSE)</f>
        <v>7th</v>
      </c>
      <c r="IR12" s="178"/>
      <c r="IS12" s="137"/>
      <c r="IT12" s="137"/>
      <c r="IU12" s="137"/>
      <c r="IV12" s="137"/>
      <c r="IW12" s="181"/>
      <c r="IX12" s="184"/>
      <c r="IY12" s="185"/>
      <c r="IZ12" s="186">
        <f t="shared" si="206"/>
        <v>0</v>
      </c>
      <c r="JA12" s="186" t="str">
        <f t="shared" si="124"/>
        <v>65</v>
      </c>
      <c r="JB12" s="186" t="str">
        <f t="shared" si="125"/>
        <v>79</v>
      </c>
      <c r="JC12" s="186">
        <f t="shared" si="207"/>
        <v>144</v>
      </c>
      <c r="JD12" s="186">
        <f t="shared" si="208"/>
        <v>48</v>
      </c>
      <c r="JE12" s="135" t="str">
        <f t="shared" si="126"/>
        <v>D</v>
      </c>
      <c r="JF12" s="151" t="str">
        <f>VLOOKUP(RANK(JD12,$JD$10:$JD$109),Sheet1!$A$381:$B$480,2,FALSE)</f>
        <v>29th</v>
      </c>
      <c r="JG12" s="187"/>
      <c r="JH12" s="186"/>
      <c r="JI12" s="186">
        <f t="shared" si="127"/>
        <v>0</v>
      </c>
      <c r="JJ12" s="186" t="str">
        <f t="shared" si="128"/>
        <v>62</v>
      </c>
      <c r="JK12" s="186" t="str">
        <f t="shared" si="129"/>
        <v>42</v>
      </c>
      <c r="JL12" s="186">
        <f t="shared" si="209"/>
        <v>104</v>
      </c>
      <c r="JM12" s="186">
        <f t="shared" si="210"/>
        <v>34.6666666666667</v>
      </c>
      <c r="JN12" s="135" t="str">
        <f t="shared" si="130"/>
        <v>F</v>
      </c>
      <c r="JO12" s="151" t="str">
        <f>VLOOKUP(RANK(JM12,$JM$10:$JM$109),Sheet1!$A$381:$B$480,2,FALSE)</f>
        <v>35th</v>
      </c>
      <c r="JP12" s="189"/>
      <c r="JQ12" s="186"/>
      <c r="JR12" s="186">
        <f t="shared" si="131"/>
        <v>0</v>
      </c>
      <c r="JS12" s="186" t="str">
        <f t="shared" si="132"/>
        <v>40</v>
      </c>
      <c r="JT12" s="186" t="str">
        <f t="shared" si="133"/>
        <v>60</v>
      </c>
      <c r="JU12" s="186">
        <f t="shared" si="211"/>
        <v>100</v>
      </c>
      <c r="JV12" s="186">
        <f t="shared" si="212"/>
        <v>33.3333333333333</v>
      </c>
      <c r="JW12" s="135" t="str">
        <f t="shared" si="134"/>
        <v>F</v>
      </c>
      <c r="JX12" s="151" t="str">
        <f>VLOOKUP(RANK(JV12,$JV$10:$JV$109),Sheet1!$A$381:$B$480,2,FALSE)</f>
        <v>36th</v>
      </c>
      <c r="JY12" s="186"/>
      <c r="JZ12" s="186"/>
      <c r="KA12" s="186">
        <f t="shared" si="135"/>
        <v>0</v>
      </c>
      <c r="KB12" s="186" t="str">
        <f t="shared" si="136"/>
        <v>85</v>
      </c>
      <c r="KC12" s="186" t="str">
        <f t="shared" si="137"/>
        <v>67</v>
      </c>
      <c r="KD12" s="186">
        <f t="shared" si="213"/>
        <v>152</v>
      </c>
      <c r="KE12" s="186">
        <f t="shared" si="214"/>
        <v>50.6666666666667</v>
      </c>
      <c r="KF12" s="135" t="str">
        <f t="shared" si="138"/>
        <v>C</v>
      </c>
      <c r="KG12" s="151" t="str">
        <f>VLOOKUP(RANK(KE12,$KE$10:$KE$109),Sheet1!$A$381:$B$480,2,FALSE)</f>
        <v>6th</v>
      </c>
      <c r="KH12" s="189"/>
      <c r="KI12" s="186"/>
      <c r="KJ12" s="186">
        <f t="shared" si="139"/>
        <v>0</v>
      </c>
      <c r="KK12" s="186" t="str">
        <f t="shared" si="140"/>
        <v>80</v>
      </c>
      <c r="KL12" s="186" t="str">
        <f t="shared" si="141"/>
        <v>72</v>
      </c>
      <c r="KM12" s="186">
        <f t="shared" si="215"/>
        <v>152</v>
      </c>
      <c r="KN12" s="186">
        <f t="shared" si="216"/>
        <v>50.6666666666667</v>
      </c>
      <c r="KO12" s="135" t="str">
        <f t="shared" si="142"/>
        <v>C</v>
      </c>
      <c r="KP12" s="151" t="str">
        <f>VLOOKUP(RANK(KN12,$KN$10:$KN$109),Sheet1!$A$381:$B$480,2,FALSE)</f>
        <v>10th</v>
      </c>
      <c r="KQ12" s="189"/>
      <c r="KR12" s="186"/>
      <c r="KS12" s="186">
        <f t="shared" si="143"/>
        <v>0</v>
      </c>
      <c r="KT12" s="186" t="str">
        <f t="shared" si="144"/>
        <v>0</v>
      </c>
      <c r="KU12" s="186" t="str">
        <f t="shared" si="145"/>
        <v>0</v>
      </c>
      <c r="KV12" s="186">
        <f t="shared" si="217"/>
        <v>0</v>
      </c>
      <c r="KW12" s="186">
        <f t="shared" si="218"/>
        <v>0</v>
      </c>
      <c r="KX12" s="135" t="str">
        <f t="shared" si="146"/>
        <v>F</v>
      </c>
      <c r="KY12" s="151" t="str">
        <f>VLOOKUP(RANK(KW12,$KW$10:$KW$109),Sheet1!$A$381:$B$480,2,FALSE)</f>
        <v>1st</v>
      </c>
      <c r="KZ12" s="191"/>
      <c r="LA12" s="186"/>
      <c r="LB12" s="186">
        <f t="shared" si="147"/>
        <v>0</v>
      </c>
      <c r="LC12" s="186" t="str">
        <f t="shared" si="148"/>
        <v>0</v>
      </c>
      <c r="LD12" s="186" t="str">
        <f t="shared" si="149"/>
        <v>0</v>
      </c>
      <c r="LE12" s="186">
        <f t="shared" si="219"/>
        <v>0</v>
      </c>
      <c r="LF12" s="186">
        <f t="shared" si="220"/>
        <v>0</v>
      </c>
      <c r="LG12" s="135" t="str">
        <f t="shared" si="150"/>
        <v>F</v>
      </c>
      <c r="LH12" s="151" t="str">
        <f>VLOOKUP(RANK(LF12,$LF$10:$LF$109),Sheet1!$A$381:$B$480,2,FALSE)</f>
        <v>1st</v>
      </c>
      <c r="LI12" s="191"/>
      <c r="LJ12" s="186"/>
      <c r="LK12" s="186">
        <f t="shared" si="151"/>
        <v>0</v>
      </c>
      <c r="LL12" s="186" t="str">
        <f t="shared" si="152"/>
        <v>61</v>
      </c>
      <c r="LM12" s="186" t="str">
        <f t="shared" si="153"/>
        <v>62</v>
      </c>
      <c r="LN12" s="186">
        <f t="shared" si="221"/>
        <v>123</v>
      </c>
      <c r="LO12" s="186">
        <f t="shared" si="222"/>
        <v>41</v>
      </c>
      <c r="LP12" s="135" t="str">
        <f t="shared" si="154"/>
        <v>D</v>
      </c>
      <c r="LQ12" s="151" t="str">
        <f>VLOOKUP(RANK(LO12,$LO$10:$LO$109),Sheet1!$A$381:$B$480,2,FALSE)</f>
        <v>6th</v>
      </c>
      <c r="LR12" s="191"/>
      <c r="LS12" s="186"/>
      <c r="LT12" s="186">
        <f t="shared" si="155"/>
        <v>0</v>
      </c>
      <c r="LU12" s="186" t="str">
        <f t="shared" si="156"/>
        <v>54</v>
      </c>
      <c r="LV12" s="186" t="str">
        <f t="shared" si="157"/>
        <v>62</v>
      </c>
      <c r="LW12" s="186">
        <f t="shared" si="223"/>
        <v>116</v>
      </c>
      <c r="LX12" s="186">
        <f t="shared" si="224"/>
        <v>38.6666666666667</v>
      </c>
      <c r="LY12" s="135" t="str">
        <f t="shared" si="158"/>
        <v>E</v>
      </c>
      <c r="LZ12" s="151" t="str">
        <f>VLOOKUP(RANK(LX12,$LX$10:$LX$109),Sheet1!$A$381:$B$480,2,FALSE)</f>
        <v>27th</v>
      </c>
      <c r="MA12" s="193"/>
      <c r="MB12" s="186"/>
      <c r="MC12" s="186">
        <f t="shared" si="159"/>
        <v>0</v>
      </c>
      <c r="MD12" s="186" t="str">
        <f t="shared" si="160"/>
        <v>58</v>
      </c>
      <c r="ME12" s="186" t="str">
        <f t="shared" si="161"/>
        <v>62</v>
      </c>
      <c r="MF12" s="183">
        <f t="shared" si="225"/>
        <v>120</v>
      </c>
      <c r="MG12" s="151">
        <f t="shared" si="226"/>
        <v>40</v>
      </c>
      <c r="MH12" s="135" t="str">
        <f t="shared" si="162"/>
        <v>D</v>
      </c>
      <c r="MI12" s="151" t="str">
        <f>VLOOKUP(RANK(MG12,$MG$10:$MG$109),Sheet1!$A$381:$B$480,2,FALSE)</f>
        <v>5th</v>
      </c>
      <c r="MJ12" s="191"/>
      <c r="MK12" s="186"/>
      <c r="ML12" s="186">
        <f t="shared" si="163"/>
        <v>0</v>
      </c>
      <c r="MM12" s="186" t="str">
        <f t="shared" si="164"/>
        <v>50</v>
      </c>
      <c r="MN12" s="186" t="str">
        <f t="shared" si="165"/>
        <v>48</v>
      </c>
      <c r="MO12" s="186">
        <f t="shared" si="227"/>
        <v>98</v>
      </c>
      <c r="MP12" s="186">
        <f t="shared" si="228"/>
        <v>32.6666666666667</v>
      </c>
      <c r="MQ12" s="135" t="str">
        <f t="shared" si="166"/>
        <v>F</v>
      </c>
      <c r="MR12" s="151" t="str">
        <f>VLOOKUP(RANK(MP12,$MP$10:$MP$109),Sheet1!$A$381:$B$480,2,FALSE)</f>
        <v>31st</v>
      </c>
      <c r="MS12" s="191"/>
      <c r="MT12" s="186"/>
      <c r="MU12" s="186">
        <f t="shared" si="167"/>
        <v>0</v>
      </c>
      <c r="MV12" s="186" t="str">
        <f t="shared" si="168"/>
        <v>75</v>
      </c>
      <c r="MW12" s="186" t="str">
        <f t="shared" si="169"/>
        <v>60</v>
      </c>
      <c r="MX12" s="186">
        <f t="shared" si="229"/>
        <v>135</v>
      </c>
      <c r="MY12" s="186">
        <f t="shared" si="230"/>
        <v>45</v>
      </c>
      <c r="MZ12" s="135" t="str">
        <f t="shared" si="170"/>
        <v>D</v>
      </c>
      <c r="NA12" s="151" t="str">
        <f>VLOOKUP(RANK(MY12,$MY$10:$MY$109),Sheet1!$A$381:$B$480,2,FALSE)</f>
        <v>15th</v>
      </c>
      <c r="NB12" s="193"/>
      <c r="NC12" s="186"/>
      <c r="ND12" s="186">
        <f t="shared" si="171"/>
        <v>0</v>
      </c>
      <c r="NE12" s="186" t="str">
        <f t="shared" si="172"/>
        <v>45</v>
      </c>
      <c r="NF12" s="186" t="str">
        <f t="shared" si="173"/>
        <v>53</v>
      </c>
      <c r="NG12" s="186">
        <f t="shared" si="231"/>
        <v>98</v>
      </c>
      <c r="NH12" s="186">
        <f t="shared" si="232"/>
        <v>32.6666666666667</v>
      </c>
      <c r="NI12" s="135" t="str">
        <f t="shared" si="174"/>
        <v>F</v>
      </c>
      <c r="NJ12" s="151" t="str">
        <f>VLOOKUP(RANK(NH12,$NH$10:$NH$109),Sheet1!$A$381:$B$480,2,FALSE)</f>
        <v>11th</v>
      </c>
      <c r="NK12" s="186"/>
      <c r="NL12" s="186"/>
      <c r="NM12" s="186">
        <f t="shared" si="175"/>
        <v>0</v>
      </c>
      <c r="NN12" s="186" t="str">
        <f t="shared" si="176"/>
        <v>83</v>
      </c>
      <c r="NO12" s="186" t="str">
        <f t="shared" si="177"/>
        <v>75</v>
      </c>
      <c r="NP12" s="186">
        <f t="shared" si="233"/>
        <v>158</v>
      </c>
      <c r="NQ12" s="186">
        <f t="shared" si="178"/>
        <v>52.6666666666667</v>
      </c>
      <c r="NR12" s="135" t="str">
        <f t="shared" si="179"/>
        <v>C</v>
      </c>
      <c r="NS12" s="151" t="str">
        <f>VLOOKUP(RANK(NQ12,$NQ$10:$NQ$109),Sheet1!$A$381:$B$480,2,FALSE)</f>
        <v>6th</v>
      </c>
      <c r="NT12" s="186"/>
      <c r="NU12" s="186"/>
      <c r="NV12" s="186">
        <f t="shared" si="180"/>
        <v>0</v>
      </c>
      <c r="NW12" s="186" t="str">
        <f t="shared" si="181"/>
        <v>0</v>
      </c>
      <c r="NX12" s="186" t="str">
        <f t="shared" si="182"/>
        <v>0</v>
      </c>
      <c r="NY12" s="186">
        <f t="shared" si="234"/>
        <v>0</v>
      </c>
      <c r="NZ12" s="186">
        <f t="shared" si="183"/>
        <v>0</v>
      </c>
      <c r="OA12" s="135" t="str">
        <f t="shared" si="184"/>
        <v>F</v>
      </c>
      <c r="OB12" s="151" t="str">
        <f>VLOOKUP(RANK(NZ12,$NZ$10:$NZ$109),Sheet1!$A$381:$B$480,2,FALSE)</f>
        <v>1st</v>
      </c>
      <c r="OC12" s="193"/>
      <c r="OD12" s="186"/>
      <c r="OE12" s="186">
        <f t="shared" si="185"/>
        <v>0</v>
      </c>
      <c r="OF12" s="186" t="str">
        <f t="shared" si="186"/>
        <v>0</v>
      </c>
      <c r="OG12" s="186" t="str">
        <f t="shared" si="187"/>
        <v>0</v>
      </c>
      <c r="OH12" s="186">
        <f t="shared" si="235"/>
        <v>0</v>
      </c>
      <c r="OI12" s="186">
        <f t="shared" si="236"/>
        <v>0</v>
      </c>
      <c r="OJ12" s="135" t="str">
        <f t="shared" si="188"/>
        <v>F</v>
      </c>
      <c r="OK12" s="151" t="str">
        <f>VLOOKUP(RANK(OI12,$OI$10:$OI$109),Sheet1!$A$381:$B$480,2,FALSE)</f>
        <v>1st</v>
      </c>
      <c r="OL12" s="151"/>
      <c r="OM12" s="151"/>
      <c r="ON12" s="151">
        <f t="shared" si="237"/>
        <v>0</v>
      </c>
      <c r="OO12" s="151" t="str">
        <f t="shared" si="238"/>
        <v>0</v>
      </c>
      <c r="OP12" s="151" t="str">
        <f t="shared" si="239"/>
        <v>0</v>
      </c>
      <c r="OQ12" s="151">
        <f t="shared" si="240"/>
        <v>0</v>
      </c>
      <c r="OR12" s="151">
        <f t="shared" si="241"/>
        <v>0</v>
      </c>
      <c r="OS12" s="135" t="str">
        <f t="shared" si="189"/>
        <v>F</v>
      </c>
      <c r="OT12" s="151" t="str">
        <f>VLOOKUP(RANK(OR12,$OI$10:$OI$109),Sheet1!$A$381:$B$480,2,FALSE)</f>
        <v>1st</v>
      </c>
      <c r="OU12" s="151">
        <f t="shared" si="242"/>
        <v>500</v>
      </c>
      <c r="OV12" s="151">
        <f t="shared" si="243"/>
        <v>29.411764705882401</v>
      </c>
      <c r="OW12" s="151" t="str">
        <f>VLOOKUP(RANK(OV12,$OV$10:$OV$109),Sheet1!$A$381:$B$480,2,FALSE)</f>
        <v>7th</v>
      </c>
      <c r="OX12" s="151"/>
      <c r="OY12" s="186"/>
      <c r="OZ12" s="186"/>
      <c r="PA12" s="186"/>
      <c r="PB12" s="186"/>
    </row>
    <row r="13" spans="1:418" s="118" customFormat="1" ht="18.75">
      <c r="A13" s="131">
        <v>4</v>
      </c>
      <c r="B13" s="132" t="s">
        <v>100</v>
      </c>
      <c r="C13" s="133" t="s">
        <v>97</v>
      </c>
      <c r="D13" s="134">
        <v>25</v>
      </c>
      <c r="E13" s="134">
        <v>20</v>
      </c>
      <c r="F13" s="137">
        <f t="shared" si="0"/>
        <v>45</v>
      </c>
      <c r="G13" s="137">
        <f t="shared" si="1"/>
        <v>45</v>
      </c>
      <c r="H13" s="135" t="str">
        <f t="shared" si="190"/>
        <v>D</v>
      </c>
      <c r="I13" s="135" t="str">
        <f>VLOOKUP(RANK(G13,$G$10:$G$109),Sheet1!$A$381:$B$480,2,FALSE)</f>
        <v>95th</v>
      </c>
      <c r="J13" s="134">
        <v>22</v>
      </c>
      <c r="K13" s="134">
        <v>28</v>
      </c>
      <c r="L13" s="137">
        <f t="shared" si="2"/>
        <v>50</v>
      </c>
      <c r="M13" s="137">
        <f t="shared" si="3"/>
        <v>50</v>
      </c>
      <c r="N13" s="135" t="str">
        <f t="shared" si="4"/>
        <v>C</v>
      </c>
      <c r="O13" s="141" t="str">
        <f>VLOOKUP(RANK(M13,$M$10:$M$109),Sheet1!$A$381:$B$480,2,FALSE)</f>
        <v>67th</v>
      </c>
      <c r="P13" s="142">
        <v>25</v>
      </c>
      <c r="Q13" s="145">
        <v>15</v>
      </c>
      <c r="R13" s="147">
        <f t="shared" si="5"/>
        <v>40</v>
      </c>
      <c r="S13" s="137">
        <f t="shared" si="6"/>
        <v>40</v>
      </c>
      <c r="T13" s="135" t="str">
        <f t="shared" si="7"/>
        <v>D</v>
      </c>
      <c r="U13" s="135" t="str">
        <f>VLOOKUP(RANK(S13,$S$10:$S$109),Sheet1!$A$381:$B$480,2,FALSE)</f>
        <v>57th</v>
      </c>
      <c r="V13" s="134">
        <v>25</v>
      </c>
      <c r="W13" s="134">
        <v>20</v>
      </c>
      <c r="X13" s="137">
        <f t="shared" si="191"/>
        <v>45</v>
      </c>
      <c r="Y13" s="137">
        <f t="shared" si="244"/>
        <v>45</v>
      </c>
      <c r="Z13" s="135" t="str">
        <f t="shared" si="8"/>
        <v>D</v>
      </c>
      <c r="AA13" s="135" t="str">
        <f>VLOOKUP(RANK(Y13,$Y$10:$Y$109),Sheet1!$A$381:$B$480,2,FALSE)</f>
        <v>78th</v>
      </c>
      <c r="AB13" s="134">
        <v>29</v>
      </c>
      <c r="AC13" s="134">
        <v>5</v>
      </c>
      <c r="AD13" s="137">
        <f t="shared" si="9"/>
        <v>34</v>
      </c>
      <c r="AE13" s="137">
        <f t="shared" si="10"/>
        <v>34</v>
      </c>
      <c r="AF13" s="135" t="str">
        <f t="shared" si="11"/>
        <v>F</v>
      </c>
      <c r="AG13" s="135" t="str">
        <f>VLOOKUP(RANK(AE13,$AE$10:$AE$109),Sheet1!$A$381:$B$480,2,FALSE)</f>
        <v>85th</v>
      </c>
      <c r="AH13" s="137"/>
      <c r="AI13" s="137"/>
      <c r="AJ13" s="137">
        <f t="shared" si="12"/>
        <v>0</v>
      </c>
      <c r="AK13" s="137">
        <f t="shared" si="13"/>
        <v>0</v>
      </c>
      <c r="AL13" s="135" t="str">
        <f t="shared" si="14"/>
        <v>F</v>
      </c>
      <c r="AM13" s="135" t="str">
        <f>VLOOKUP(RANK(AK13,$AK$10:$AK$109),Sheet1!$A$381:$B$480,2,FALSE)</f>
        <v>1st</v>
      </c>
      <c r="AN13" s="139"/>
      <c r="AO13" s="139"/>
      <c r="AP13" s="137">
        <f t="shared" si="15"/>
        <v>0</v>
      </c>
      <c r="AQ13" s="137">
        <f t="shared" si="16"/>
        <v>0</v>
      </c>
      <c r="AR13" s="135" t="str">
        <f t="shared" si="17"/>
        <v>F</v>
      </c>
      <c r="AS13" s="135" t="str">
        <f>VLOOKUP(RANK(AQ13,$AQ$10:$AQ$109),Sheet1!$A$381:$B$480,2,FALSE)</f>
        <v>1st</v>
      </c>
      <c r="AT13" s="142">
        <v>25</v>
      </c>
      <c r="AU13" s="145">
        <v>30</v>
      </c>
      <c r="AV13" s="137">
        <f t="shared" si="18"/>
        <v>55</v>
      </c>
      <c r="AW13" s="137">
        <f t="shared" si="19"/>
        <v>55</v>
      </c>
      <c r="AX13" s="135" t="str">
        <f t="shared" si="20"/>
        <v>C</v>
      </c>
      <c r="AY13" s="141" t="str">
        <f>VLOOKUP(RANK(AW13,$AW$10:$AW$109),Sheet1!$A$381:$B$480,2,FALSE)</f>
        <v>21st</v>
      </c>
      <c r="AZ13" s="142">
        <v>34</v>
      </c>
      <c r="BA13" s="145">
        <v>28</v>
      </c>
      <c r="BB13" s="147">
        <f t="shared" si="21"/>
        <v>62</v>
      </c>
      <c r="BC13" s="137">
        <f t="shared" si="22"/>
        <v>62</v>
      </c>
      <c r="BD13" s="135" t="str">
        <f t="shared" si="23"/>
        <v>B</v>
      </c>
      <c r="BE13" s="135" t="str">
        <f>VLOOKUP(RANK(BC13,$BC$10:$BC$109),Sheet1!$A$381:$B$480,2,FALSE)</f>
        <v>25th</v>
      </c>
      <c r="BF13" s="142">
        <v>11</v>
      </c>
      <c r="BG13" s="145">
        <v>12</v>
      </c>
      <c r="BH13" s="137">
        <f t="shared" si="24"/>
        <v>23</v>
      </c>
      <c r="BI13" s="137">
        <f t="shared" si="25"/>
        <v>23</v>
      </c>
      <c r="BJ13" s="135" t="str">
        <f t="shared" si="26"/>
        <v>F</v>
      </c>
      <c r="BK13" s="141" t="str">
        <f>VLOOKUP(RANK(BI13,$BI$10:$BI$109),Sheet1!$A$381:$B$480,2,FALSE)</f>
        <v>89th</v>
      </c>
      <c r="BL13" s="148">
        <v>24</v>
      </c>
      <c r="BM13" s="150">
        <v>27</v>
      </c>
      <c r="BN13" s="147">
        <f t="shared" si="27"/>
        <v>51</v>
      </c>
      <c r="BO13" s="137">
        <f t="shared" si="28"/>
        <v>51</v>
      </c>
      <c r="BP13" s="135" t="str">
        <f t="shared" si="29"/>
        <v>C</v>
      </c>
      <c r="BQ13" s="141" t="str">
        <f>VLOOKUP(RANK(BO13,$BO$10:$BO$109),Sheet1!$A$381:$B$480,2,FALSE)</f>
        <v>69th</v>
      </c>
      <c r="BR13" s="148">
        <v>29</v>
      </c>
      <c r="BS13" s="150">
        <v>7</v>
      </c>
      <c r="BT13" s="147">
        <f t="shared" si="30"/>
        <v>36</v>
      </c>
      <c r="BU13" s="137">
        <f t="shared" si="31"/>
        <v>36</v>
      </c>
      <c r="BV13" s="135" t="str">
        <f t="shared" si="32"/>
        <v>E</v>
      </c>
      <c r="BW13" s="135" t="str">
        <f>VLOOKUP(RANK(BU13,$BU$10:$BU$109),Sheet1!$A$381:$B$480,2,FALSE)</f>
        <v>76th</v>
      </c>
      <c r="BX13" s="148">
        <v>26</v>
      </c>
      <c r="BY13" s="150">
        <v>10</v>
      </c>
      <c r="BZ13" s="137">
        <f t="shared" si="33"/>
        <v>36</v>
      </c>
      <c r="CA13" s="137">
        <f t="shared" si="34"/>
        <v>36</v>
      </c>
      <c r="CB13" s="135" t="str">
        <f t="shared" si="35"/>
        <v>E</v>
      </c>
      <c r="CC13" s="135" t="str">
        <f>VLOOKUP(RANK(CA13,$CA$10:$CA$109),Sheet1!$A$381:$B$480,2,FALSE)</f>
        <v>91st</v>
      </c>
      <c r="CD13" s="148">
        <v>28</v>
      </c>
      <c r="CE13" s="150">
        <v>30</v>
      </c>
      <c r="CF13" s="137">
        <f t="shared" si="36"/>
        <v>58</v>
      </c>
      <c r="CG13" s="137">
        <f t="shared" si="37"/>
        <v>58</v>
      </c>
      <c r="CH13" s="135" t="str">
        <f t="shared" si="38"/>
        <v>C</v>
      </c>
      <c r="CI13" s="135" t="str">
        <f>VLOOKUP(RANK(CG13,$CG$10:$CG$109),Sheet1!$A$381:$B$480,2,FALSE)</f>
        <v>35th</v>
      </c>
      <c r="CJ13" s="137"/>
      <c r="CK13" s="137"/>
      <c r="CL13" s="137">
        <f t="shared" si="39"/>
        <v>0</v>
      </c>
      <c r="CM13" s="137">
        <f t="shared" si="40"/>
        <v>0</v>
      </c>
      <c r="CN13" s="135" t="str">
        <f t="shared" si="41"/>
        <v>F</v>
      </c>
      <c r="CO13" s="135" t="str">
        <f>VLOOKUP(RANK(CM13,$CM$10:$CM$109),Sheet1!$A$381:$B$480,2,FALSE)</f>
        <v>1st</v>
      </c>
      <c r="CP13" s="137"/>
      <c r="CQ13" s="137"/>
      <c r="CR13" s="137">
        <f t="shared" si="42"/>
        <v>0</v>
      </c>
      <c r="CS13" s="137">
        <f t="shared" si="43"/>
        <v>0</v>
      </c>
      <c r="CT13" s="135" t="str">
        <f t="shared" si="44"/>
        <v>F</v>
      </c>
      <c r="CU13" s="135" t="str">
        <f>VLOOKUP(RANK(CS13,$CS$10:$CS$109),Sheet1!$A$381:$B$480,2,FALSE)</f>
        <v>1st</v>
      </c>
      <c r="CV13" s="151"/>
      <c r="CW13" s="135"/>
      <c r="CX13" s="151">
        <f t="shared" si="192"/>
        <v>0</v>
      </c>
      <c r="CY13" s="151">
        <f t="shared" si="193"/>
        <v>0</v>
      </c>
      <c r="CZ13" s="135" t="str">
        <f t="shared" si="45"/>
        <v>F</v>
      </c>
      <c r="DA13" s="135" t="str">
        <f>VLOOKUP(RANK(CY13,$CY$10:$CY$109),Sheet1!$A$381:$B$480,2,FALSE)</f>
        <v>1st</v>
      </c>
      <c r="DB13" s="135"/>
      <c r="DC13" s="151">
        <f t="shared" si="194"/>
        <v>535</v>
      </c>
      <c r="DD13" s="151">
        <f t="shared" si="195"/>
        <v>31.470588235294102</v>
      </c>
      <c r="DE13" s="135" t="str">
        <f>VLOOKUP(RANK(DD13,$DD$10:$DD$109),Sheet1!$A$381:$B$480,2,FALSE)</f>
        <v>85th</v>
      </c>
      <c r="DF13" s="137"/>
      <c r="DG13" s="160">
        <f t="shared" si="46"/>
        <v>566.47058823529403</v>
      </c>
      <c r="DH13" s="119"/>
      <c r="DI13" s="162">
        <v>24</v>
      </c>
      <c r="DJ13" s="162">
        <v>41</v>
      </c>
      <c r="DK13" s="137">
        <f t="shared" si="47"/>
        <v>65</v>
      </c>
      <c r="DL13" s="137" t="str">
        <f t="shared" si="48"/>
        <v>45</v>
      </c>
      <c r="DM13" s="137">
        <f t="shared" si="49"/>
        <v>110</v>
      </c>
      <c r="DN13" s="137">
        <f t="shared" si="50"/>
        <v>55</v>
      </c>
      <c r="DO13" s="135" t="str">
        <f t="shared" si="51"/>
        <v>C</v>
      </c>
      <c r="DP13" s="135" t="str">
        <f>VLOOKUP(RANK(DN13,$DN$10:$DN$109),Sheet1!$A$381:$B$480,2,FALSE)</f>
        <v>84th</v>
      </c>
      <c r="DQ13" s="164">
        <v>27</v>
      </c>
      <c r="DR13" s="165">
        <v>17</v>
      </c>
      <c r="DS13" s="137">
        <f t="shared" si="52"/>
        <v>44</v>
      </c>
      <c r="DT13" s="137" t="str">
        <f t="shared" si="53"/>
        <v>50</v>
      </c>
      <c r="DU13" s="137">
        <f t="shared" si="54"/>
        <v>94</v>
      </c>
      <c r="DV13" s="137">
        <f t="shared" si="55"/>
        <v>47</v>
      </c>
      <c r="DW13" s="135" t="str">
        <f t="shared" si="56"/>
        <v>D</v>
      </c>
      <c r="DX13" s="135" t="str">
        <f>VLOOKUP(RANK(DV13,$DV$10:$DV$109),Sheet1!$A$381:$B$480,2,FALSE)</f>
        <v>64th</v>
      </c>
      <c r="DY13" s="167">
        <v>26</v>
      </c>
      <c r="DZ13" s="165">
        <v>24</v>
      </c>
      <c r="EA13" s="137">
        <f t="shared" si="57"/>
        <v>50</v>
      </c>
      <c r="EB13" s="137" t="str">
        <f t="shared" si="58"/>
        <v>40</v>
      </c>
      <c r="EC13" s="137">
        <f t="shared" si="59"/>
        <v>90</v>
      </c>
      <c r="ED13" s="137">
        <f t="shared" si="60"/>
        <v>45</v>
      </c>
      <c r="EE13" s="135" t="str">
        <f t="shared" si="61"/>
        <v>D</v>
      </c>
      <c r="EF13" s="135" t="str">
        <f>VLOOKUP(RANK(ED13,$ED$10:$ED$109),Sheet1!$A$381:$B$480,2,FALSE)</f>
        <v>52nd</v>
      </c>
      <c r="EG13" s="162">
        <v>29</v>
      </c>
      <c r="EH13" s="162">
        <v>24</v>
      </c>
      <c r="EI13" s="137">
        <f t="shared" si="62"/>
        <v>53</v>
      </c>
      <c r="EJ13" s="137" t="str">
        <f t="shared" si="63"/>
        <v>45</v>
      </c>
      <c r="EK13" s="137">
        <f t="shared" si="64"/>
        <v>98</v>
      </c>
      <c r="EL13" s="137">
        <f t="shared" si="65"/>
        <v>49</v>
      </c>
      <c r="EM13" s="135" t="str">
        <f t="shared" si="66"/>
        <v>D</v>
      </c>
      <c r="EN13" s="135" t="str">
        <f>VLOOKUP(RANK(EL13,$EL$10:$EL$109),Sheet1!$A$381:$B$480,2,FALSE)</f>
        <v>65th</v>
      </c>
      <c r="EO13" s="162">
        <v>28</v>
      </c>
      <c r="EP13" s="162">
        <v>18</v>
      </c>
      <c r="EQ13" s="137">
        <f t="shared" si="67"/>
        <v>46</v>
      </c>
      <c r="ER13" s="137" t="str">
        <f t="shared" si="68"/>
        <v>34</v>
      </c>
      <c r="ES13" s="137">
        <f t="shared" si="69"/>
        <v>80</v>
      </c>
      <c r="ET13" s="137">
        <f t="shared" si="70"/>
        <v>40</v>
      </c>
      <c r="EU13" s="135" t="str">
        <f t="shared" si="71"/>
        <v>D</v>
      </c>
      <c r="EV13" s="135" t="str">
        <f>VLOOKUP(RANK(ET13,$ET$10:$ET$109),Sheet1!$A$381:$B$480,2,FALSE)</f>
        <v>75th</v>
      </c>
      <c r="EW13" s="170"/>
      <c r="EX13" s="137"/>
      <c r="EY13" s="137">
        <f t="shared" si="72"/>
        <v>0</v>
      </c>
      <c r="EZ13" s="137" t="str">
        <f t="shared" si="73"/>
        <v>0</v>
      </c>
      <c r="FA13" s="137">
        <f t="shared" si="74"/>
        <v>0</v>
      </c>
      <c r="FB13" s="137">
        <f t="shared" si="75"/>
        <v>0</v>
      </c>
      <c r="FC13" s="135" t="str">
        <f t="shared" si="76"/>
        <v>F</v>
      </c>
      <c r="FD13" s="135" t="str">
        <f>VLOOKUP(RANK(FB13,$FB$10:$FB$109),Sheet1!$A$381:$B$480,2,FALSE)</f>
        <v>1st</v>
      </c>
      <c r="FE13" s="172"/>
      <c r="FF13" s="137"/>
      <c r="FG13" s="137">
        <f t="shared" si="77"/>
        <v>0</v>
      </c>
      <c r="FH13" s="137" t="str">
        <f t="shared" si="78"/>
        <v>0</v>
      </c>
      <c r="FI13" s="137">
        <f t="shared" si="79"/>
        <v>0</v>
      </c>
      <c r="FJ13" s="137">
        <f t="shared" si="80"/>
        <v>0</v>
      </c>
      <c r="FK13" s="135" t="str">
        <f t="shared" si="81"/>
        <v>F</v>
      </c>
      <c r="FL13" s="135" t="str">
        <f>VLOOKUP(RANK(FJ13,$FJ$10:$FJ$109),Sheet1!$A$381:$B$480,2,FALSE)</f>
        <v>1st</v>
      </c>
      <c r="FM13" s="164">
        <v>26</v>
      </c>
      <c r="FN13" s="165">
        <v>24</v>
      </c>
      <c r="FO13" s="137">
        <f t="shared" si="82"/>
        <v>50</v>
      </c>
      <c r="FP13" s="137" t="str">
        <f t="shared" si="83"/>
        <v>55</v>
      </c>
      <c r="FQ13" s="137">
        <f t="shared" si="84"/>
        <v>105</v>
      </c>
      <c r="FR13" s="137">
        <f t="shared" si="85"/>
        <v>52.5</v>
      </c>
      <c r="FS13" s="135" t="str">
        <f t="shared" si="86"/>
        <v>C</v>
      </c>
      <c r="FT13" s="135" t="str">
        <f>VLOOKUP(RANK(FR13,$FR$10:$FR$109),Sheet1!$A$381:$B$480,2,FALSE)</f>
        <v>40th</v>
      </c>
      <c r="FU13" s="148">
        <v>33</v>
      </c>
      <c r="FV13" s="150">
        <v>20</v>
      </c>
      <c r="FW13" s="137">
        <f t="shared" si="87"/>
        <v>53</v>
      </c>
      <c r="FX13" s="137" t="str">
        <f t="shared" si="88"/>
        <v>62</v>
      </c>
      <c r="FY13" s="137">
        <f t="shared" si="196"/>
        <v>53</v>
      </c>
      <c r="FZ13" s="137">
        <f t="shared" si="89"/>
        <v>26.5</v>
      </c>
      <c r="GA13" s="135" t="str">
        <f t="shared" si="90"/>
        <v>F</v>
      </c>
      <c r="GB13" s="135" t="str">
        <f>VLOOKUP(RANK(FZ13,$FZ$10:$FZ$109),Sheet1!$A$381:$B$480,2,FALSE)</f>
        <v>43rd</v>
      </c>
      <c r="GC13" s="164">
        <v>31</v>
      </c>
      <c r="GD13" s="165">
        <v>31</v>
      </c>
      <c r="GE13" s="137">
        <f t="shared" si="91"/>
        <v>62</v>
      </c>
      <c r="GF13" s="137" t="str">
        <f t="shared" si="92"/>
        <v>23</v>
      </c>
      <c r="GG13" s="135">
        <f t="shared" si="197"/>
        <v>85</v>
      </c>
      <c r="GH13" s="137">
        <f t="shared" si="198"/>
        <v>42.5</v>
      </c>
      <c r="GI13" s="135" t="str">
        <f t="shared" si="93"/>
        <v>D</v>
      </c>
      <c r="GJ13" s="135" t="str">
        <f>VLOOKUP(RANK(GH13,$GH$10:$GH$109),Sheet1!$A$381:$B$480,2,FALSE)</f>
        <v>36th</v>
      </c>
      <c r="GK13" s="164">
        <v>27</v>
      </c>
      <c r="GL13" s="165">
        <v>17</v>
      </c>
      <c r="GM13" s="137">
        <f t="shared" si="94"/>
        <v>44</v>
      </c>
      <c r="GN13" s="137" t="str">
        <f t="shared" si="95"/>
        <v>51</v>
      </c>
      <c r="GO13" s="135">
        <f t="shared" si="199"/>
        <v>95</v>
      </c>
      <c r="GP13" s="137">
        <f t="shared" si="96"/>
        <v>47.5</v>
      </c>
      <c r="GQ13" s="135" t="str">
        <f t="shared" si="97"/>
        <v>D</v>
      </c>
      <c r="GR13" s="135" t="str">
        <f>VLOOKUP(RANK(GP13,$GP$10:$GP$109),Sheet1!$A$381:$B$480,2,FALSE)</f>
        <v>61st</v>
      </c>
      <c r="GS13" s="164">
        <v>28</v>
      </c>
      <c r="GT13" s="165">
        <v>15</v>
      </c>
      <c r="GU13" s="137">
        <f t="shared" si="98"/>
        <v>43</v>
      </c>
      <c r="GV13" s="137" t="str">
        <f t="shared" si="99"/>
        <v>36</v>
      </c>
      <c r="GW13" s="137">
        <f t="shared" si="100"/>
        <v>79</v>
      </c>
      <c r="GX13" s="137">
        <f t="shared" si="101"/>
        <v>39.5</v>
      </c>
      <c r="GY13" s="135" t="str">
        <f t="shared" si="102"/>
        <v>E</v>
      </c>
      <c r="GZ13" s="135" t="str">
        <f>VLOOKUP(RANK(GX13,$GX$10:$GX$109),Sheet1!$A$381:$B$480,2,FALSE)</f>
        <v>71st</v>
      </c>
      <c r="HA13" s="164">
        <v>28</v>
      </c>
      <c r="HB13" s="165">
        <v>12</v>
      </c>
      <c r="HC13" s="137">
        <f t="shared" si="103"/>
        <v>40</v>
      </c>
      <c r="HD13" s="137" t="str">
        <f t="shared" si="104"/>
        <v>36</v>
      </c>
      <c r="HE13" s="137">
        <f t="shared" si="105"/>
        <v>76</v>
      </c>
      <c r="HF13" s="137">
        <f t="shared" si="106"/>
        <v>38</v>
      </c>
      <c r="HG13" s="135" t="str">
        <f t="shared" si="107"/>
        <v>E</v>
      </c>
      <c r="HH13" s="135" t="str">
        <f>VLOOKUP(RANK(HF13,$HF$10:$HF$109),Sheet1!$A$381:$B$480,2,FALSE)</f>
        <v>80th</v>
      </c>
      <c r="HI13" s="148">
        <v>28</v>
      </c>
      <c r="HJ13" s="150">
        <v>49</v>
      </c>
      <c r="HK13" s="137">
        <f t="shared" si="108"/>
        <v>77</v>
      </c>
      <c r="HL13" s="137" t="str">
        <f t="shared" si="109"/>
        <v>58</v>
      </c>
      <c r="HM13" s="137">
        <f t="shared" si="110"/>
        <v>135</v>
      </c>
      <c r="HN13" s="137">
        <f t="shared" si="111"/>
        <v>67.5</v>
      </c>
      <c r="HO13" s="135" t="str">
        <f t="shared" si="112"/>
        <v>B</v>
      </c>
      <c r="HP13" s="135" t="str">
        <f>VLOOKUP(RANK(HN13,$HN$10:$HN$109),Sheet1!$A$381:$B$480,2,FALSE)</f>
        <v>32nd</v>
      </c>
      <c r="HQ13" s="137"/>
      <c r="HR13" s="137"/>
      <c r="HS13" s="137">
        <f t="shared" si="113"/>
        <v>0</v>
      </c>
      <c r="HT13" s="137" t="str">
        <f t="shared" si="114"/>
        <v>0</v>
      </c>
      <c r="HU13" s="137">
        <f t="shared" si="115"/>
        <v>0</v>
      </c>
      <c r="HV13" s="137">
        <f t="shared" si="116"/>
        <v>0</v>
      </c>
      <c r="HW13" s="135" t="str">
        <f t="shared" si="117"/>
        <v>F</v>
      </c>
      <c r="HX13" s="135" t="str">
        <f>VLOOKUP(RANK(HV13,$HV$10:$HV$109),Sheet1!$A$381:$B$480,2,FALSE)</f>
        <v>1st</v>
      </c>
      <c r="HY13" s="174"/>
      <c r="HZ13" s="137"/>
      <c r="IA13" s="137">
        <f t="shared" si="118"/>
        <v>0</v>
      </c>
      <c r="IB13" s="137" t="str">
        <f t="shared" si="119"/>
        <v>0</v>
      </c>
      <c r="IC13" s="137">
        <f t="shared" si="120"/>
        <v>0</v>
      </c>
      <c r="ID13" s="137">
        <f t="shared" si="121"/>
        <v>0</v>
      </c>
      <c r="IE13" s="135" t="str">
        <f t="shared" si="122"/>
        <v>F</v>
      </c>
      <c r="IF13" s="135" t="str">
        <f>VLOOKUP(RANK(ID13,$ID$10:$ID$109),Sheet1!$A$381:$B$480,2,FALSE)</f>
        <v>1st</v>
      </c>
      <c r="IG13" s="135"/>
      <c r="IH13" s="135"/>
      <c r="II13" s="135">
        <f t="shared" si="200"/>
        <v>0</v>
      </c>
      <c r="IJ13" s="135" t="str">
        <f t="shared" si="201"/>
        <v>0</v>
      </c>
      <c r="IK13" s="135">
        <f t="shared" si="202"/>
        <v>0</v>
      </c>
      <c r="IL13" s="135">
        <f t="shared" si="203"/>
        <v>0</v>
      </c>
      <c r="IM13" s="135" t="str">
        <f t="shared" si="123"/>
        <v>F</v>
      </c>
      <c r="IN13" s="135" t="str">
        <f>VLOOKUP(RANK(IL13,$IL$10:$IL$109),Sheet1!$A$381:$B$480,2,FALSE)</f>
        <v>1st</v>
      </c>
      <c r="IO13" s="135">
        <f t="shared" si="204"/>
        <v>550</v>
      </c>
      <c r="IP13" s="177">
        <f t="shared" si="205"/>
        <v>32.352941176470601</v>
      </c>
      <c r="IQ13" s="135" t="str">
        <f>VLOOKUP(RANK(IP13,$IP$10:$IP$109),Sheet1!$A$381:$B$480,2,FALSE)</f>
        <v>63rd</v>
      </c>
      <c r="IR13" s="178"/>
      <c r="IS13" s="137"/>
      <c r="IT13" s="137"/>
      <c r="IU13" s="137"/>
      <c r="IV13" s="137"/>
      <c r="IW13" s="181"/>
      <c r="IX13" s="184"/>
      <c r="IY13" s="185"/>
      <c r="IZ13" s="186">
        <f t="shared" si="206"/>
        <v>0</v>
      </c>
      <c r="JA13" s="186" t="str">
        <f t="shared" si="124"/>
        <v>45</v>
      </c>
      <c r="JB13" s="186" t="str">
        <f t="shared" si="125"/>
        <v>65</v>
      </c>
      <c r="JC13" s="186">
        <f t="shared" si="207"/>
        <v>110</v>
      </c>
      <c r="JD13" s="186">
        <f t="shared" si="208"/>
        <v>36.6666666666667</v>
      </c>
      <c r="JE13" s="135" t="str">
        <f t="shared" si="126"/>
        <v>E</v>
      </c>
      <c r="JF13" s="151" t="str">
        <f>VLOOKUP(RANK(JD13,$JD$10:$JD$109),Sheet1!$A$381:$B$480,2,FALSE)</f>
        <v>84th</v>
      </c>
      <c r="JG13" s="187"/>
      <c r="JH13" s="186"/>
      <c r="JI13" s="186">
        <f t="shared" si="127"/>
        <v>0</v>
      </c>
      <c r="JJ13" s="186" t="str">
        <f t="shared" si="128"/>
        <v>50</v>
      </c>
      <c r="JK13" s="186" t="str">
        <f t="shared" si="129"/>
        <v>44</v>
      </c>
      <c r="JL13" s="186">
        <f t="shared" si="209"/>
        <v>94</v>
      </c>
      <c r="JM13" s="186">
        <f t="shared" si="210"/>
        <v>31.3333333333333</v>
      </c>
      <c r="JN13" s="135" t="str">
        <f t="shared" si="130"/>
        <v>F</v>
      </c>
      <c r="JO13" s="151" t="str">
        <f>VLOOKUP(RANK(JM13,$JM$10:$JM$109),Sheet1!$A$381:$B$480,2,FALSE)</f>
        <v>64th</v>
      </c>
      <c r="JP13" s="189"/>
      <c r="JQ13" s="186"/>
      <c r="JR13" s="186">
        <f t="shared" si="131"/>
        <v>0</v>
      </c>
      <c r="JS13" s="186" t="str">
        <f t="shared" si="132"/>
        <v>40</v>
      </c>
      <c r="JT13" s="186" t="str">
        <f t="shared" si="133"/>
        <v>50</v>
      </c>
      <c r="JU13" s="186">
        <f t="shared" si="211"/>
        <v>90</v>
      </c>
      <c r="JV13" s="186">
        <f t="shared" si="212"/>
        <v>30</v>
      </c>
      <c r="JW13" s="135" t="str">
        <f t="shared" si="134"/>
        <v>F</v>
      </c>
      <c r="JX13" s="151" t="str">
        <f>VLOOKUP(RANK(JV13,$JV$10:$JV$109),Sheet1!$A$381:$B$480,2,FALSE)</f>
        <v>52nd</v>
      </c>
      <c r="JY13" s="186"/>
      <c r="JZ13" s="186"/>
      <c r="KA13" s="186">
        <f t="shared" si="135"/>
        <v>0</v>
      </c>
      <c r="KB13" s="186" t="str">
        <f t="shared" si="136"/>
        <v>45</v>
      </c>
      <c r="KC13" s="186" t="str">
        <f t="shared" si="137"/>
        <v>53</v>
      </c>
      <c r="KD13" s="186">
        <f t="shared" si="213"/>
        <v>98</v>
      </c>
      <c r="KE13" s="186">
        <f t="shared" si="214"/>
        <v>32.6666666666667</v>
      </c>
      <c r="KF13" s="135" t="str">
        <f t="shared" si="138"/>
        <v>F</v>
      </c>
      <c r="KG13" s="151" t="str">
        <f>VLOOKUP(RANK(KE13,$KE$10:$KE$109),Sheet1!$A$381:$B$480,2,FALSE)</f>
        <v>65th</v>
      </c>
      <c r="KH13" s="189"/>
      <c r="KI13" s="186"/>
      <c r="KJ13" s="186">
        <f t="shared" si="139"/>
        <v>0</v>
      </c>
      <c r="KK13" s="186" t="str">
        <f t="shared" si="140"/>
        <v>34</v>
      </c>
      <c r="KL13" s="186" t="str">
        <f t="shared" si="141"/>
        <v>46</v>
      </c>
      <c r="KM13" s="186">
        <f t="shared" si="215"/>
        <v>80</v>
      </c>
      <c r="KN13" s="186">
        <f t="shared" si="216"/>
        <v>26.6666666666667</v>
      </c>
      <c r="KO13" s="135" t="str">
        <f t="shared" si="142"/>
        <v>F</v>
      </c>
      <c r="KP13" s="151" t="str">
        <f>VLOOKUP(RANK(KN13,$KN$10:$KN$109),Sheet1!$A$381:$B$480,2,FALSE)</f>
        <v>75th</v>
      </c>
      <c r="KQ13" s="189"/>
      <c r="KR13" s="186"/>
      <c r="KS13" s="186">
        <f t="shared" si="143"/>
        <v>0</v>
      </c>
      <c r="KT13" s="186" t="str">
        <f t="shared" si="144"/>
        <v>0</v>
      </c>
      <c r="KU13" s="186" t="str">
        <f t="shared" si="145"/>
        <v>0</v>
      </c>
      <c r="KV13" s="186">
        <f t="shared" si="217"/>
        <v>0</v>
      </c>
      <c r="KW13" s="186">
        <f t="shared" si="218"/>
        <v>0</v>
      </c>
      <c r="KX13" s="135" t="str">
        <f t="shared" si="146"/>
        <v>F</v>
      </c>
      <c r="KY13" s="151" t="str">
        <f>VLOOKUP(RANK(KW13,$KW$10:$KW$109),Sheet1!$A$381:$B$480,2,FALSE)</f>
        <v>1st</v>
      </c>
      <c r="KZ13" s="191"/>
      <c r="LA13" s="186"/>
      <c r="LB13" s="186">
        <f t="shared" si="147"/>
        <v>0</v>
      </c>
      <c r="LC13" s="186" t="str">
        <f t="shared" si="148"/>
        <v>0</v>
      </c>
      <c r="LD13" s="186" t="str">
        <f t="shared" si="149"/>
        <v>0</v>
      </c>
      <c r="LE13" s="186">
        <f t="shared" si="219"/>
        <v>0</v>
      </c>
      <c r="LF13" s="186">
        <f t="shared" si="220"/>
        <v>0</v>
      </c>
      <c r="LG13" s="135" t="str">
        <f t="shared" si="150"/>
        <v>F</v>
      </c>
      <c r="LH13" s="151" t="str">
        <f>VLOOKUP(RANK(LF13,$LF$10:$LF$109),Sheet1!$A$381:$B$480,2,FALSE)</f>
        <v>1st</v>
      </c>
      <c r="LI13" s="191"/>
      <c r="LJ13" s="186"/>
      <c r="LK13" s="186">
        <f t="shared" si="151"/>
        <v>0</v>
      </c>
      <c r="LL13" s="186" t="str">
        <f t="shared" si="152"/>
        <v>55</v>
      </c>
      <c r="LM13" s="186" t="str">
        <f t="shared" si="153"/>
        <v>50</v>
      </c>
      <c r="LN13" s="186">
        <f t="shared" si="221"/>
        <v>105</v>
      </c>
      <c r="LO13" s="186">
        <f t="shared" si="222"/>
        <v>35</v>
      </c>
      <c r="LP13" s="135" t="str">
        <f t="shared" si="154"/>
        <v>E</v>
      </c>
      <c r="LQ13" s="151" t="str">
        <f>VLOOKUP(RANK(LO13,$LO$10:$LO$109),Sheet1!$A$381:$B$480,2,FALSE)</f>
        <v>40th</v>
      </c>
      <c r="LR13" s="191"/>
      <c r="LS13" s="186"/>
      <c r="LT13" s="186">
        <f t="shared" si="155"/>
        <v>0</v>
      </c>
      <c r="LU13" s="186" t="str">
        <f t="shared" si="156"/>
        <v>62</v>
      </c>
      <c r="LV13" s="186" t="str">
        <f t="shared" si="157"/>
        <v>53</v>
      </c>
      <c r="LW13" s="186">
        <f t="shared" si="223"/>
        <v>115</v>
      </c>
      <c r="LX13" s="186">
        <f t="shared" si="224"/>
        <v>38.3333333333333</v>
      </c>
      <c r="LY13" s="135" t="str">
        <f t="shared" si="158"/>
        <v>E</v>
      </c>
      <c r="LZ13" s="151" t="str">
        <f>VLOOKUP(RANK(LX13,$LX$10:$LX$109),Sheet1!$A$381:$B$480,2,FALSE)</f>
        <v>29th</v>
      </c>
      <c r="MA13" s="193"/>
      <c r="MB13" s="186"/>
      <c r="MC13" s="186">
        <f t="shared" si="159"/>
        <v>0</v>
      </c>
      <c r="MD13" s="186" t="str">
        <f t="shared" si="160"/>
        <v>23</v>
      </c>
      <c r="ME13" s="186" t="str">
        <f t="shared" si="161"/>
        <v>62</v>
      </c>
      <c r="MF13" s="183">
        <f t="shared" si="225"/>
        <v>85</v>
      </c>
      <c r="MG13" s="151">
        <f t="shared" si="226"/>
        <v>28.3333333333333</v>
      </c>
      <c r="MH13" s="135" t="str">
        <f t="shared" si="162"/>
        <v>F</v>
      </c>
      <c r="MI13" s="151" t="str">
        <f>VLOOKUP(RANK(MG13,$MG$10:$MG$109),Sheet1!$A$381:$B$480,2,FALSE)</f>
        <v>36th</v>
      </c>
      <c r="MJ13" s="191"/>
      <c r="MK13" s="186"/>
      <c r="ML13" s="186">
        <f t="shared" si="163"/>
        <v>0</v>
      </c>
      <c r="MM13" s="186" t="str">
        <f t="shared" si="164"/>
        <v>51</v>
      </c>
      <c r="MN13" s="186" t="str">
        <f t="shared" si="165"/>
        <v>44</v>
      </c>
      <c r="MO13" s="186">
        <f t="shared" si="227"/>
        <v>95</v>
      </c>
      <c r="MP13" s="186">
        <f t="shared" si="228"/>
        <v>31.6666666666667</v>
      </c>
      <c r="MQ13" s="135" t="str">
        <f t="shared" si="166"/>
        <v>F</v>
      </c>
      <c r="MR13" s="151" t="str">
        <f>VLOOKUP(RANK(MP13,$MP$10:$MP$109),Sheet1!$A$381:$B$480,2,FALSE)</f>
        <v>61st</v>
      </c>
      <c r="MS13" s="191"/>
      <c r="MT13" s="186"/>
      <c r="MU13" s="186">
        <f t="shared" si="167"/>
        <v>0</v>
      </c>
      <c r="MV13" s="186" t="str">
        <f t="shared" si="168"/>
        <v>36</v>
      </c>
      <c r="MW13" s="186" t="str">
        <f t="shared" si="169"/>
        <v>43</v>
      </c>
      <c r="MX13" s="186">
        <f t="shared" si="229"/>
        <v>79</v>
      </c>
      <c r="MY13" s="186">
        <f t="shared" si="230"/>
        <v>26.3333333333333</v>
      </c>
      <c r="MZ13" s="135" t="str">
        <f t="shared" si="170"/>
        <v>F</v>
      </c>
      <c r="NA13" s="151" t="str">
        <f>VLOOKUP(RANK(MY13,$MY$10:$MY$109),Sheet1!$A$381:$B$480,2,FALSE)</f>
        <v>71st</v>
      </c>
      <c r="NB13" s="193"/>
      <c r="NC13" s="186"/>
      <c r="ND13" s="186">
        <f t="shared" si="171"/>
        <v>0</v>
      </c>
      <c r="NE13" s="186" t="str">
        <f t="shared" si="172"/>
        <v>36</v>
      </c>
      <c r="NF13" s="186" t="str">
        <f t="shared" si="173"/>
        <v>40</v>
      </c>
      <c r="NG13" s="186">
        <f t="shared" si="231"/>
        <v>76</v>
      </c>
      <c r="NH13" s="186">
        <f t="shared" si="232"/>
        <v>25.3333333333333</v>
      </c>
      <c r="NI13" s="135" t="str">
        <f t="shared" si="174"/>
        <v>F</v>
      </c>
      <c r="NJ13" s="151" t="str">
        <f>VLOOKUP(RANK(NH13,$NH$10:$NH$109),Sheet1!$A$381:$B$480,2,FALSE)</f>
        <v>80th</v>
      </c>
      <c r="NK13" s="186"/>
      <c r="NL13" s="186"/>
      <c r="NM13" s="186">
        <f t="shared" si="175"/>
        <v>0</v>
      </c>
      <c r="NN13" s="186" t="str">
        <f t="shared" si="176"/>
        <v>58</v>
      </c>
      <c r="NO13" s="186" t="str">
        <f t="shared" si="177"/>
        <v>77</v>
      </c>
      <c r="NP13" s="186">
        <f t="shared" si="233"/>
        <v>135</v>
      </c>
      <c r="NQ13" s="186">
        <f t="shared" si="178"/>
        <v>45</v>
      </c>
      <c r="NR13" s="135" t="str">
        <f t="shared" si="179"/>
        <v>D</v>
      </c>
      <c r="NS13" s="151" t="str">
        <f>VLOOKUP(RANK(NQ13,$NQ$10:$NQ$109),Sheet1!$A$381:$B$480,2,FALSE)</f>
        <v>32nd</v>
      </c>
      <c r="NT13" s="186"/>
      <c r="NU13" s="186"/>
      <c r="NV13" s="186">
        <f t="shared" si="180"/>
        <v>0</v>
      </c>
      <c r="NW13" s="186" t="str">
        <f t="shared" si="181"/>
        <v>0</v>
      </c>
      <c r="NX13" s="186" t="str">
        <f t="shared" si="182"/>
        <v>0</v>
      </c>
      <c r="NY13" s="186">
        <f t="shared" si="234"/>
        <v>0</v>
      </c>
      <c r="NZ13" s="186">
        <f t="shared" si="183"/>
        <v>0</v>
      </c>
      <c r="OA13" s="135" t="str">
        <f t="shared" si="184"/>
        <v>F</v>
      </c>
      <c r="OB13" s="151" t="str">
        <f>VLOOKUP(RANK(NZ13,$NZ$10:$NZ$109),Sheet1!$A$381:$B$480,2,FALSE)</f>
        <v>1st</v>
      </c>
      <c r="OC13" s="193"/>
      <c r="OD13" s="186"/>
      <c r="OE13" s="186">
        <f t="shared" si="185"/>
        <v>0</v>
      </c>
      <c r="OF13" s="186" t="str">
        <f t="shared" si="186"/>
        <v>0</v>
      </c>
      <c r="OG13" s="186" t="str">
        <f t="shared" si="187"/>
        <v>0</v>
      </c>
      <c r="OH13" s="186">
        <f t="shared" si="235"/>
        <v>0</v>
      </c>
      <c r="OI13" s="186">
        <f t="shared" si="236"/>
        <v>0</v>
      </c>
      <c r="OJ13" s="135" t="str">
        <f t="shared" si="188"/>
        <v>F</v>
      </c>
      <c r="OK13" s="151" t="str">
        <f>VLOOKUP(RANK(OI13,$OI$10:$OI$109),Sheet1!$A$381:$B$480,2,FALSE)</f>
        <v>1st</v>
      </c>
      <c r="OL13" s="151"/>
      <c r="OM13" s="151"/>
      <c r="ON13" s="151">
        <f t="shared" si="237"/>
        <v>0</v>
      </c>
      <c r="OO13" s="151" t="str">
        <f t="shared" si="238"/>
        <v>0</v>
      </c>
      <c r="OP13" s="151" t="str">
        <f t="shared" si="239"/>
        <v>0</v>
      </c>
      <c r="OQ13" s="151">
        <f t="shared" si="240"/>
        <v>0</v>
      </c>
      <c r="OR13" s="151">
        <f t="shared" si="241"/>
        <v>0</v>
      </c>
      <c r="OS13" s="135" t="str">
        <f t="shared" si="189"/>
        <v>F</v>
      </c>
      <c r="OT13" s="151" t="str">
        <f>VLOOKUP(RANK(OR13,$OI$10:$OI$109),Sheet1!$A$381:$B$480,2,FALSE)</f>
        <v>1st</v>
      </c>
      <c r="OU13" s="151">
        <f t="shared" si="242"/>
        <v>387.33333333333297</v>
      </c>
      <c r="OV13" s="151">
        <f t="shared" si="243"/>
        <v>22.7843137254902</v>
      </c>
      <c r="OW13" s="151" t="str">
        <f>VLOOKUP(RANK(OV13,$OV$10:$OV$109),Sheet1!$A$381:$B$480,2,FALSE)</f>
        <v>61st</v>
      </c>
      <c r="OX13" s="151"/>
      <c r="OY13" s="186"/>
      <c r="OZ13" s="186"/>
      <c r="PA13" s="186"/>
      <c r="PB13" s="186"/>
    </row>
    <row r="14" spans="1:418" s="118" customFormat="1" ht="18.75">
      <c r="A14" s="131">
        <v>5</v>
      </c>
      <c r="B14" s="132" t="s">
        <v>101</v>
      </c>
      <c r="C14" s="133" t="s">
        <v>97</v>
      </c>
      <c r="D14" s="134">
        <v>26</v>
      </c>
      <c r="E14" s="134">
        <v>39</v>
      </c>
      <c r="F14" s="137">
        <f t="shared" si="0"/>
        <v>65</v>
      </c>
      <c r="G14" s="137">
        <f t="shared" si="1"/>
        <v>65</v>
      </c>
      <c r="H14" s="135" t="str">
        <f t="shared" si="190"/>
        <v>B</v>
      </c>
      <c r="I14" s="135" t="str">
        <f>VLOOKUP(RANK(G14,$G$10:$G$109),Sheet1!$A$381:$B$480,2,FALSE)</f>
        <v>56th</v>
      </c>
      <c r="J14" s="134">
        <v>26</v>
      </c>
      <c r="K14" s="134">
        <v>25</v>
      </c>
      <c r="L14" s="137">
        <f t="shared" si="2"/>
        <v>51</v>
      </c>
      <c r="M14" s="137">
        <f t="shared" si="3"/>
        <v>51</v>
      </c>
      <c r="N14" s="135" t="str">
        <f t="shared" si="4"/>
        <v>C</v>
      </c>
      <c r="O14" s="141" t="str">
        <f>VLOOKUP(RANK(M14,$M$10:$M$109),Sheet1!$A$381:$B$480,2,FALSE)</f>
        <v>56th</v>
      </c>
      <c r="P14" s="142">
        <v>25</v>
      </c>
      <c r="Q14" s="145">
        <v>10</v>
      </c>
      <c r="R14" s="147">
        <f t="shared" si="5"/>
        <v>35</v>
      </c>
      <c r="S14" s="137">
        <f t="shared" si="6"/>
        <v>35</v>
      </c>
      <c r="T14" s="135" t="str">
        <f t="shared" si="7"/>
        <v>E</v>
      </c>
      <c r="U14" s="135" t="str">
        <f>VLOOKUP(RANK(S14,$S$10:$S$109),Sheet1!$A$381:$B$480,2,FALSE)</f>
        <v>73rd</v>
      </c>
      <c r="V14" s="134">
        <v>31</v>
      </c>
      <c r="W14" s="134">
        <v>18</v>
      </c>
      <c r="X14" s="137">
        <f t="shared" si="191"/>
        <v>49</v>
      </c>
      <c r="Y14" s="137">
        <f t="shared" si="244"/>
        <v>49</v>
      </c>
      <c r="Z14" s="135" t="str">
        <f t="shared" si="8"/>
        <v>D</v>
      </c>
      <c r="AA14" s="135" t="str">
        <f>VLOOKUP(RANK(Y14,$Y$10:$Y$109),Sheet1!$A$381:$B$480,2,FALSE)</f>
        <v>71st</v>
      </c>
      <c r="AB14" s="134">
        <v>29</v>
      </c>
      <c r="AC14" s="134">
        <v>24</v>
      </c>
      <c r="AD14" s="137">
        <f t="shared" si="9"/>
        <v>53</v>
      </c>
      <c r="AE14" s="137">
        <f t="shared" si="10"/>
        <v>53</v>
      </c>
      <c r="AF14" s="135" t="str">
        <f t="shared" si="11"/>
        <v>C</v>
      </c>
      <c r="AG14" s="135" t="str">
        <f>VLOOKUP(RANK(AE14,$AE$10:$AE$109),Sheet1!$A$381:$B$480,2,FALSE)</f>
        <v>63rd</v>
      </c>
      <c r="AH14" s="137"/>
      <c r="AI14" s="137"/>
      <c r="AJ14" s="137">
        <f t="shared" si="12"/>
        <v>0</v>
      </c>
      <c r="AK14" s="137">
        <f t="shared" si="13"/>
        <v>0</v>
      </c>
      <c r="AL14" s="135" t="str">
        <f t="shared" si="14"/>
        <v>F</v>
      </c>
      <c r="AM14" s="135" t="str">
        <f>VLOOKUP(RANK(AK14,$AK$10:$AK$109),Sheet1!$A$381:$B$480,2,FALSE)</f>
        <v>1st</v>
      </c>
      <c r="AN14" s="134"/>
      <c r="AO14" s="134"/>
      <c r="AP14" s="137">
        <f t="shared" si="15"/>
        <v>0</v>
      </c>
      <c r="AQ14" s="137">
        <f t="shared" si="16"/>
        <v>0</v>
      </c>
      <c r="AR14" s="135" t="str">
        <f t="shared" si="17"/>
        <v>F</v>
      </c>
      <c r="AS14" s="135" t="str">
        <f>VLOOKUP(RANK(AQ14,$AQ$10:$AQ$109),Sheet1!$A$381:$B$480,2,FALSE)</f>
        <v>1st</v>
      </c>
      <c r="AT14" s="142">
        <v>23</v>
      </c>
      <c r="AU14" s="145">
        <v>27</v>
      </c>
      <c r="AV14" s="137">
        <f t="shared" si="18"/>
        <v>50</v>
      </c>
      <c r="AW14" s="137">
        <f t="shared" si="19"/>
        <v>50</v>
      </c>
      <c r="AX14" s="135" t="str">
        <f t="shared" si="20"/>
        <v>C</v>
      </c>
      <c r="AY14" s="141" t="str">
        <f>VLOOKUP(RANK(AW14,$AW$10:$AW$109),Sheet1!$A$381:$B$480,2,FALSE)</f>
        <v>58th</v>
      </c>
      <c r="AZ14" s="142">
        <v>32</v>
      </c>
      <c r="BA14" s="145">
        <v>16</v>
      </c>
      <c r="BB14" s="147">
        <f t="shared" si="21"/>
        <v>48</v>
      </c>
      <c r="BC14" s="137">
        <f t="shared" si="22"/>
        <v>48</v>
      </c>
      <c r="BD14" s="135" t="str">
        <f t="shared" si="23"/>
        <v>D</v>
      </c>
      <c r="BE14" s="135" t="str">
        <f>VLOOKUP(RANK(BC14,$BC$10:$BC$109),Sheet1!$A$381:$B$480,2,FALSE)</f>
        <v>63rd</v>
      </c>
      <c r="BF14" s="142">
        <v>11</v>
      </c>
      <c r="BG14" s="145">
        <v>12</v>
      </c>
      <c r="BH14" s="137">
        <f t="shared" si="24"/>
        <v>23</v>
      </c>
      <c r="BI14" s="137">
        <f t="shared" si="25"/>
        <v>23</v>
      </c>
      <c r="BJ14" s="135" t="str">
        <f t="shared" si="26"/>
        <v>F</v>
      </c>
      <c r="BK14" s="141" t="str">
        <f>VLOOKUP(RANK(BI14,$BI$10:$BI$109),Sheet1!$A$381:$B$480,2,FALSE)</f>
        <v>89th</v>
      </c>
      <c r="BL14" s="148">
        <v>27</v>
      </c>
      <c r="BM14" s="150">
        <v>24</v>
      </c>
      <c r="BN14" s="147">
        <f t="shared" si="27"/>
        <v>51</v>
      </c>
      <c r="BO14" s="137">
        <f t="shared" si="28"/>
        <v>51</v>
      </c>
      <c r="BP14" s="135" t="str">
        <f t="shared" si="29"/>
        <v>C</v>
      </c>
      <c r="BQ14" s="141" t="str">
        <f>VLOOKUP(RANK(BO14,$BO$10:$BO$109),Sheet1!$A$381:$B$480,2,FALSE)</f>
        <v>69th</v>
      </c>
      <c r="BR14" s="148">
        <v>27</v>
      </c>
      <c r="BS14" s="150">
        <v>12</v>
      </c>
      <c r="BT14" s="147">
        <f t="shared" si="30"/>
        <v>39</v>
      </c>
      <c r="BU14" s="137">
        <f t="shared" si="31"/>
        <v>39</v>
      </c>
      <c r="BV14" s="135" t="str">
        <f t="shared" si="32"/>
        <v>E</v>
      </c>
      <c r="BW14" s="135" t="str">
        <f>VLOOKUP(RANK(BU14,$BU$10:$BU$109),Sheet1!$A$381:$B$480,2,FALSE)</f>
        <v>65th</v>
      </c>
      <c r="BX14" s="148">
        <v>27</v>
      </c>
      <c r="BY14" s="150">
        <v>10</v>
      </c>
      <c r="BZ14" s="137">
        <f t="shared" si="33"/>
        <v>37</v>
      </c>
      <c r="CA14" s="137">
        <f t="shared" si="34"/>
        <v>37</v>
      </c>
      <c r="CB14" s="135" t="str">
        <f t="shared" si="35"/>
        <v>E</v>
      </c>
      <c r="CC14" s="135" t="str">
        <f>VLOOKUP(RANK(CA14,$CA$10:$CA$109),Sheet1!$A$381:$B$480,2,FALSE)</f>
        <v>70th</v>
      </c>
      <c r="CD14" s="148">
        <v>27</v>
      </c>
      <c r="CE14" s="150">
        <v>30</v>
      </c>
      <c r="CF14" s="137">
        <f t="shared" si="36"/>
        <v>57</v>
      </c>
      <c r="CG14" s="137">
        <f t="shared" si="37"/>
        <v>57</v>
      </c>
      <c r="CH14" s="135" t="str">
        <f t="shared" si="38"/>
        <v>C</v>
      </c>
      <c r="CI14" s="135" t="str">
        <f>VLOOKUP(RANK(CG14,$CG$10:$CG$109),Sheet1!$A$381:$B$480,2,FALSE)</f>
        <v>38th</v>
      </c>
      <c r="CJ14" s="137"/>
      <c r="CK14" s="137"/>
      <c r="CL14" s="137">
        <f t="shared" si="39"/>
        <v>0</v>
      </c>
      <c r="CM14" s="137">
        <f t="shared" si="40"/>
        <v>0</v>
      </c>
      <c r="CN14" s="135" t="str">
        <f t="shared" si="41"/>
        <v>F</v>
      </c>
      <c r="CO14" s="135" t="str">
        <f>VLOOKUP(RANK(CM14,$CM$10:$CM$109),Sheet1!$A$381:$B$480,2,FALSE)</f>
        <v>1st</v>
      </c>
      <c r="CP14" s="137"/>
      <c r="CQ14" s="137"/>
      <c r="CR14" s="137">
        <f t="shared" si="42"/>
        <v>0</v>
      </c>
      <c r="CS14" s="137">
        <f t="shared" si="43"/>
        <v>0</v>
      </c>
      <c r="CT14" s="135" t="str">
        <f t="shared" si="44"/>
        <v>F</v>
      </c>
      <c r="CU14" s="135" t="str">
        <f>VLOOKUP(RANK(CS14,$CS$10:$CS$109),Sheet1!$A$381:$B$480,2,FALSE)</f>
        <v>1st</v>
      </c>
      <c r="CV14" s="151"/>
      <c r="CW14" s="135"/>
      <c r="CX14" s="151">
        <f t="shared" si="192"/>
        <v>0</v>
      </c>
      <c r="CY14" s="151">
        <f t="shared" si="193"/>
        <v>0</v>
      </c>
      <c r="CZ14" s="135" t="str">
        <f t="shared" si="45"/>
        <v>F</v>
      </c>
      <c r="DA14" s="135" t="str">
        <f>VLOOKUP(RANK(CY14,$CY$10:$CY$109),Sheet1!$A$381:$B$480,2,FALSE)</f>
        <v>1st</v>
      </c>
      <c r="DB14" s="135"/>
      <c r="DC14" s="151">
        <f t="shared" si="194"/>
        <v>558</v>
      </c>
      <c r="DD14" s="151">
        <f t="shared" si="195"/>
        <v>32.823529411764703</v>
      </c>
      <c r="DE14" s="135" t="str">
        <f>VLOOKUP(RANK(DD14,$DD$10:$DD$109),Sheet1!$A$381:$B$480,2,FALSE)</f>
        <v>72nd</v>
      </c>
      <c r="DF14" s="137"/>
      <c r="DG14" s="160">
        <f t="shared" si="46"/>
        <v>590.82352941176498</v>
      </c>
      <c r="DH14" s="119"/>
      <c r="DI14" s="162">
        <v>16</v>
      </c>
      <c r="DJ14" s="162">
        <v>52</v>
      </c>
      <c r="DK14" s="137">
        <f t="shared" si="47"/>
        <v>68</v>
      </c>
      <c r="DL14" s="137" t="str">
        <f t="shared" si="48"/>
        <v>65</v>
      </c>
      <c r="DM14" s="137">
        <f t="shared" si="49"/>
        <v>133</v>
      </c>
      <c r="DN14" s="137">
        <f t="shared" si="50"/>
        <v>66.5</v>
      </c>
      <c r="DO14" s="135" t="str">
        <f t="shared" si="51"/>
        <v>B</v>
      </c>
      <c r="DP14" s="135" t="str">
        <f>VLOOKUP(RANK(DN14,$DN$10:$DN$109),Sheet1!$A$381:$B$480,2,FALSE)</f>
        <v>50th</v>
      </c>
      <c r="DQ14" s="164">
        <v>26</v>
      </c>
      <c r="DR14" s="165">
        <v>17</v>
      </c>
      <c r="DS14" s="137">
        <f t="shared" si="52"/>
        <v>43</v>
      </c>
      <c r="DT14" s="137" t="str">
        <f t="shared" si="53"/>
        <v>51</v>
      </c>
      <c r="DU14" s="137">
        <f t="shared" si="54"/>
        <v>94</v>
      </c>
      <c r="DV14" s="137">
        <f t="shared" si="55"/>
        <v>47</v>
      </c>
      <c r="DW14" s="135" t="str">
        <f t="shared" si="56"/>
        <v>D</v>
      </c>
      <c r="DX14" s="135" t="str">
        <f>VLOOKUP(RANK(DV14,$DV$10:$DV$109),Sheet1!$A$381:$B$480,2,FALSE)</f>
        <v>64th</v>
      </c>
      <c r="DY14" s="167">
        <v>33</v>
      </c>
      <c r="DZ14" s="165">
        <v>16</v>
      </c>
      <c r="EA14" s="137">
        <f t="shared" si="57"/>
        <v>49</v>
      </c>
      <c r="EB14" s="137" t="str">
        <f t="shared" si="58"/>
        <v>35</v>
      </c>
      <c r="EC14" s="137">
        <f t="shared" si="59"/>
        <v>84</v>
      </c>
      <c r="ED14" s="137">
        <f t="shared" si="60"/>
        <v>42</v>
      </c>
      <c r="EE14" s="135" t="str">
        <f t="shared" si="61"/>
        <v>D</v>
      </c>
      <c r="EF14" s="135" t="str">
        <f>VLOOKUP(RANK(ED14,$ED$10:$ED$109),Sheet1!$A$381:$B$480,2,FALSE)</f>
        <v>61st</v>
      </c>
      <c r="EG14" s="162">
        <v>24</v>
      </c>
      <c r="EH14" s="162">
        <v>28</v>
      </c>
      <c r="EI14" s="137">
        <f t="shared" si="62"/>
        <v>52</v>
      </c>
      <c r="EJ14" s="137" t="str">
        <f t="shared" si="63"/>
        <v>49</v>
      </c>
      <c r="EK14" s="137">
        <f t="shared" si="64"/>
        <v>101</v>
      </c>
      <c r="EL14" s="137">
        <f t="shared" si="65"/>
        <v>50.5</v>
      </c>
      <c r="EM14" s="135" t="str">
        <f t="shared" si="66"/>
        <v>C</v>
      </c>
      <c r="EN14" s="135" t="str">
        <f>VLOOKUP(RANK(EL14,$EL$10:$EL$109),Sheet1!$A$381:$B$480,2,FALSE)</f>
        <v>62nd</v>
      </c>
      <c r="EO14" s="162">
        <v>28</v>
      </c>
      <c r="EP14" s="162">
        <v>15</v>
      </c>
      <c r="EQ14" s="137">
        <f t="shared" si="67"/>
        <v>43</v>
      </c>
      <c r="ER14" s="137" t="str">
        <f t="shared" si="68"/>
        <v>53</v>
      </c>
      <c r="ES14" s="137">
        <f t="shared" si="69"/>
        <v>96</v>
      </c>
      <c r="ET14" s="137">
        <f t="shared" si="70"/>
        <v>48</v>
      </c>
      <c r="EU14" s="135" t="str">
        <f t="shared" si="71"/>
        <v>D</v>
      </c>
      <c r="EV14" s="135" t="str">
        <f>VLOOKUP(RANK(ET14,$ET$10:$ET$109),Sheet1!$A$381:$B$480,2,FALSE)</f>
        <v>65th</v>
      </c>
      <c r="EW14" s="170"/>
      <c r="EX14" s="137"/>
      <c r="EY14" s="137">
        <f t="shared" si="72"/>
        <v>0</v>
      </c>
      <c r="EZ14" s="137" t="str">
        <f t="shared" si="73"/>
        <v>0</v>
      </c>
      <c r="FA14" s="137">
        <f t="shared" si="74"/>
        <v>0</v>
      </c>
      <c r="FB14" s="137">
        <f t="shared" si="75"/>
        <v>0</v>
      </c>
      <c r="FC14" s="135" t="str">
        <f t="shared" si="76"/>
        <v>F</v>
      </c>
      <c r="FD14" s="135" t="str">
        <f>VLOOKUP(RANK(FB14,$FB$10:$FB$109),Sheet1!$A$381:$B$480,2,FALSE)</f>
        <v>1st</v>
      </c>
      <c r="FE14" s="172"/>
      <c r="FF14" s="137"/>
      <c r="FG14" s="137">
        <f t="shared" si="77"/>
        <v>0</v>
      </c>
      <c r="FH14" s="137" t="str">
        <f t="shared" si="78"/>
        <v>0</v>
      </c>
      <c r="FI14" s="137">
        <f t="shared" si="79"/>
        <v>0</v>
      </c>
      <c r="FJ14" s="137">
        <f t="shared" si="80"/>
        <v>0</v>
      </c>
      <c r="FK14" s="135" t="str">
        <f t="shared" si="81"/>
        <v>F</v>
      </c>
      <c r="FL14" s="135" t="str">
        <f>VLOOKUP(RANK(FJ14,$FJ$10:$FJ$109),Sheet1!$A$381:$B$480,2,FALSE)</f>
        <v>1st</v>
      </c>
      <c r="FM14" s="164">
        <v>25</v>
      </c>
      <c r="FN14" s="165">
        <v>26</v>
      </c>
      <c r="FO14" s="137">
        <f t="shared" si="82"/>
        <v>51</v>
      </c>
      <c r="FP14" s="137" t="str">
        <f t="shared" si="83"/>
        <v>50</v>
      </c>
      <c r="FQ14" s="137">
        <f t="shared" si="84"/>
        <v>101</v>
      </c>
      <c r="FR14" s="137">
        <f t="shared" si="85"/>
        <v>50.5</v>
      </c>
      <c r="FS14" s="135" t="str">
        <f t="shared" si="86"/>
        <v>C</v>
      </c>
      <c r="FT14" s="135" t="str">
        <f>VLOOKUP(RANK(FR14,$FR$10:$FR$109),Sheet1!$A$381:$B$480,2,FALSE)</f>
        <v>65th</v>
      </c>
      <c r="FU14" s="148">
        <v>26</v>
      </c>
      <c r="FV14" s="150">
        <v>20</v>
      </c>
      <c r="FW14" s="137">
        <f t="shared" si="87"/>
        <v>46</v>
      </c>
      <c r="FX14" s="137" t="str">
        <f t="shared" si="88"/>
        <v>48</v>
      </c>
      <c r="FY14" s="137">
        <f t="shared" si="196"/>
        <v>46</v>
      </c>
      <c r="FZ14" s="137">
        <f t="shared" si="89"/>
        <v>23</v>
      </c>
      <c r="GA14" s="135" t="str">
        <f t="shared" si="90"/>
        <v>F</v>
      </c>
      <c r="GB14" s="135" t="str">
        <f>VLOOKUP(RANK(FZ14,$FZ$10:$FZ$109),Sheet1!$A$381:$B$480,2,FALSE)</f>
        <v>61st</v>
      </c>
      <c r="GC14" s="164">
        <v>13</v>
      </c>
      <c r="GD14" s="165">
        <v>29</v>
      </c>
      <c r="GE14" s="137">
        <f t="shared" si="91"/>
        <v>42</v>
      </c>
      <c r="GF14" s="137" t="str">
        <f t="shared" si="92"/>
        <v>23</v>
      </c>
      <c r="GG14" s="135">
        <f t="shared" si="197"/>
        <v>65</v>
      </c>
      <c r="GH14" s="137">
        <f t="shared" si="198"/>
        <v>32.5</v>
      </c>
      <c r="GI14" s="135" t="str">
        <f t="shared" si="93"/>
        <v>F</v>
      </c>
      <c r="GJ14" s="135" t="str">
        <f>VLOOKUP(RANK(GH14,$GH$10:$GH$109),Sheet1!$A$381:$B$480,2,FALSE)</f>
        <v>69th</v>
      </c>
      <c r="GK14" s="164">
        <v>25</v>
      </c>
      <c r="GL14" s="165">
        <v>20</v>
      </c>
      <c r="GM14" s="137">
        <f t="shared" si="94"/>
        <v>45</v>
      </c>
      <c r="GN14" s="137" t="str">
        <f t="shared" si="95"/>
        <v>51</v>
      </c>
      <c r="GO14" s="135">
        <f t="shared" si="199"/>
        <v>96</v>
      </c>
      <c r="GP14" s="137">
        <f t="shared" si="96"/>
        <v>48</v>
      </c>
      <c r="GQ14" s="135" t="str">
        <f t="shared" si="97"/>
        <v>D</v>
      </c>
      <c r="GR14" s="135" t="str">
        <f>VLOOKUP(RANK(GP14,$GP$10:$GP$109),Sheet1!$A$381:$B$480,2,FALSE)</f>
        <v>45th</v>
      </c>
      <c r="GS14" s="164">
        <v>16</v>
      </c>
      <c r="GT14" s="165">
        <v>15</v>
      </c>
      <c r="GU14" s="137">
        <f t="shared" si="98"/>
        <v>31</v>
      </c>
      <c r="GV14" s="137" t="str">
        <f t="shared" si="99"/>
        <v>39</v>
      </c>
      <c r="GW14" s="137">
        <f t="shared" si="100"/>
        <v>70</v>
      </c>
      <c r="GX14" s="137">
        <f t="shared" si="101"/>
        <v>35</v>
      </c>
      <c r="GY14" s="135" t="str">
        <f t="shared" si="102"/>
        <v>E</v>
      </c>
      <c r="GZ14" s="135" t="str">
        <f>VLOOKUP(RANK(GX14,$GX$10:$GX$109),Sheet1!$A$381:$B$480,2,FALSE)</f>
        <v>86th</v>
      </c>
      <c r="HA14" s="164">
        <v>28</v>
      </c>
      <c r="HB14" s="165">
        <v>16</v>
      </c>
      <c r="HC14" s="137">
        <f t="shared" si="103"/>
        <v>44</v>
      </c>
      <c r="HD14" s="137" t="str">
        <f t="shared" si="104"/>
        <v>37</v>
      </c>
      <c r="HE14" s="137">
        <f t="shared" si="105"/>
        <v>81</v>
      </c>
      <c r="HF14" s="137">
        <f t="shared" si="106"/>
        <v>40.5</v>
      </c>
      <c r="HG14" s="135" t="str">
        <f t="shared" si="107"/>
        <v>D</v>
      </c>
      <c r="HH14" s="135" t="str">
        <f>VLOOKUP(RANK(HF14,$HF$10:$HF$109),Sheet1!$A$381:$B$480,2,FALSE)</f>
        <v>57th</v>
      </c>
      <c r="HI14" s="148">
        <v>28</v>
      </c>
      <c r="HJ14" s="150">
        <v>47</v>
      </c>
      <c r="HK14" s="137">
        <f t="shared" si="108"/>
        <v>75</v>
      </c>
      <c r="HL14" s="137" t="str">
        <f t="shared" si="109"/>
        <v>57</v>
      </c>
      <c r="HM14" s="137">
        <f t="shared" si="110"/>
        <v>132</v>
      </c>
      <c r="HN14" s="137">
        <f t="shared" si="111"/>
        <v>66</v>
      </c>
      <c r="HO14" s="135" t="str">
        <f t="shared" si="112"/>
        <v>B</v>
      </c>
      <c r="HP14" s="135" t="str">
        <f>VLOOKUP(RANK(HN14,$HN$10:$HN$109),Sheet1!$A$381:$B$480,2,FALSE)</f>
        <v>42nd</v>
      </c>
      <c r="HQ14" s="137"/>
      <c r="HR14" s="137"/>
      <c r="HS14" s="137">
        <f t="shared" si="113"/>
        <v>0</v>
      </c>
      <c r="HT14" s="137" t="str">
        <f t="shared" si="114"/>
        <v>0</v>
      </c>
      <c r="HU14" s="137">
        <f t="shared" si="115"/>
        <v>0</v>
      </c>
      <c r="HV14" s="137">
        <f t="shared" si="116"/>
        <v>0</v>
      </c>
      <c r="HW14" s="135" t="str">
        <f t="shared" si="117"/>
        <v>F</v>
      </c>
      <c r="HX14" s="135" t="str">
        <f>VLOOKUP(RANK(HV14,$HV$10:$HV$109),Sheet1!$A$381:$B$480,2,FALSE)</f>
        <v>1st</v>
      </c>
      <c r="HY14" s="174"/>
      <c r="HZ14" s="137"/>
      <c r="IA14" s="137">
        <f t="shared" si="118"/>
        <v>0</v>
      </c>
      <c r="IB14" s="137" t="str">
        <f t="shared" si="119"/>
        <v>0</v>
      </c>
      <c r="IC14" s="137">
        <f t="shared" si="120"/>
        <v>0</v>
      </c>
      <c r="ID14" s="137">
        <f t="shared" si="121"/>
        <v>0</v>
      </c>
      <c r="IE14" s="135" t="str">
        <f t="shared" si="122"/>
        <v>F</v>
      </c>
      <c r="IF14" s="135" t="str">
        <f>VLOOKUP(RANK(ID14,$ID$10:$ID$109),Sheet1!$A$381:$B$480,2,FALSE)</f>
        <v>1st</v>
      </c>
      <c r="IG14" s="135"/>
      <c r="IH14" s="135"/>
      <c r="II14" s="135">
        <f t="shared" si="200"/>
        <v>0</v>
      </c>
      <c r="IJ14" s="135" t="str">
        <f t="shared" si="201"/>
        <v>0</v>
      </c>
      <c r="IK14" s="135">
        <f t="shared" si="202"/>
        <v>0</v>
      </c>
      <c r="IL14" s="135">
        <f t="shared" si="203"/>
        <v>0</v>
      </c>
      <c r="IM14" s="135" t="str">
        <f t="shared" si="123"/>
        <v>F</v>
      </c>
      <c r="IN14" s="135" t="str">
        <f>VLOOKUP(RANK(IL14,$IL$10:$IL$109),Sheet1!$A$381:$B$480,2,FALSE)</f>
        <v>1st</v>
      </c>
      <c r="IO14" s="135">
        <f t="shared" si="204"/>
        <v>549.5</v>
      </c>
      <c r="IP14" s="177">
        <f t="shared" si="205"/>
        <v>32.323529411764703</v>
      </c>
      <c r="IQ14" s="135" t="str">
        <f>VLOOKUP(RANK(IP14,$IP$10:$IP$109),Sheet1!$A$381:$B$480,2,FALSE)</f>
        <v>64th</v>
      </c>
      <c r="IR14" s="178"/>
      <c r="IS14" s="137"/>
      <c r="IT14" s="137"/>
      <c r="IU14" s="137"/>
      <c r="IV14" s="137"/>
      <c r="IW14" s="181"/>
      <c r="IX14" s="184"/>
      <c r="IY14" s="185"/>
      <c r="IZ14" s="186">
        <f t="shared" si="206"/>
        <v>0</v>
      </c>
      <c r="JA14" s="186" t="str">
        <f t="shared" si="124"/>
        <v>65</v>
      </c>
      <c r="JB14" s="186" t="str">
        <f t="shared" si="125"/>
        <v>68</v>
      </c>
      <c r="JC14" s="186">
        <f t="shared" si="207"/>
        <v>133</v>
      </c>
      <c r="JD14" s="186">
        <f t="shared" si="208"/>
        <v>44.3333333333333</v>
      </c>
      <c r="JE14" s="135" t="str">
        <f t="shared" si="126"/>
        <v>D</v>
      </c>
      <c r="JF14" s="151" t="str">
        <f>VLOOKUP(RANK(JD14,$JD$10:$JD$109),Sheet1!$A$381:$B$480,2,FALSE)</f>
        <v>50th</v>
      </c>
      <c r="JG14" s="187"/>
      <c r="JH14" s="186"/>
      <c r="JI14" s="186">
        <f t="shared" si="127"/>
        <v>0</v>
      </c>
      <c r="JJ14" s="186" t="str">
        <f t="shared" si="128"/>
        <v>51</v>
      </c>
      <c r="JK14" s="186" t="str">
        <f t="shared" si="129"/>
        <v>43</v>
      </c>
      <c r="JL14" s="186">
        <f t="shared" si="209"/>
        <v>94</v>
      </c>
      <c r="JM14" s="186">
        <f t="shared" si="210"/>
        <v>31.3333333333333</v>
      </c>
      <c r="JN14" s="135" t="str">
        <f t="shared" si="130"/>
        <v>F</v>
      </c>
      <c r="JO14" s="151" t="str">
        <f>VLOOKUP(RANK(JM14,$JM$10:$JM$109),Sheet1!$A$381:$B$480,2,FALSE)</f>
        <v>64th</v>
      </c>
      <c r="JP14" s="189"/>
      <c r="JQ14" s="186"/>
      <c r="JR14" s="186">
        <f t="shared" si="131"/>
        <v>0</v>
      </c>
      <c r="JS14" s="186" t="str">
        <f t="shared" si="132"/>
        <v>35</v>
      </c>
      <c r="JT14" s="186" t="str">
        <f t="shared" si="133"/>
        <v>49</v>
      </c>
      <c r="JU14" s="186">
        <f t="shared" si="211"/>
        <v>84</v>
      </c>
      <c r="JV14" s="186">
        <f t="shared" si="212"/>
        <v>28</v>
      </c>
      <c r="JW14" s="135" t="str">
        <f t="shared" si="134"/>
        <v>F</v>
      </c>
      <c r="JX14" s="151" t="str">
        <f>VLOOKUP(RANK(JV14,$JV$10:$JV$109),Sheet1!$A$381:$B$480,2,FALSE)</f>
        <v>61st</v>
      </c>
      <c r="JY14" s="186"/>
      <c r="JZ14" s="186"/>
      <c r="KA14" s="186">
        <f t="shared" si="135"/>
        <v>0</v>
      </c>
      <c r="KB14" s="186" t="str">
        <f t="shared" si="136"/>
        <v>49</v>
      </c>
      <c r="KC14" s="186" t="str">
        <f t="shared" si="137"/>
        <v>52</v>
      </c>
      <c r="KD14" s="186">
        <f t="shared" si="213"/>
        <v>101</v>
      </c>
      <c r="KE14" s="186">
        <f t="shared" si="214"/>
        <v>33.6666666666667</v>
      </c>
      <c r="KF14" s="135" t="str">
        <f t="shared" si="138"/>
        <v>F</v>
      </c>
      <c r="KG14" s="151" t="str">
        <f>VLOOKUP(RANK(KE14,$KE$10:$KE$109),Sheet1!$A$381:$B$480,2,FALSE)</f>
        <v>62nd</v>
      </c>
      <c r="KH14" s="189"/>
      <c r="KI14" s="186"/>
      <c r="KJ14" s="186">
        <f t="shared" si="139"/>
        <v>0</v>
      </c>
      <c r="KK14" s="186" t="str">
        <f t="shared" si="140"/>
        <v>53</v>
      </c>
      <c r="KL14" s="186" t="str">
        <f t="shared" si="141"/>
        <v>43</v>
      </c>
      <c r="KM14" s="186">
        <f t="shared" si="215"/>
        <v>96</v>
      </c>
      <c r="KN14" s="186">
        <f t="shared" si="216"/>
        <v>32</v>
      </c>
      <c r="KO14" s="135" t="str">
        <f t="shared" si="142"/>
        <v>F</v>
      </c>
      <c r="KP14" s="151" t="str">
        <f>VLOOKUP(RANK(KN14,$KN$10:$KN$109),Sheet1!$A$381:$B$480,2,FALSE)</f>
        <v>65th</v>
      </c>
      <c r="KQ14" s="189"/>
      <c r="KR14" s="186"/>
      <c r="KS14" s="186">
        <f t="shared" si="143"/>
        <v>0</v>
      </c>
      <c r="KT14" s="186" t="str">
        <f t="shared" si="144"/>
        <v>0</v>
      </c>
      <c r="KU14" s="186" t="str">
        <f t="shared" si="145"/>
        <v>0</v>
      </c>
      <c r="KV14" s="186">
        <f t="shared" si="217"/>
        <v>0</v>
      </c>
      <c r="KW14" s="186">
        <f t="shared" si="218"/>
        <v>0</v>
      </c>
      <c r="KX14" s="135" t="str">
        <f t="shared" si="146"/>
        <v>F</v>
      </c>
      <c r="KY14" s="151" t="str">
        <f>VLOOKUP(RANK(KW14,$KW$10:$KW$109),Sheet1!$A$381:$B$480,2,FALSE)</f>
        <v>1st</v>
      </c>
      <c r="KZ14" s="191"/>
      <c r="LA14" s="186"/>
      <c r="LB14" s="186">
        <f t="shared" si="147"/>
        <v>0</v>
      </c>
      <c r="LC14" s="186" t="str">
        <f t="shared" si="148"/>
        <v>0</v>
      </c>
      <c r="LD14" s="186" t="str">
        <f t="shared" si="149"/>
        <v>0</v>
      </c>
      <c r="LE14" s="186">
        <f t="shared" si="219"/>
        <v>0</v>
      </c>
      <c r="LF14" s="186">
        <f t="shared" si="220"/>
        <v>0</v>
      </c>
      <c r="LG14" s="135" t="str">
        <f t="shared" si="150"/>
        <v>F</v>
      </c>
      <c r="LH14" s="151" t="str">
        <f>VLOOKUP(RANK(LF14,$LF$10:$LF$109),Sheet1!$A$381:$B$480,2,FALSE)</f>
        <v>1st</v>
      </c>
      <c r="LI14" s="191"/>
      <c r="LJ14" s="186"/>
      <c r="LK14" s="186">
        <f t="shared" si="151"/>
        <v>0</v>
      </c>
      <c r="LL14" s="186" t="str">
        <f t="shared" si="152"/>
        <v>50</v>
      </c>
      <c r="LM14" s="186" t="str">
        <f t="shared" si="153"/>
        <v>51</v>
      </c>
      <c r="LN14" s="186">
        <f t="shared" si="221"/>
        <v>101</v>
      </c>
      <c r="LO14" s="186">
        <f t="shared" si="222"/>
        <v>33.6666666666667</v>
      </c>
      <c r="LP14" s="135" t="str">
        <f t="shared" si="154"/>
        <v>F</v>
      </c>
      <c r="LQ14" s="151" t="str">
        <f>VLOOKUP(RANK(LO14,$LO$10:$LO$109),Sheet1!$A$381:$B$480,2,FALSE)</f>
        <v>65th</v>
      </c>
      <c r="LR14" s="191"/>
      <c r="LS14" s="186"/>
      <c r="LT14" s="186">
        <f t="shared" si="155"/>
        <v>0</v>
      </c>
      <c r="LU14" s="186" t="str">
        <f t="shared" si="156"/>
        <v>48</v>
      </c>
      <c r="LV14" s="186" t="str">
        <f t="shared" si="157"/>
        <v>46</v>
      </c>
      <c r="LW14" s="186">
        <f t="shared" si="223"/>
        <v>94</v>
      </c>
      <c r="LX14" s="186">
        <f t="shared" si="224"/>
        <v>31.3333333333333</v>
      </c>
      <c r="LY14" s="135" t="str">
        <f t="shared" si="158"/>
        <v>F</v>
      </c>
      <c r="LZ14" s="151" t="str">
        <f>VLOOKUP(RANK(LX14,$LX$10:$LX$109),Sheet1!$A$381:$B$480,2,FALSE)</f>
        <v>70th</v>
      </c>
      <c r="MA14" s="193"/>
      <c r="MB14" s="186"/>
      <c r="MC14" s="186">
        <f t="shared" si="159"/>
        <v>0</v>
      </c>
      <c r="MD14" s="186" t="str">
        <f t="shared" si="160"/>
        <v>23</v>
      </c>
      <c r="ME14" s="186" t="str">
        <f t="shared" si="161"/>
        <v>42</v>
      </c>
      <c r="MF14" s="183">
        <f t="shared" si="225"/>
        <v>65</v>
      </c>
      <c r="MG14" s="151">
        <f t="shared" si="226"/>
        <v>21.6666666666667</v>
      </c>
      <c r="MH14" s="135" t="str">
        <f t="shared" si="162"/>
        <v>F</v>
      </c>
      <c r="MI14" s="151" t="str">
        <f>VLOOKUP(RANK(MG14,$MG$10:$MG$109),Sheet1!$A$381:$B$480,2,FALSE)</f>
        <v>69th</v>
      </c>
      <c r="MJ14" s="191"/>
      <c r="MK14" s="186"/>
      <c r="ML14" s="186">
        <f t="shared" si="163"/>
        <v>0</v>
      </c>
      <c r="MM14" s="186" t="str">
        <f t="shared" si="164"/>
        <v>51</v>
      </c>
      <c r="MN14" s="186" t="str">
        <f t="shared" si="165"/>
        <v>45</v>
      </c>
      <c r="MO14" s="186">
        <f t="shared" si="227"/>
        <v>96</v>
      </c>
      <c r="MP14" s="186">
        <f t="shared" si="228"/>
        <v>32</v>
      </c>
      <c r="MQ14" s="135" t="str">
        <f t="shared" si="166"/>
        <v>F</v>
      </c>
      <c r="MR14" s="151" t="str">
        <f>VLOOKUP(RANK(MP14,$MP$10:$MP$109),Sheet1!$A$381:$B$480,2,FALSE)</f>
        <v>45th</v>
      </c>
      <c r="MS14" s="191"/>
      <c r="MT14" s="186"/>
      <c r="MU14" s="186">
        <f t="shared" si="167"/>
        <v>0</v>
      </c>
      <c r="MV14" s="186" t="str">
        <f t="shared" si="168"/>
        <v>39</v>
      </c>
      <c r="MW14" s="186" t="str">
        <f t="shared" si="169"/>
        <v>31</v>
      </c>
      <c r="MX14" s="186">
        <f t="shared" si="229"/>
        <v>70</v>
      </c>
      <c r="MY14" s="186">
        <f t="shared" si="230"/>
        <v>23.3333333333333</v>
      </c>
      <c r="MZ14" s="135" t="str">
        <f t="shared" si="170"/>
        <v>F</v>
      </c>
      <c r="NA14" s="151" t="str">
        <f>VLOOKUP(RANK(MY14,$MY$10:$MY$109),Sheet1!$A$381:$B$480,2,FALSE)</f>
        <v>86th</v>
      </c>
      <c r="NB14" s="193"/>
      <c r="NC14" s="186"/>
      <c r="ND14" s="186">
        <f t="shared" si="171"/>
        <v>0</v>
      </c>
      <c r="NE14" s="186" t="str">
        <f t="shared" si="172"/>
        <v>37</v>
      </c>
      <c r="NF14" s="186" t="str">
        <f t="shared" si="173"/>
        <v>44</v>
      </c>
      <c r="NG14" s="186">
        <f t="shared" si="231"/>
        <v>81</v>
      </c>
      <c r="NH14" s="186">
        <f t="shared" si="232"/>
        <v>27</v>
      </c>
      <c r="NI14" s="135" t="str">
        <f t="shared" si="174"/>
        <v>F</v>
      </c>
      <c r="NJ14" s="151" t="str">
        <f>VLOOKUP(RANK(NH14,$NH$10:$NH$109),Sheet1!$A$381:$B$480,2,FALSE)</f>
        <v>57th</v>
      </c>
      <c r="NK14" s="186"/>
      <c r="NL14" s="186"/>
      <c r="NM14" s="186">
        <f t="shared" si="175"/>
        <v>0</v>
      </c>
      <c r="NN14" s="186" t="str">
        <f t="shared" si="176"/>
        <v>57</v>
      </c>
      <c r="NO14" s="186" t="str">
        <f t="shared" si="177"/>
        <v>75</v>
      </c>
      <c r="NP14" s="186">
        <f t="shared" si="233"/>
        <v>132</v>
      </c>
      <c r="NQ14" s="186">
        <f t="shared" si="178"/>
        <v>44</v>
      </c>
      <c r="NR14" s="135" t="str">
        <f t="shared" si="179"/>
        <v>D</v>
      </c>
      <c r="NS14" s="151" t="str">
        <f>VLOOKUP(RANK(NQ14,$NQ$10:$NQ$109),Sheet1!$A$381:$B$480,2,FALSE)</f>
        <v>42nd</v>
      </c>
      <c r="NT14" s="186"/>
      <c r="NU14" s="186"/>
      <c r="NV14" s="186">
        <f t="shared" si="180"/>
        <v>0</v>
      </c>
      <c r="NW14" s="186" t="str">
        <f t="shared" si="181"/>
        <v>0</v>
      </c>
      <c r="NX14" s="186" t="str">
        <f t="shared" si="182"/>
        <v>0</v>
      </c>
      <c r="NY14" s="186">
        <f t="shared" si="234"/>
        <v>0</v>
      </c>
      <c r="NZ14" s="186">
        <f t="shared" si="183"/>
        <v>0</v>
      </c>
      <c r="OA14" s="135" t="str">
        <f t="shared" si="184"/>
        <v>F</v>
      </c>
      <c r="OB14" s="151" t="str">
        <f>VLOOKUP(RANK(NZ14,$NZ$10:$NZ$109),Sheet1!$A$381:$B$480,2,FALSE)</f>
        <v>1st</v>
      </c>
      <c r="OC14" s="193"/>
      <c r="OD14" s="186"/>
      <c r="OE14" s="186">
        <f t="shared" si="185"/>
        <v>0</v>
      </c>
      <c r="OF14" s="186" t="str">
        <f t="shared" si="186"/>
        <v>0</v>
      </c>
      <c r="OG14" s="186" t="str">
        <f t="shared" si="187"/>
        <v>0</v>
      </c>
      <c r="OH14" s="186">
        <f t="shared" si="235"/>
        <v>0</v>
      </c>
      <c r="OI14" s="186">
        <f t="shared" si="236"/>
        <v>0</v>
      </c>
      <c r="OJ14" s="135" t="str">
        <f t="shared" si="188"/>
        <v>F</v>
      </c>
      <c r="OK14" s="151" t="str">
        <f>VLOOKUP(RANK(OI14,$OI$10:$OI$109),Sheet1!$A$381:$B$480,2,FALSE)</f>
        <v>1st</v>
      </c>
      <c r="OL14" s="151"/>
      <c r="OM14" s="151"/>
      <c r="ON14" s="151">
        <f t="shared" si="237"/>
        <v>0</v>
      </c>
      <c r="OO14" s="151" t="str">
        <f t="shared" si="238"/>
        <v>0</v>
      </c>
      <c r="OP14" s="151" t="str">
        <f t="shared" si="239"/>
        <v>0</v>
      </c>
      <c r="OQ14" s="151">
        <f t="shared" si="240"/>
        <v>0</v>
      </c>
      <c r="OR14" s="151">
        <f t="shared" si="241"/>
        <v>0</v>
      </c>
      <c r="OS14" s="135" t="str">
        <f t="shared" si="189"/>
        <v>F</v>
      </c>
      <c r="OT14" s="151" t="str">
        <f>VLOOKUP(RANK(OR14,$OI$10:$OI$109),Sheet1!$A$381:$B$480,2,FALSE)</f>
        <v>1st</v>
      </c>
      <c r="OU14" s="151">
        <f t="shared" si="242"/>
        <v>382.33333333333297</v>
      </c>
      <c r="OV14" s="151">
        <f t="shared" si="243"/>
        <v>22.490196078431399</v>
      </c>
      <c r="OW14" s="151" t="str">
        <f>VLOOKUP(RANK(OV14,$OV$10:$OV$109),Sheet1!$A$381:$B$480,2,FALSE)</f>
        <v>63rd</v>
      </c>
      <c r="OX14" s="151"/>
      <c r="OY14" s="186"/>
      <c r="OZ14" s="186"/>
      <c r="PA14" s="186"/>
      <c r="PB14" s="186"/>
    </row>
    <row r="15" spans="1:418" s="118" customFormat="1" ht="18.75">
      <c r="A15" s="131">
        <v>6</v>
      </c>
      <c r="B15" s="132" t="s">
        <v>102</v>
      </c>
      <c r="C15" s="133" t="s">
        <v>97</v>
      </c>
      <c r="D15" s="134">
        <v>30</v>
      </c>
      <c r="E15" s="134">
        <v>52</v>
      </c>
      <c r="F15" s="137">
        <f t="shared" si="0"/>
        <v>82</v>
      </c>
      <c r="G15" s="137">
        <f t="shared" si="1"/>
        <v>82</v>
      </c>
      <c r="H15" s="135" t="str">
        <f t="shared" si="190"/>
        <v>A</v>
      </c>
      <c r="I15" s="135" t="str">
        <f>VLOOKUP(RANK(G15,$G$10:$G$109),Sheet1!$A$381:$B$480,2,FALSE)</f>
        <v>2nd</v>
      </c>
      <c r="J15" s="134">
        <v>27</v>
      </c>
      <c r="K15" s="134">
        <v>20</v>
      </c>
      <c r="L15" s="137">
        <f t="shared" si="2"/>
        <v>47</v>
      </c>
      <c r="M15" s="137">
        <f t="shared" si="3"/>
        <v>47</v>
      </c>
      <c r="N15" s="135" t="str">
        <f t="shared" si="4"/>
        <v>D</v>
      </c>
      <c r="O15" s="141" t="str">
        <f>VLOOKUP(RANK(M15,$M$10:$M$109),Sheet1!$A$381:$B$480,2,FALSE)</f>
        <v>75th</v>
      </c>
      <c r="P15" s="142">
        <v>26</v>
      </c>
      <c r="Q15" s="145">
        <v>10</v>
      </c>
      <c r="R15" s="147">
        <f t="shared" si="5"/>
        <v>36</v>
      </c>
      <c r="S15" s="137">
        <f t="shared" si="6"/>
        <v>36</v>
      </c>
      <c r="T15" s="135" t="str">
        <f t="shared" si="7"/>
        <v>E</v>
      </c>
      <c r="U15" s="135" t="str">
        <f>VLOOKUP(RANK(S15,$S$10:$S$109),Sheet1!$A$381:$B$480,2,FALSE)</f>
        <v>72nd</v>
      </c>
      <c r="V15" s="134">
        <v>28</v>
      </c>
      <c r="W15" s="134">
        <v>17</v>
      </c>
      <c r="X15" s="137">
        <f t="shared" si="191"/>
        <v>45</v>
      </c>
      <c r="Y15" s="137">
        <f t="shared" si="244"/>
        <v>45</v>
      </c>
      <c r="Z15" s="135" t="str">
        <f t="shared" si="8"/>
        <v>D</v>
      </c>
      <c r="AA15" s="135" t="str">
        <f>VLOOKUP(RANK(Y15,$Y$10:$Y$109),Sheet1!$A$381:$B$480,2,FALSE)</f>
        <v>78th</v>
      </c>
      <c r="AB15" s="134">
        <v>30</v>
      </c>
      <c r="AC15" s="134">
        <v>31</v>
      </c>
      <c r="AD15" s="137">
        <f t="shared" si="9"/>
        <v>61</v>
      </c>
      <c r="AE15" s="137">
        <f t="shared" si="10"/>
        <v>61</v>
      </c>
      <c r="AF15" s="135" t="str">
        <f t="shared" si="11"/>
        <v>B</v>
      </c>
      <c r="AG15" s="135" t="str">
        <f>VLOOKUP(RANK(AE15,$AE$10:$AE$109),Sheet1!$A$381:$B$480,2,FALSE)</f>
        <v>50th</v>
      </c>
      <c r="AH15" s="137"/>
      <c r="AI15" s="137"/>
      <c r="AJ15" s="137">
        <f t="shared" si="12"/>
        <v>0</v>
      </c>
      <c r="AK15" s="137">
        <f t="shared" si="13"/>
        <v>0</v>
      </c>
      <c r="AL15" s="135" t="str">
        <f t="shared" si="14"/>
        <v>F</v>
      </c>
      <c r="AM15" s="135" t="str">
        <f>VLOOKUP(RANK(AK15,$AK$10:$AK$109),Sheet1!$A$381:$B$480,2,FALSE)</f>
        <v>1st</v>
      </c>
      <c r="AN15" s="134"/>
      <c r="AO15" s="134"/>
      <c r="AP15" s="137">
        <f t="shared" si="15"/>
        <v>0</v>
      </c>
      <c r="AQ15" s="137">
        <f t="shared" si="16"/>
        <v>0</v>
      </c>
      <c r="AR15" s="135" t="str">
        <f t="shared" si="17"/>
        <v>F</v>
      </c>
      <c r="AS15" s="135" t="str">
        <f>VLOOKUP(RANK(AQ15,$AQ$10:$AQ$109),Sheet1!$A$381:$B$480,2,FALSE)</f>
        <v>1st</v>
      </c>
      <c r="AT15" s="142">
        <v>24</v>
      </c>
      <c r="AU15" s="145">
        <v>26</v>
      </c>
      <c r="AV15" s="137">
        <f t="shared" si="18"/>
        <v>50</v>
      </c>
      <c r="AW15" s="137">
        <f t="shared" si="19"/>
        <v>50</v>
      </c>
      <c r="AX15" s="135" t="str">
        <f t="shared" si="20"/>
        <v>C</v>
      </c>
      <c r="AY15" s="141" t="str">
        <f>VLOOKUP(RANK(AW15,$AW$10:$AW$109),Sheet1!$A$381:$B$480,2,FALSE)</f>
        <v>58th</v>
      </c>
      <c r="AZ15" s="142">
        <v>32</v>
      </c>
      <c r="BA15" s="145">
        <v>18</v>
      </c>
      <c r="BB15" s="147">
        <f t="shared" si="21"/>
        <v>50</v>
      </c>
      <c r="BC15" s="137">
        <f t="shared" si="22"/>
        <v>50</v>
      </c>
      <c r="BD15" s="135" t="str">
        <f t="shared" si="23"/>
        <v>C</v>
      </c>
      <c r="BE15" s="135" t="str">
        <f>VLOOKUP(RANK(BC15,$BC$10:$BC$109),Sheet1!$A$381:$B$480,2,FALSE)</f>
        <v>62nd</v>
      </c>
      <c r="BF15" s="142">
        <v>11</v>
      </c>
      <c r="BG15" s="145">
        <v>12</v>
      </c>
      <c r="BH15" s="137">
        <f t="shared" si="24"/>
        <v>23</v>
      </c>
      <c r="BI15" s="137">
        <f t="shared" si="25"/>
        <v>23</v>
      </c>
      <c r="BJ15" s="135" t="str">
        <f t="shared" si="26"/>
        <v>F</v>
      </c>
      <c r="BK15" s="141" t="str">
        <f>VLOOKUP(RANK(BI15,$BI$10:$BI$109),Sheet1!$A$381:$B$480,2,FALSE)</f>
        <v>89th</v>
      </c>
      <c r="BL15" s="148">
        <v>26</v>
      </c>
      <c r="BM15" s="150">
        <v>28</v>
      </c>
      <c r="BN15" s="147">
        <f t="shared" si="27"/>
        <v>54</v>
      </c>
      <c r="BO15" s="137">
        <f t="shared" si="28"/>
        <v>54</v>
      </c>
      <c r="BP15" s="135" t="str">
        <f t="shared" si="29"/>
        <v>C</v>
      </c>
      <c r="BQ15" s="141" t="str">
        <f>VLOOKUP(RANK(BO15,$BO$10:$BO$109),Sheet1!$A$381:$B$480,2,FALSE)</f>
        <v>23rd</v>
      </c>
      <c r="BR15" s="148">
        <v>28</v>
      </c>
      <c r="BS15" s="150">
        <v>8</v>
      </c>
      <c r="BT15" s="147">
        <f t="shared" si="30"/>
        <v>36</v>
      </c>
      <c r="BU15" s="137">
        <f t="shared" si="31"/>
        <v>36</v>
      </c>
      <c r="BV15" s="135" t="str">
        <f t="shared" si="32"/>
        <v>E</v>
      </c>
      <c r="BW15" s="135" t="str">
        <f>VLOOKUP(RANK(BU15,$BU$10:$BU$109),Sheet1!$A$381:$B$480,2,FALSE)</f>
        <v>76th</v>
      </c>
      <c r="BX15" s="148">
        <v>27</v>
      </c>
      <c r="BY15" s="150">
        <v>10</v>
      </c>
      <c r="BZ15" s="137">
        <f t="shared" si="33"/>
        <v>37</v>
      </c>
      <c r="CA15" s="137">
        <f t="shared" si="34"/>
        <v>37</v>
      </c>
      <c r="CB15" s="135" t="str">
        <f t="shared" si="35"/>
        <v>E</v>
      </c>
      <c r="CC15" s="135" t="str">
        <f>VLOOKUP(RANK(CA15,$CA$10:$CA$109),Sheet1!$A$381:$B$480,2,FALSE)</f>
        <v>70th</v>
      </c>
      <c r="CD15" s="148">
        <v>28</v>
      </c>
      <c r="CE15" s="150">
        <v>30</v>
      </c>
      <c r="CF15" s="137">
        <f t="shared" si="36"/>
        <v>58</v>
      </c>
      <c r="CG15" s="137">
        <f t="shared" si="37"/>
        <v>58</v>
      </c>
      <c r="CH15" s="135" t="str">
        <f t="shared" si="38"/>
        <v>C</v>
      </c>
      <c r="CI15" s="135" t="str">
        <f>VLOOKUP(RANK(CG15,$CG$10:$CG$109),Sheet1!$A$381:$B$480,2,FALSE)</f>
        <v>35th</v>
      </c>
      <c r="CJ15" s="137"/>
      <c r="CK15" s="137"/>
      <c r="CL15" s="137">
        <f t="shared" si="39"/>
        <v>0</v>
      </c>
      <c r="CM15" s="137">
        <f t="shared" si="40"/>
        <v>0</v>
      </c>
      <c r="CN15" s="135" t="str">
        <f t="shared" si="41"/>
        <v>F</v>
      </c>
      <c r="CO15" s="135" t="str">
        <f>VLOOKUP(RANK(CM15,$CM$10:$CM$109),Sheet1!$A$381:$B$480,2,FALSE)</f>
        <v>1st</v>
      </c>
      <c r="CP15" s="137"/>
      <c r="CQ15" s="137"/>
      <c r="CR15" s="137">
        <f t="shared" si="42"/>
        <v>0</v>
      </c>
      <c r="CS15" s="137">
        <f t="shared" si="43"/>
        <v>0</v>
      </c>
      <c r="CT15" s="135" t="str">
        <f t="shared" si="44"/>
        <v>F</v>
      </c>
      <c r="CU15" s="135" t="str">
        <f>VLOOKUP(RANK(CS15,$CS$10:$CS$109),Sheet1!$A$381:$B$480,2,FALSE)</f>
        <v>1st</v>
      </c>
      <c r="CV15" s="151"/>
      <c r="CW15" s="135"/>
      <c r="CX15" s="151">
        <f t="shared" si="192"/>
        <v>0</v>
      </c>
      <c r="CY15" s="151">
        <f t="shared" si="193"/>
        <v>0</v>
      </c>
      <c r="CZ15" s="135" t="str">
        <f t="shared" si="45"/>
        <v>F</v>
      </c>
      <c r="DA15" s="135" t="str">
        <f>VLOOKUP(RANK(CY15,$CY$10:$CY$109),Sheet1!$A$381:$B$480,2,FALSE)</f>
        <v>1st</v>
      </c>
      <c r="DB15" s="135"/>
      <c r="DC15" s="151">
        <f t="shared" si="194"/>
        <v>579</v>
      </c>
      <c r="DD15" s="151">
        <f t="shared" si="195"/>
        <v>34.058823529411796</v>
      </c>
      <c r="DE15" s="135" t="str">
        <f>VLOOKUP(RANK(DD15,$DD$10:$DD$109),Sheet1!$A$381:$B$480,2,FALSE)</f>
        <v>64th</v>
      </c>
      <c r="DF15" s="137"/>
      <c r="DG15" s="160">
        <f t="shared" si="46"/>
        <v>613.05882352941205</v>
      </c>
      <c r="DH15" s="119"/>
      <c r="DI15" s="162">
        <v>18</v>
      </c>
      <c r="DJ15" s="162">
        <v>52</v>
      </c>
      <c r="DK15" s="137">
        <f t="shared" si="47"/>
        <v>70</v>
      </c>
      <c r="DL15" s="137" t="str">
        <f t="shared" si="48"/>
        <v>82</v>
      </c>
      <c r="DM15" s="137">
        <f t="shared" si="49"/>
        <v>152</v>
      </c>
      <c r="DN15" s="137">
        <f t="shared" si="50"/>
        <v>76</v>
      </c>
      <c r="DO15" s="135" t="str">
        <f t="shared" si="51"/>
        <v>A</v>
      </c>
      <c r="DP15" s="135" t="str">
        <f>VLOOKUP(RANK(DN15,$DN$10:$DN$109),Sheet1!$A$381:$B$480,2,FALSE)</f>
        <v>14th</v>
      </c>
      <c r="DQ15" s="164">
        <v>25</v>
      </c>
      <c r="DR15" s="165">
        <v>19</v>
      </c>
      <c r="DS15" s="137">
        <f t="shared" si="52"/>
        <v>44</v>
      </c>
      <c r="DT15" s="137" t="str">
        <f t="shared" si="53"/>
        <v>47</v>
      </c>
      <c r="DU15" s="137">
        <f t="shared" si="54"/>
        <v>91</v>
      </c>
      <c r="DV15" s="137">
        <f t="shared" si="55"/>
        <v>45.5</v>
      </c>
      <c r="DW15" s="135" t="str">
        <f t="shared" si="56"/>
        <v>D</v>
      </c>
      <c r="DX15" s="135" t="str">
        <f>VLOOKUP(RANK(DV15,$DV$10:$DV$109),Sheet1!$A$381:$B$480,2,FALSE)</f>
        <v>68th</v>
      </c>
      <c r="DY15" s="167">
        <v>20</v>
      </c>
      <c r="DZ15" s="165">
        <v>14</v>
      </c>
      <c r="EA15" s="137">
        <f t="shared" si="57"/>
        <v>34</v>
      </c>
      <c r="EB15" s="137" t="str">
        <f t="shared" si="58"/>
        <v>36</v>
      </c>
      <c r="EC15" s="137">
        <f t="shared" si="59"/>
        <v>70</v>
      </c>
      <c r="ED15" s="137">
        <f t="shared" si="60"/>
        <v>35</v>
      </c>
      <c r="EE15" s="135" t="str">
        <f t="shared" si="61"/>
        <v>E</v>
      </c>
      <c r="EF15" s="135" t="str">
        <f>VLOOKUP(RANK(ED15,$ED$10:$ED$109),Sheet1!$A$381:$B$480,2,FALSE)</f>
        <v>86th</v>
      </c>
      <c r="EG15" s="162">
        <v>25</v>
      </c>
      <c r="EH15" s="162">
        <v>27</v>
      </c>
      <c r="EI15" s="137">
        <f t="shared" si="62"/>
        <v>52</v>
      </c>
      <c r="EJ15" s="137" t="str">
        <f t="shared" si="63"/>
        <v>45</v>
      </c>
      <c r="EK15" s="137">
        <f t="shared" si="64"/>
        <v>97</v>
      </c>
      <c r="EL15" s="137">
        <f t="shared" si="65"/>
        <v>48.5</v>
      </c>
      <c r="EM15" s="135" t="str">
        <f t="shared" si="66"/>
        <v>D</v>
      </c>
      <c r="EN15" s="135" t="str">
        <f>VLOOKUP(RANK(EL15,$EL$10:$EL$109),Sheet1!$A$381:$B$480,2,FALSE)</f>
        <v>67th</v>
      </c>
      <c r="EO15" s="162">
        <v>21</v>
      </c>
      <c r="EP15" s="162">
        <v>11</v>
      </c>
      <c r="EQ15" s="137">
        <f t="shared" si="67"/>
        <v>32</v>
      </c>
      <c r="ER15" s="137" t="str">
        <f t="shared" si="68"/>
        <v>61</v>
      </c>
      <c r="ES15" s="137">
        <f t="shared" si="69"/>
        <v>93</v>
      </c>
      <c r="ET15" s="137">
        <f t="shared" si="70"/>
        <v>46.5</v>
      </c>
      <c r="EU15" s="135" t="str">
        <f t="shared" si="71"/>
        <v>D</v>
      </c>
      <c r="EV15" s="135" t="str">
        <f>VLOOKUP(RANK(ET15,$ET$10:$ET$109),Sheet1!$A$381:$B$480,2,FALSE)</f>
        <v>67th</v>
      </c>
      <c r="EW15" s="170"/>
      <c r="EX15" s="137"/>
      <c r="EY15" s="137">
        <f t="shared" si="72"/>
        <v>0</v>
      </c>
      <c r="EZ15" s="137" t="str">
        <f t="shared" si="73"/>
        <v>0</v>
      </c>
      <c r="FA15" s="137">
        <f t="shared" si="74"/>
        <v>0</v>
      </c>
      <c r="FB15" s="137">
        <f t="shared" si="75"/>
        <v>0</v>
      </c>
      <c r="FC15" s="135" t="str">
        <f t="shared" si="76"/>
        <v>F</v>
      </c>
      <c r="FD15" s="135" t="str">
        <f>VLOOKUP(RANK(FB15,$FB$10:$FB$109),Sheet1!$A$381:$B$480,2,FALSE)</f>
        <v>1st</v>
      </c>
      <c r="FE15" s="137"/>
      <c r="FF15" s="137"/>
      <c r="FG15" s="137">
        <f t="shared" si="77"/>
        <v>0</v>
      </c>
      <c r="FH15" s="137" t="str">
        <f t="shared" si="78"/>
        <v>0</v>
      </c>
      <c r="FI15" s="137">
        <f t="shared" si="79"/>
        <v>0</v>
      </c>
      <c r="FJ15" s="137">
        <f t="shared" si="80"/>
        <v>0</v>
      </c>
      <c r="FK15" s="135" t="str">
        <f t="shared" si="81"/>
        <v>F</v>
      </c>
      <c r="FL15" s="135" t="str">
        <f>VLOOKUP(RANK(FJ15,$FJ$10:$FJ$109),Sheet1!$A$381:$B$480,2,FALSE)</f>
        <v>1st</v>
      </c>
      <c r="FM15" s="164">
        <v>25</v>
      </c>
      <c r="FN15" s="165">
        <v>25</v>
      </c>
      <c r="FO15" s="137">
        <f t="shared" si="82"/>
        <v>50</v>
      </c>
      <c r="FP15" s="137" t="str">
        <f t="shared" si="83"/>
        <v>50</v>
      </c>
      <c r="FQ15" s="137">
        <f t="shared" si="84"/>
        <v>100</v>
      </c>
      <c r="FR15" s="137">
        <f t="shared" si="85"/>
        <v>50</v>
      </c>
      <c r="FS15" s="135" t="str">
        <f t="shared" si="86"/>
        <v>C</v>
      </c>
      <c r="FT15" s="135" t="str">
        <f>VLOOKUP(RANK(FR15,$FR$10:$FR$109),Sheet1!$A$381:$B$480,2,FALSE)</f>
        <v>77th</v>
      </c>
      <c r="FU15" s="148">
        <v>27</v>
      </c>
      <c r="FV15" s="150">
        <v>15</v>
      </c>
      <c r="FW15" s="137">
        <f t="shared" si="87"/>
        <v>42</v>
      </c>
      <c r="FX15" s="137" t="str">
        <f t="shared" si="88"/>
        <v>50</v>
      </c>
      <c r="FY15" s="137">
        <f t="shared" si="196"/>
        <v>42</v>
      </c>
      <c r="FZ15" s="137">
        <f t="shared" si="89"/>
        <v>21</v>
      </c>
      <c r="GA15" s="135" t="str">
        <f t="shared" si="90"/>
        <v>F</v>
      </c>
      <c r="GB15" s="135" t="str">
        <f>VLOOKUP(RANK(FZ15,$FZ$10:$FZ$109),Sheet1!$A$381:$B$480,2,FALSE)</f>
        <v>70th</v>
      </c>
      <c r="GC15" s="164">
        <v>8</v>
      </c>
      <c r="GD15" s="165">
        <v>28</v>
      </c>
      <c r="GE15" s="137">
        <f t="shared" si="91"/>
        <v>36</v>
      </c>
      <c r="GF15" s="137" t="str">
        <f t="shared" si="92"/>
        <v>23</v>
      </c>
      <c r="GG15" s="135">
        <f t="shared" si="197"/>
        <v>59</v>
      </c>
      <c r="GH15" s="137">
        <f t="shared" si="198"/>
        <v>29.5</v>
      </c>
      <c r="GI15" s="135" t="str">
        <f t="shared" si="93"/>
        <v>F</v>
      </c>
      <c r="GJ15" s="135" t="str">
        <f>VLOOKUP(RANK(GH15,$GH$10:$GH$109),Sheet1!$A$381:$B$480,2,FALSE)</f>
        <v>82nd</v>
      </c>
      <c r="GK15" s="164">
        <v>26</v>
      </c>
      <c r="GL15" s="165">
        <v>21</v>
      </c>
      <c r="GM15" s="137">
        <f t="shared" si="94"/>
        <v>47</v>
      </c>
      <c r="GN15" s="137" t="str">
        <f t="shared" si="95"/>
        <v>54</v>
      </c>
      <c r="GO15" s="135">
        <f t="shared" si="199"/>
        <v>101</v>
      </c>
      <c r="GP15" s="137">
        <f t="shared" si="96"/>
        <v>50.5</v>
      </c>
      <c r="GQ15" s="135" t="str">
        <f t="shared" si="97"/>
        <v>C</v>
      </c>
      <c r="GR15" s="135" t="str">
        <f>VLOOKUP(RANK(GP15,$GP$10:$GP$109),Sheet1!$A$381:$B$480,2,FALSE)</f>
        <v>19th</v>
      </c>
      <c r="GS15" s="164">
        <v>19</v>
      </c>
      <c r="GT15" s="165">
        <v>15</v>
      </c>
      <c r="GU15" s="137">
        <f t="shared" si="98"/>
        <v>34</v>
      </c>
      <c r="GV15" s="137" t="str">
        <f t="shared" si="99"/>
        <v>36</v>
      </c>
      <c r="GW15" s="137">
        <f t="shared" si="100"/>
        <v>70</v>
      </c>
      <c r="GX15" s="137">
        <f t="shared" si="101"/>
        <v>35</v>
      </c>
      <c r="GY15" s="135" t="str">
        <f t="shared" si="102"/>
        <v>E</v>
      </c>
      <c r="GZ15" s="135" t="str">
        <f>VLOOKUP(RANK(GX15,$GX$10:$GX$109),Sheet1!$A$381:$B$480,2,FALSE)</f>
        <v>86th</v>
      </c>
      <c r="HA15" s="164">
        <v>31</v>
      </c>
      <c r="HB15" s="165">
        <v>13</v>
      </c>
      <c r="HC15" s="137">
        <f t="shared" si="103"/>
        <v>44</v>
      </c>
      <c r="HD15" s="137" t="str">
        <f t="shared" si="104"/>
        <v>37</v>
      </c>
      <c r="HE15" s="137">
        <f t="shared" si="105"/>
        <v>81</v>
      </c>
      <c r="HF15" s="137">
        <f t="shared" si="106"/>
        <v>40.5</v>
      </c>
      <c r="HG15" s="135" t="str">
        <f t="shared" si="107"/>
        <v>D</v>
      </c>
      <c r="HH15" s="135" t="str">
        <f>VLOOKUP(RANK(HF15,$HF$10:$HF$109),Sheet1!$A$381:$B$480,2,FALSE)</f>
        <v>57th</v>
      </c>
      <c r="HI15" s="148">
        <v>29</v>
      </c>
      <c r="HJ15" s="150">
        <v>46</v>
      </c>
      <c r="HK15" s="137">
        <f t="shared" si="108"/>
        <v>75</v>
      </c>
      <c r="HL15" s="137" t="str">
        <f t="shared" si="109"/>
        <v>58</v>
      </c>
      <c r="HM15" s="137">
        <f t="shared" si="110"/>
        <v>133</v>
      </c>
      <c r="HN15" s="137">
        <f t="shared" si="111"/>
        <v>66.5</v>
      </c>
      <c r="HO15" s="135" t="str">
        <f t="shared" si="112"/>
        <v>B</v>
      </c>
      <c r="HP15" s="135" t="str">
        <f>VLOOKUP(RANK(HN15,$HN$10:$HN$109),Sheet1!$A$381:$B$480,2,FALSE)</f>
        <v>39th</v>
      </c>
      <c r="HQ15" s="137"/>
      <c r="HR15" s="137"/>
      <c r="HS15" s="137">
        <f t="shared" si="113"/>
        <v>0</v>
      </c>
      <c r="HT15" s="137" t="str">
        <f t="shared" si="114"/>
        <v>0</v>
      </c>
      <c r="HU15" s="137">
        <f t="shared" si="115"/>
        <v>0</v>
      </c>
      <c r="HV15" s="137">
        <f t="shared" si="116"/>
        <v>0</v>
      </c>
      <c r="HW15" s="135" t="str">
        <f t="shared" si="117"/>
        <v>F</v>
      </c>
      <c r="HX15" s="135" t="str">
        <f>VLOOKUP(RANK(HV15,$HV$10:$HV$109),Sheet1!$A$381:$B$480,2,FALSE)</f>
        <v>1st</v>
      </c>
      <c r="HY15" s="174"/>
      <c r="HZ15" s="137"/>
      <c r="IA15" s="137">
        <f t="shared" si="118"/>
        <v>0</v>
      </c>
      <c r="IB15" s="137" t="str">
        <f t="shared" si="119"/>
        <v>0</v>
      </c>
      <c r="IC15" s="137">
        <f t="shared" si="120"/>
        <v>0</v>
      </c>
      <c r="ID15" s="137">
        <f t="shared" si="121"/>
        <v>0</v>
      </c>
      <c r="IE15" s="135" t="str">
        <f t="shared" si="122"/>
        <v>F</v>
      </c>
      <c r="IF15" s="135" t="str">
        <f>VLOOKUP(RANK(ID15,$ID$10:$ID$109),Sheet1!$A$381:$B$480,2,FALSE)</f>
        <v>1st</v>
      </c>
      <c r="IG15" s="135"/>
      <c r="IH15" s="135"/>
      <c r="II15" s="135">
        <f t="shared" si="200"/>
        <v>0</v>
      </c>
      <c r="IJ15" s="135" t="str">
        <f t="shared" si="201"/>
        <v>0</v>
      </c>
      <c r="IK15" s="135">
        <f t="shared" si="202"/>
        <v>0</v>
      </c>
      <c r="IL15" s="135">
        <f t="shared" si="203"/>
        <v>0</v>
      </c>
      <c r="IM15" s="135" t="str">
        <f t="shared" si="123"/>
        <v>F</v>
      </c>
      <c r="IN15" s="135" t="str">
        <f>VLOOKUP(RANK(IL15,$IL$10:$IL$109),Sheet1!$A$381:$B$480,2,FALSE)</f>
        <v>1st</v>
      </c>
      <c r="IO15" s="135">
        <f t="shared" si="204"/>
        <v>544.5</v>
      </c>
      <c r="IP15" s="177">
        <f t="shared" si="205"/>
        <v>32.029411764705898</v>
      </c>
      <c r="IQ15" s="135" t="str">
        <f>VLOOKUP(RANK(IP15,$IP$10:$IP$109),Sheet1!$A$381:$B$480,2,FALSE)</f>
        <v>68th</v>
      </c>
      <c r="IR15" s="178"/>
      <c r="IS15" s="137"/>
      <c r="IT15" s="137"/>
      <c r="IU15" s="137"/>
      <c r="IV15" s="137"/>
      <c r="IW15" s="181"/>
      <c r="IX15" s="184"/>
      <c r="IY15" s="185"/>
      <c r="IZ15" s="186">
        <f t="shared" si="206"/>
        <v>0</v>
      </c>
      <c r="JA15" s="186" t="str">
        <f t="shared" si="124"/>
        <v>82</v>
      </c>
      <c r="JB15" s="186" t="str">
        <f t="shared" si="125"/>
        <v>70</v>
      </c>
      <c r="JC15" s="186">
        <f t="shared" si="207"/>
        <v>152</v>
      </c>
      <c r="JD15" s="186">
        <f t="shared" si="208"/>
        <v>50.6666666666667</v>
      </c>
      <c r="JE15" s="135" t="str">
        <f t="shared" si="126"/>
        <v>C</v>
      </c>
      <c r="JF15" s="151" t="str">
        <f>VLOOKUP(RANK(JD15,$JD$10:$JD$109),Sheet1!$A$381:$B$480,2,FALSE)</f>
        <v>14th</v>
      </c>
      <c r="JG15" s="187"/>
      <c r="JH15" s="186"/>
      <c r="JI15" s="186">
        <f t="shared" si="127"/>
        <v>0</v>
      </c>
      <c r="JJ15" s="186" t="str">
        <f t="shared" si="128"/>
        <v>47</v>
      </c>
      <c r="JK15" s="186" t="str">
        <f t="shared" si="129"/>
        <v>44</v>
      </c>
      <c r="JL15" s="186">
        <f t="shared" si="209"/>
        <v>91</v>
      </c>
      <c r="JM15" s="186">
        <f t="shared" si="210"/>
        <v>30.3333333333333</v>
      </c>
      <c r="JN15" s="135" t="str">
        <f t="shared" si="130"/>
        <v>F</v>
      </c>
      <c r="JO15" s="151" t="str">
        <f>VLOOKUP(RANK(JM15,$JM$10:$JM$109),Sheet1!$A$381:$B$480,2,FALSE)</f>
        <v>68th</v>
      </c>
      <c r="JP15" s="189"/>
      <c r="JQ15" s="186"/>
      <c r="JR15" s="186">
        <f t="shared" si="131"/>
        <v>0</v>
      </c>
      <c r="JS15" s="186" t="str">
        <f t="shared" si="132"/>
        <v>36</v>
      </c>
      <c r="JT15" s="186" t="str">
        <f t="shared" si="133"/>
        <v>34</v>
      </c>
      <c r="JU15" s="186">
        <f t="shared" si="211"/>
        <v>70</v>
      </c>
      <c r="JV15" s="186">
        <f t="shared" si="212"/>
        <v>23.3333333333333</v>
      </c>
      <c r="JW15" s="135" t="str">
        <f t="shared" si="134"/>
        <v>F</v>
      </c>
      <c r="JX15" s="151" t="str">
        <f>VLOOKUP(RANK(JV15,$JV$10:$JV$109),Sheet1!$A$381:$B$480,2,FALSE)</f>
        <v>86th</v>
      </c>
      <c r="JY15" s="186"/>
      <c r="JZ15" s="186"/>
      <c r="KA15" s="186">
        <f t="shared" si="135"/>
        <v>0</v>
      </c>
      <c r="KB15" s="186" t="str">
        <f t="shared" si="136"/>
        <v>45</v>
      </c>
      <c r="KC15" s="186" t="str">
        <f t="shared" si="137"/>
        <v>52</v>
      </c>
      <c r="KD15" s="186">
        <f t="shared" si="213"/>
        <v>97</v>
      </c>
      <c r="KE15" s="186">
        <f t="shared" si="214"/>
        <v>32.3333333333333</v>
      </c>
      <c r="KF15" s="135" t="str">
        <f t="shared" si="138"/>
        <v>F</v>
      </c>
      <c r="KG15" s="151" t="str">
        <f>VLOOKUP(RANK(KE15,$KE$10:$KE$109),Sheet1!$A$381:$B$480,2,FALSE)</f>
        <v>67th</v>
      </c>
      <c r="KH15" s="189"/>
      <c r="KI15" s="186"/>
      <c r="KJ15" s="186">
        <f t="shared" si="139"/>
        <v>0</v>
      </c>
      <c r="KK15" s="186" t="str">
        <f t="shared" si="140"/>
        <v>61</v>
      </c>
      <c r="KL15" s="186" t="str">
        <f t="shared" si="141"/>
        <v>32</v>
      </c>
      <c r="KM15" s="186">
        <f t="shared" si="215"/>
        <v>93</v>
      </c>
      <c r="KN15" s="186">
        <f t="shared" si="216"/>
        <v>31</v>
      </c>
      <c r="KO15" s="135" t="str">
        <f t="shared" si="142"/>
        <v>F</v>
      </c>
      <c r="KP15" s="151" t="str">
        <f>VLOOKUP(RANK(KN15,$KN$10:$KN$109),Sheet1!$A$381:$B$480,2,FALSE)</f>
        <v>67th</v>
      </c>
      <c r="KQ15" s="189"/>
      <c r="KR15" s="186"/>
      <c r="KS15" s="186">
        <f t="shared" si="143"/>
        <v>0</v>
      </c>
      <c r="KT15" s="186" t="str">
        <f t="shared" si="144"/>
        <v>0</v>
      </c>
      <c r="KU15" s="186" t="str">
        <f t="shared" si="145"/>
        <v>0</v>
      </c>
      <c r="KV15" s="186">
        <f t="shared" si="217"/>
        <v>0</v>
      </c>
      <c r="KW15" s="186">
        <f t="shared" si="218"/>
        <v>0</v>
      </c>
      <c r="KX15" s="135" t="str">
        <f t="shared" si="146"/>
        <v>F</v>
      </c>
      <c r="KY15" s="151" t="str">
        <f>VLOOKUP(RANK(KW15,$KW$10:$KW$109),Sheet1!$A$381:$B$480,2,FALSE)</f>
        <v>1st</v>
      </c>
      <c r="KZ15" s="186"/>
      <c r="LA15" s="186"/>
      <c r="LB15" s="186">
        <f t="shared" si="147"/>
        <v>0</v>
      </c>
      <c r="LC15" s="186" t="str">
        <f t="shared" si="148"/>
        <v>0</v>
      </c>
      <c r="LD15" s="186" t="str">
        <f t="shared" si="149"/>
        <v>0</v>
      </c>
      <c r="LE15" s="186">
        <f t="shared" si="219"/>
        <v>0</v>
      </c>
      <c r="LF15" s="186">
        <f t="shared" si="220"/>
        <v>0</v>
      </c>
      <c r="LG15" s="135" t="str">
        <f t="shared" si="150"/>
        <v>F</v>
      </c>
      <c r="LH15" s="151" t="str">
        <f>VLOOKUP(RANK(LF15,$LF$10:$LF$109),Sheet1!$A$381:$B$480,2,FALSE)</f>
        <v>1st</v>
      </c>
      <c r="LI15" s="186"/>
      <c r="LJ15" s="186"/>
      <c r="LK15" s="186">
        <f t="shared" si="151"/>
        <v>0</v>
      </c>
      <c r="LL15" s="186" t="str">
        <f t="shared" si="152"/>
        <v>50</v>
      </c>
      <c r="LM15" s="186" t="str">
        <f t="shared" si="153"/>
        <v>50</v>
      </c>
      <c r="LN15" s="186">
        <f t="shared" si="221"/>
        <v>100</v>
      </c>
      <c r="LO15" s="186">
        <f t="shared" si="222"/>
        <v>33.3333333333333</v>
      </c>
      <c r="LP15" s="135" t="str">
        <f t="shared" si="154"/>
        <v>F</v>
      </c>
      <c r="LQ15" s="151" t="str">
        <f>VLOOKUP(RANK(LO15,$LO$10:$LO$109),Sheet1!$A$381:$B$480,2,FALSE)</f>
        <v>77th</v>
      </c>
      <c r="LR15" s="185"/>
      <c r="LS15" s="186"/>
      <c r="LT15" s="186">
        <f t="shared" si="155"/>
        <v>0</v>
      </c>
      <c r="LU15" s="186" t="str">
        <f t="shared" si="156"/>
        <v>50</v>
      </c>
      <c r="LV15" s="186" t="str">
        <f t="shared" si="157"/>
        <v>42</v>
      </c>
      <c r="LW15" s="186">
        <f t="shared" si="223"/>
        <v>92</v>
      </c>
      <c r="LX15" s="186">
        <f t="shared" si="224"/>
        <v>30.6666666666667</v>
      </c>
      <c r="LY15" s="135" t="str">
        <f t="shared" si="158"/>
        <v>F</v>
      </c>
      <c r="LZ15" s="151" t="str">
        <f>VLOOKUP(RANK(LX15,$LX$10:$LX$109),Sheet1!$A$381:$B$480,2,FALSE)</f>
        <v>74th</v>
      </c>
      <c r="MA15" s="193"/>
      <c r="MB15" s="186"/>
      <c r="MC15" s="186">
        <f t="shared" si="159"/>
        <v>0</v>
      </c>
      <c r="MD15" s="186" t="str">
        <f t="shared" si="160"/>
        <v>23</v>
      </c>
      <c r="ME15" s="186" t="str">
        <f t="shared" si="161"/>
        <v>36</v>
      </c>
      <c r="MF15" s="183">
        <f t="shared" si="225"/>
        <v>59</v>
      </c>
      <c r="MG15" s="151">
        <f t="shared" si="226"/>
        <v>19.6666666666667</v>
      </c>
      <c r="MH15" s="135" t="str">
        <f t="shared" si="162"/>
        <v>F</v>
      </c>
      <c r="MI15" s="151" t="str">
        <f>VLOOKUP(RANK(MG15,$MG$10:$MG$109),Sheet1!$A$381:$B$480,2,FALSE)</f>
        <v>82nd</v>
      </c>
      <c r="MJ15" s="186"/>
      <c r="MK15" s="186"/>
      <c r="ML15" s="186">
        <f t="shared" si="163"/>
        <v>0</v>
      </c>
      <c r="MM15" s="186" t="str">
        <f t="shared" si="164"/>
        <v>54</v>
      </c>
      <c r="MN15" s="186" t="str">
        <f t="shared" si="165"/>
        <v>47</v>
      </c>
      <c r="MO15" s="186">
        <f t="shared" si="227"/>
        <v>101</v>
      </c>
      <c r="MP15" s="186">
        <f t="shared" si="228"/>
        <v>33.6666666666667</v>
      </c>
      <c r="MQ15" s="135" t="str">
        <f t="shared" si="166"/>
        <v>F</v>
      </c>
      <c r="MR15" s="151" t="str">
        <f>VLOOKUP(RANK(MP15,$MP$10:$MP$109),Sheet1!$A$381:$B$480,2,FALSE)</f>
        <v>19th</v>
      </c>
      <c r="MS15" s="186"/>
      <c r="MT15" s="186"/>
      <c r="MU15" s="186">
        <f t="shared" si="167"/>
        <v>0</v>
      </c>
      <c r="MV15" s="186" t="str">
        <f t="shared" si="168"/>
        <v>36</v>
      </c>
      <c r="MW15" s="186" t="str">
        <f t="shared" si="169"/>
        <v>34</v>
      </c>
      <c r="MX15" s="186">
        <f t="shared" si="229"/>
        <v>70</v>
      </c>
      <c r="MY15" s="186">
        <f t="shared" si="230"/>
        <v>23.3333333333333</v>
      </c>
      <c r="MZ15" s="135" t="str">
        <f t="shared" si="170"/>
        <v>F</v>
      </c>
      <c r="NA15" s="151" t="str">
        <f>VLOOKUP(RANK(MY15,$MY$10:$MY$109),Sheet1!$A$381:$B$480,2,FALSE)</f>
        <v>86th</v>
      </c>
      <c r="NB15" s="193"/>
      <c r="NC15" s="186"/>
      <c r="ND15" s="186">
        <f t="shared" si="171"/>
        <v>0</v>
      </c>
      <c r="NE15" s="186" t="str">
        <f t="shared" si="172"/>
        <v>37</v>
      </c>
      <c r="NF15" s="186" t="str">
        <f t="shared" si="173"/>
        <v>44</v>
      </c>
      <c r="NG15" s="186">
        <f t="shared" si="231"/>
        <v>81</v>
      </c>
      <c r="NH15" s="186">
        <f t="shared" si="232"/>
        <v>27</v>
      </c>
      <c r="NI15" s="135" t="str">
        <f t="shared" si="174"/>
        <v>F</v>
      </c>
      <c r="NJ15" s="151" t="str">
        <f>VLOOKUP(RANK(NH15,$NH$10:$NH$109),Sheet1!$A$381:$B$480,2,FALSE)</f>
        <v>57th</v>
      </c>
      <c r="NK15" s="186"/>
      <c r="NL15" s="186"/>
      <c r="NM15" s="186">
        <f t="shared" si="175"/>
        <v>0</v>
      </c>
      <c r="NN15" s="186" t="str">
        <f t="shared" si="176"/>
        <v>58</v>
      </c>
      <c r="NO15" s="186" t="str">
        <f t="shared" si="177"/>
        <v>75</v>
      </c>
      <c r="NP15" s="186">
        <f t="shared" si="233"/>
        <v>133</v>
      </c>
      <c r="NQ15" s="186">
        <f t="shared" si="178"/>
        <v>44.3333333333333</v>
      </c>
      <c r="NR15" s="135" t="str">
        <f t="shared" si="179"/>
        <v>D</v>
      </c>
      <c r="NS15" s="151" t="str">
        <f>VLOOKUP(RANK(NQ15,$NQ$10:$NQ$109),Sheet1!$A$381:$B$480,2,FALSE)</f>
        <v>39th</v>
      </c>
      <c r="NT15" s="186"/>
      <c r="NU15" s="186"/>
      <c r="NV15" s="186">
        <f t="shared" si="180"/>
        <v>0</v>
      </c>
      <c r="NW15" s="186" t="str">
        <f t="shared" si="181"/>
        <v>0</v>
      </c>
      <c r="NX15" s="186" t="str">
        <f t="shared" si="182"/>
        <v>0</v>
      </c>
      <c r="NY15" s="186">
        <f t="shared" si="234"/>
        <v>0</v>
      </c>
      <c r="NZ15" s="186">
        <f t="shared" si="183"/>
        <v>0</v>
      </c>
      <c r="OA15" s="135" t="str">
        <f t="shared" si="184"/>
        <v>F</v>
      </c>
      <c r="OB15" s="151" t="str">
        <f>VLOOKUP(RANK(NZ15,$NZ$10:$NZ$109),Sheet1!$A$381:$B$480,2,FALSE)</f>
        <v>1st</v>
      </c>
      <c r="OC15" s="193"/>
      <c r="OD15" s="186"/>
      <c r="OE15" s="186">
        <f t="shared" si="185"/>
        <v>0</v>
      </c>
      <c r="OF15" s="186" t="str">
        <f t="shared" si="186"/>
        <v>0</v>
      </c>
      <c r="OG15" s="186" t="str">
        <f t="shared" si="187"/>
        <v>0</v>
      </c>
      <c r="OH15" s="186">
        <f t="shared" si="235"/>
        <v>0</v>
      </c>
      <c r="OI15" s="186">
        <f t="shared" si="236"/>
        <v>0</v>
      </c>
      <c r="OJ15" s="135" t="str">
        <f t="shared" si="188"/>
        <v>F</v>
      </c>
      <c r="OK15" s="151" t="str">
        <f>VLOOKUP(RANK(OI15,$OI$10:$OI$109),Sheet1!$A$381:$B$480,2,FALSE)</f>
        <v>1st</v>
      </c>
      <c r="OL15" s="151"/>
      <c r="OM15" s="151"/>
      <c r="ON15" s="151">
        <f t="shared" si="237"/>
        <v>0</v>
      </c>
      <c r="OO15" s="151" t="str">
        <f t="shared" si="238"/>
        <v>0</v>
      </c>
      <c r="OP15" s="151" t="str">
        <f t="shared" si="239"/>
        <v>0</v>
      </c>
      <c r="OQ15" s="151">
        <f t="shared" si="240"/>
        <v>0</v>
      </c>
      <c r="OR15" s="151">
        <f t="shared" si="241"/>
        <v>0</v>
      </c>
      <c r="OS15" s="135" t="str">
        <f t="shared" si="189"/>
        <v>F</v>
      </c>
      <c r="OT15" s="151" t="str">
        <f>VLOOKUP(RANK(OR15,$OI$10:$OI$109),Sheet1!$A$381:$B$480,2,FALSE)</f>
        <v>1st</v>
      </c>
      <c r="OU15" s="151">
        <f t="shared" si="242"/>
        <v>379.66666666666703</v>
      </c>
      <c r="OV15" s="151">
        <f t="shared" si="243"/>
        <v>22.3333333333333</v>
      </c>
      <c r="OW15" s="151" t="str">
        <f>VLOOKUP(RANK(OV15,$OV$10:$OV$109),Sheet1!$A$381:$B$480,2,FALSE)</f>
        <v>67th</v>
      </c>
      <c r="OX15" s="151"/>
      <c r="OY15" s="186"/>
      <c r="OZ15" s="186"/>
      <c r="PA15" s="186"/>
      <c r="PB15" s="186"/>
    </row>
    <row r="16" spans="1:418" s="118" customFormat="1" ht="18.75">
      <c r="A16" s="131">
        <v>7</v>
      </c>
      <c r="B16" s="132" t="s">
        <v>103</v>
      </c>
      <c r="C16" s="133" t="s">
        <v>97</v>
      </c>
      <c r="D16" s="134">
        <v>25</v>
      </c>
      <c r="E16" s="134">
        <v>37</v>
      </c>
      <c r="F16" s="137">
        <f t="shared" si="0"/>
        <v>62</v>
      </c>
      <c r="G16" s="137">
        <f t="shared" si="1"/>
        <v>62</v>
      </c>
      <c r="H16" s="135" t="str">
        <f t="shared" si="190"/>
        <v>B</v>
      </c>
      <c r="I16" s="135" t="str">
        <f>VLOOKUP(RANK(G16,$G$10:$G$109),Sheet1!$A$381:$B$480,2,FALSE)</f>
        <v>76th</v>
      </c>
      <c r="J16" s="134">
        <v>23</v>
      </c>
      <c r="K16" s="134">
        <v>17</v>
      </c>
      <c r="L16" s="137">
        <f t="shared" si="2"/>
        <v>40</v>
      </c>
      <c r="M16" s="137">
        <f t="shared" si="3"/>
        <v>40</v>
      </c>
      <c r="N16" s="135" t="str">
        <f t="shared" si="4"/>
        <v>D</v>
      </c>
      <c r="O16" s="141" t="str">
        <f>VLOOKUP(RANK(M16,$M$10:$M$109),Sheet1!$A$381:$B$480,2,FALSE)</f>
        <v>88th</v>
      </c>
      <c r="P16" s="142">
        <v>30</v>
      </c>
      <c r="Q16" s="145">
        <v>20</v>
      </c>
      <c r="R16" s="147">
        <f t="shared" si="5"/>
        <v>50</v>
      </c>
      <c r="S16" s="137">
        <f t="shared" si="6"/>
        <v>50</v>
      </c>
      <c r="T16" s="135" t="str">
        <f t="shared" si="7"/>
        <v>C</v>
      </c>
      <c r="U16" s="135" t="str">
        <f>VLOOKUP(RANK(S16,$S$10:$S$109),Sheet1!$A$381:$B$480,2,FALSE)</f>
        <v>29th</v>
      </c>
      <c r="V16" s="134">
        <v>30</v>
      </c>
      <c r="W16" s="134">
        <v>15</v>
      </c>
      <c r="X16" s="137">
        <f t="shared" si="191"/>
        <v>45</v>
      </c>
      <c r="Y16" s="137">
        <f t="shared" si="244"/>
        <v>45</v>
      </c>
      <c r="Z16" s="135" t="str">
        <f t="shared" si="8"/>
        <v>D</v>
      </c>
      <c r="AA16" s="135" t="str">
        <f>VLOOKUP(RANK(Y16,$Y$10:$Y$109),Sheet1!$A$381:$B$480,2,FALSE)</f>
        <v>78th</v>
      </c>
      <c r="AB16" s="134">
        <v>32</v>
      </c>
      <c r="AC16" s="134">
        <v>35</v>
      </c>
      <c r="AD16" s="137">
        <f t="shared" si="9"/>
        <v>67</v>
      </c>
      <c r="AE16" s="137">
        <f t="shared" si="10"/>
        <v>67</v>
      </c>
      <c r="AF16" s="135" t="str">
        <f t="shared" si="11"/>
        <v>B</v>
      </c>
      <c r="AG16" s="135" t="str">
        <f>VLOOKUP(RANK(AE16,$AE$10:$AE$109),Sheet1!$A$381:$B$480,2,FALSE)</f>
        <v>37th</v>
      </c>
      <c r="AH16" s="137"/>
      <c r="AI16" s="137"/>
      <c r="AJ16" s="137">
        <f t="shared" si="12"/>
        <v>0</v>
      </c>
      <c r="AK16" s="137">
        <f t="shared" si="13"/>
        <v>0</v>
      </c>
      <c r="AL16" s="135" t="str">
        <f t="shared" si="14"/>
        <v>F</v>
      </c>
      <c r="AM16" s="135" t="str">
        <f>VLOOKUP(RANK(AK16,$AK$10:$AK$109),Sheet1!$A$381:$B$480,2,FALSE)</f>
        <v>1st</v>
      </c>
      <c r="AN16" s="134"/>
      <c r="AO16" s="134"/>
      <c r="AP16" s="137">
        <f t="shared" si="15"/>
        <v>0</v>
      </c>
      <c r="AQ16" s="137">
        <f t="shared" si="16"/>
        <v>0</v>
      </c>
      <c r="AR16" s="135" t="str">
        <f t="shared" si="17"/>
        <v>F</v>
      </c>
      <c r="AS16" s="135" t="str">
        <f>VLOOKUP(RANK(AQ16,$AQ$10:$AQ$109),Sheet1!$A$381:$B$480,2,FALSE)</f>
        <v>1st</v>
      </c>
      <c r="AT16" s="142">
        <v>25</v>
      </c>
      <c r="AU16" s="145">
        <v>25</v>
      </c>
      <c r="AV16" s="137">
        <f t="shared" si="18"/>
        <v>50</v>
      </c>
      <c r="AW16" s="137">
        <f t="shared" si="19"/>
        <v>50</v>
      </c>
      <c r="AX16" s="135" t="str">
        <f t="shared" si="20"/>
        <v>C</v>
      </c>
      <c r="AY16" s="141" t="str">
        <f>VLOOKUP(RANK(AW16,$AW$10:$AW$109),Sheet1!$A$381:$B$480,2,FALSE)</f>
        <v>58th</v>
      </c>
      <c r="AZ16" s="142">
        <v>30</v>
      </c>
      <c r="BA16" s="145">
        <v>10</v>
      </c>
      <c r="BB16" s="147">
        <f t="shared" si="21"/>
        <v>40</v>
      </c>
      <c r="BC16" s="137">
        <f t="shared" si="22"/>
        <v>40</v>
      </c>
      <c r="BD16" s="135" t="str">
        <f t="shared" si="23"/>
        <v>D</v>
      </c>
      <c r="BE16" s="135" t="str">
        <f>VLOOKUP(RANK(BC16,$BC$10:$BC$109),Sheet1!$A$381:$B$480,2,FALSE)</f>
        <v>85th</v>
      </c>
      <c r="BF16" s="142">
        <v>10</v>
      </c>
      <c r="BG16" s="145">
        <v>12</v>
      </c>
      <c r="BH16" s="137">
        <f t="shared" si="24"/>
        <v>22</v>
      </c>
      <c r="BI16" s="137">
        <f t="shared" si="25"/>
        <v>22</v>
      </c>
      <c r="BJ16" s="135" t="str">
        <f t="shared" si="26"/>
        <v>F</v>
      </c>
      <c r="BK16" s="141" t="str">
        <f>VLOOKUP(RANK(BI16,$BI$10:$BI$109),Sheet1!$A$381:$B$480,2,FALSE)</f>
        <v>95th</v>
      </c>
      <c r="BL16" s="148">
        <v>24</v>
      </c>
      <c r="BM16" s="150">
        <v>29</v>
      </c>
      <c r="BN16" s="147">
        <f t="shared" si="27"/>
        <v>53</v>
      </c>
      <c r="BO16" s="137">
        <f t="shared" si="28"/>
        <v>53</v>
      </c>
      <c r="BP16" s="135" t="str">
        <f t="shared" si="29"/>
        <v>C</v>
      </c>
      <c r="BQ16" s="141" t="str">
        <f>VLOOKUP(RANK(BO16,$BO$10:$BO$109),Sheet1!$A$381:$B$480,2,FALSE)</f>
        <v>36th</v>
      </c>
      <c r="BR16" s="148">
        <v>29</v>
      </c>
      <c r="BS16" s="150">
        <v>24</v>
      </c>
      <c r="BT16" s="147">
        <f t="shared" si="30"/>
        <v>53</v>
      </c>
      <c r="BU16" s="137">
        <f t="shared" si="31"/>
        <v>53</v>
      </c>
      <c r="BV16" s="135" t="str">
        <f t="shared" si="32"/>
        <v>C</v>
      </c>
      <c r="BW16" s="135" t="str">
        <f>VLOOKUP(RANK(BU16,$BU$10:$BU$109),Sheet1!$A$381:$B$480,2,FALSE)</f>
        <v>36th</v>
      </c>
      <c r="BX16" s="148">
        <v>26</v>
      </c>
      <c r="BY16" s="150">
        <v>10</v>
      </c>
      <c r="BZ16" s="137">
        <f t="shared" si="33"/>
        <v>36</v>
      </c>
      <c r="CA16" s="137">
        <f t="shared" si="34"/>
        <v>36</v>
      </c>
      <c r="CB16" s="135" t="str">
        <f t="shared" si="35"/>
        <v>E</v>
      </c>
      <c r="CC16" s="135" t="str">
        <f>VLOOKUP(RANK(CA16,$CA$10:$CA$109),Sheet1!$A$381:$B$480,2,FALSE)</f>
        <v>91st</v>
      </c>
      <c r="CD16" s="148">
        <v>26</v>
      </c>
      <c r="CE16" s="150">
        <v>20</v>
      </c>
      <c r="CF16" s="137">
        <f t="shared" si="36"/>
        <v>46</v>
      </c>
      <c r="CG16" s="137">
        <f t="shared" si="37"/>
        <v>46</v>
      </c>
      <c r="CH16" s="135" t="str">
        <f t="shared" si="38"/>
        <v>D</v>
      </c>
      <c r="CI16" s="135" t="str">
        <f>VLOOKUP(RANK(CG16,$CG$10:$CG$109),Sheet1!$A$381:$B$480,2,FALSE)</f>
        <v>81st</v>
      </c>
      <c r="CJ16" s="137"/>
      <c r="CK16" s="137"/>
      <c r="CL16" s="137">
        <f t="shared" si="39"/>
        <v>0</v>
      </c>
      <c r="CM16" s="137">
        <f t="shared" si="40"/>
        <v>0</v>
      </c>
      <c r="CN16" s="135" t="str">
        <f t="shared" si="41"/>
        <v>F</v>
      </c>
      <c r="CO16" s="135" t="str">
        <f>VLOOKUP(RANK(CM16,$CM$10:$CM$109),Sheet1!$A$381:$B$480,2,FALSE)</f>
        <v>1st</v>
      </c>
      <c r="CP16" s="137"/>
      <c r="CQ16" s="137"/>
      <c r="CR16" s="137">
        <f t="shared" si="42"/>
        <v>0</v>
      </c>
      <c r="CS16" s="137">
        <f t="shared" si="43"/>
        <v>0</v>
      </c>
      <c r="CT16" s="135" t="str">
        <f t="shared" si="44"/>
        <v>F</v>
      </c>
      <c r="CU16" s="135" t="str">
        <f>VLOOKUP(RANK(CS16,$CS$10:$CS$109),Sheet1!$A$381:$B$480,2,FALSE)</f>
        <v>1st</v>
      </c>
      <c r="CV16" s="151"/>
      <c r="CW16" s="135"/>
      <c r="CX16" s="151">
        <f t="shared" si="192"/>
        <v>0</v>
      </c>
      <c r="CY16" s="151">
        <f t="shared" si="193"/>
        <v>0</v>
      </c>
      <c r="CZ16" s="135" t="str">
        <f t="shared" si="45"/>
        <v>F</v>
      </c>
      <c r="DA16" s="135" t="str">
        <f>VLOOKUP(RANK(CY16,$CY$10:$CY$109),Sheet1!$A$381:$B$480,2,FALSE)</f>
        <v>1st</v>
      </c>
      <c r="DB16" s="135"/>
      <c r="DC16" s="151">
        <f t="shared" si="194"/>
        <v>564</v>
      </c>
      <c r="DD16" s="151">
        <f t="shared" si="195"/>
        <v>33.176470588235297</v>
      </c>
      <c r="DE16" s="135" t="str">
        <f>VLOOKUP(RANK(DD16,$DD$10:$DD$109),Sheet1!$A$381:$B$480,2,FALSE)</f>
        <v>68th</v>
      </c>
      <c r="DF16" s="137"/>
      <c r="DG16" s="160">
        <f t="shared" si="46"/>
        <v>597.17647058823502</v>
      </c>
      <c r="DH16" s="119"/>
      <c r="DI16" s="162">
        <v>22</v>
      </c>
      <c r="DJ16" s="162">
        <v>28</v>
      </c>
      <c r="DK16" s="137">
        <f t="shared" si="47"/>
        <v>50</v>
      </c>
      <c r="DL16" s="137" t="str">
        <f t="shared" si="48"/>
        <v>62</v>
      </c>
      <c r="DM16" s="137">
        <f t="shared" si="49"/>
        <v>112</v>
      </c>
      <c r="DN16" s="137">
        <f t="shared" si="50"/>
        <v>56</v>
      </c>
      <c r="DO16" s="135" t="str">
        <f t="shared" si="51"/>
        <v>C</v>
      </c>
      <c r="DP16" s="135" t="str">
        <f>VLOOKUP(RANK(DN16,$DN$10:$DN$109),Sheet1!$A$381:$B$480,2,FALSE)</f>
        <v>82nd</v>
      </c>
      <c r="DQ16" s="164">
        <v>26</v>
      </c>
      <c r="DR16" s="165">
        <v>13</v>
      </c>
      <c r="DS16" s="137">
        <f t="shared" si="52"/>
        <v>39</v>
      </c>
      <c r="DT16" s="137" t="str">
        <f t="shared" si="53"/>
        <v>40</v>
      </c>
      <c r="DU16" s="137">
        <f t="shared" si="54"/>
        <v>79</v>
      </c>
      <c r="DV16" s="137">
        <f t="shared" si="55"/>
        <v>39.5</v>
      </c>
      <c r="DW16" s="135" t="str">
        <f t="shared" si="56"/>
        <v>E</v>
      </c>
      <c r="DX16" s="135" t="str">
        <f>VLOOKUP(RANK(DV16,$DV$10:$DV$109),Sheet1!$A$381:$B$480,2,FALSE)</f>
        <v>86th</v>
      </c>
      <c r="DY16" s="167">
        <v>30</v>
      </c>
      <c r="DZ16" s="165">
        <v>14</v>
      </c>
      <c r="EA16" s="137">
        <f t="shared" si="57"/>
        <v>44</v>
      </c>
      <c r="EB16" s="137" t="str">
        <f t="shared" si="58"/>
        <v>50</v>
      </c>
      <c r="EC16" s="137">
        <f t="shared" si="59"/>
        <v>94</v>
      </c>
      <c r="ED16" s="137">
        <f t="shared" si="60"/>
        <v>47</v>
      </c>
      <c r="EE16" s="135" t="str">
        <f t="shared" si="61"/>
        <v>D</v>
      </c>
      <c r="EF16" s="135" t="str">
        <f>VLOOKUP(RANK(ED16,$ED$10:$ED$109),Sheet1!$A$381:$B$480,2,FALSE)</f>
        <v>45th</v>
      </c>
      <c r="EG16" s="162">
        <v>22</v>
      </c>
      <c r="EH16" s="162">
        <v>27</v>
      </c>
      <c r="EI16" s="137">
        <f t="shared" si="62"/>
        <v>49</v>
      </c>
      <c r="EJ16" s="137" t="str">
        <f t="shared" si="63"/>
        <v>45</v>
      </c>
      <c r="EK16" s="137">
        <f t="shared" si="64"/>
        <v>94</v>
      </c>
      <c r="EL16" s="137">
        <f t="shared" si="65"/>
        <v>47</v>
      </c>
      <c r="EM16" s="135" t="str">
        <f t="shared" si="66"/>
        <v>D</v>
      </c>
      <c r="EN16" s="135" t="str">
        <f>VLOOKUP(RANK(EL16,$EL$10:$EL$109),Sheet1!$A$381:$B$480,2,FALSE)</f>
        <v>73rd</v>
      </c>
      <c r="EO16" s="162">
        <v>29</v>
      </c>
      <c r="EP16" s="162">
        <v>16</v>
      </c>
      <c r="EQ16" s="137">
        <f t="shared" si="67"/>
        <v>45</v>
      </c>
      <c r="ER16" s="137" t="str">
        <f t="shared" si="68"/>
        <v>67</v>
      </c>
      <c r="ES16" s="137">
        <f t="shared" si="69"/>
        <v>112</v>
      </c>
      <c r="ET16" s="137">
        <f t="shared" si="70"/>
        <v>56</v>
      </c>
      <c r="EU16" s="135" t="str">
        <f t="shared" si="71"/>
        <v>C</v>
      </c>
      <c r="EV16" s="135" t="str">
        <f>VLOOKUP(RANK(ET16,$ET$10:$ET$109),Sheet1!$A$381:$B$480,2,FALSE)</f>
        <v>45th</v>
      </c>
      <c r="EW16" s="137"/>
      <c r="EX16" s="137"/>
      <c r="EY16" s="137">
        <f t="shared" si="72"/>
        <v>0</v>
      </c>
      <c r="EZ16" s="137" t="str">
        <f t="shared" si="73"/>
        <v>0</v>
      </c>
      <c r="FA16" s="137">
        <f t="shared" si="74"/>
        <v>0</v>
      </c>
      <c r="FB16" s="137">
        <f t="shared" si="75"/>
        <v>0</v>
      </c>
      <c r="FC16" s="135" t="str">
        <f t="shared" si="76"/>
        <v>F</v>
      </c>
      <c r="FD16" s="135" t="str">
        <f>VLOOKUP(RANK(FB16,$FB$10:$FB$109),Sheet1!$A$381:$B$480,2,FALSE)</f>
        <v>1st</v>
      </c>
      <c r="FE16" s="137"/>
      <c r="FF16" s="137"/>
      <c r="FG16" s="137">
        <f t="shared" si="77"/>
        <v>0</v>
      </c>
      <c r="FH16" s="137" t="str">
        <f t="shared" si="78"/>
        <v>0</v>
      </c>
      <c r="FI16" s="137">
        <f t="shared" si="79"/>
        <v>0</v>
      </c>
      <c r="FJ16" s="137">
        <f t="shared" si="80"/>
        <v>0</v>
      </c>
      <c r="FK16" s="135" t="str">
        <f t="shared" si="81"/>
        <v>F</v>
      </c>
      <c r="FL16" s="135" t="str">
        <f>VLOOKUP(RANK(FJ16,$FJ$10:$FJ$109),Sheet1!$A$381:$B$480,2,FALSE)</f>
        <v>1st</v>
      </c>
      <c r="FM16" s="164">
        <v>26</v>
      </c>
      <c r="FN16" s="165">
        <v>25</v>
      </c>
      <c r="FO16" s="137">
        <f t="shared" si="82"/>
        <v>51</v>
      </c>
      <c r="FP16" s="137" t="str">
        <f t="shared" si="83"/>
        <v>50</v>
      </c>
      <c r="FQ16" s="137">
        <f t="shared" si="84"/>
        <v>101</v>
      </c>
      <c r="FR16" s="137">
        <f t="shared" si="85"/>
        <v>50.5</v>
      </c>
      <c r="FS16" s="135" t="str">
        <f t="shared" si="86"/>
        <v>C</v>
      </c>
      <c r="FT16" s="135" t="str">
        <f>VLOOKUP(RANK(FR16,$FR$10:$FR$109),Sheet1!$A$381:$B$480,2,FALSE)</f>
        <v>65th</v>
      </c>
      <c r="FU16" s="148">
        <v>36</v>
      </c>
      <c r="FV16" s="150">
        <v>17</v>
      </c>
      <c r="FW16" s="137">
        <f t="shared" si="87"/>
        <v>53</v>
      </c>
      <c r="FX16" s="137" t="str">
        <f t="shared" si="88"/>
        <v>40</v>
      </c>
      <c r="FY16" s="137">
        <f t="shared" si="196"/>
        <v>53</v>
      </c>
      <c r="FZ16" s="137">
        <f t="shared" si="89"/>
        <v>26.5</v>
      </c>
      <c r="GA16" s="135" t="str">
        <f t="shared" si="90"/>
        <v>F</v>
      </c>
      <c r="GB16" s="135" t="str">
        <f>VLOOKUP(RANK(FZ16,$FZ$10:$FZ$109),Sheet1!$A$381:$B$480,2,FALSE)</f>
        <v>43rd</v>
      </c>
      <c r="GC16" s="164">
        <v>16</v>
      </c>
      <c r="GD16" s="165">
        <v>25</v>
      </c>
      <c r="GE16" s="137">
        <f t="shared" si="91"/>
        <v>41</v>
      </c>
      <c r="GF16" s="137" t="str">
        <f t="shared" si="92"/>
        <v>22</v>
      </c>
      <c r="GG16" s="135">
        <f t="shared" si="197"/>
        <v>63</v>
      </c>
      <c r="GH16" s="137">
        <f t="shared" si="198"/>
        <v>31.5</v>
      </c>
      <c r="GI16" s="135" t="str">
        <f t="shared" si="93"/>
        <v>F</v>
      </c>
      <c r="GJ16" s="135" t="str">
        <f>VLOOKUP(RANK(GH16,$GH$10:$GH$109),Sheet1!$A$381:$B$480,2,FALSE)</f>
        <v>75th</v>
      </c>
      <c r="GK16" s="164">
        <v>25</v>
      </c>
      <c r="GL16" s="165">
        <v>18</v>
      </c>
      <c r="GM16" s="137">
        <f t="shared" si="94"/>
        <v>43</v>
      </c>
      <c r="GN16" s="137" t="str">
        <f t="shared" si="95"/>
        <v>53</v>
      </c>
      <c r="GO16" s="135">
        <f t="shared" si="199"/>
        <v>96</v>
      </c>
      <c r="GP16" s="137">
        <f t="shared" si="96"/>
        <v>48</v>
      </c>
      <c r="GQ16" s="135" t="str">
        <f t="shared" si="97"/>
        <v>D</v>
      </c>
      <c r="GR16" s="135" t="str">
        <f>VLOOKUP(RANK(GP16,$GP$10:$GP$109),Sheet1!$A$381:$B$480,2,FALSE)</f>
        <v>45th</v>
      </c>
      <c r="GS16" s="164">
        <v>28</v>
      </c>
      <c r="GT16" s="165">
        <v>20</v>
      </c>
      <c r="GU16" s="137">
        <f t="shared" si="98"/>
        <v>48</v>
      </c>
      <c r="GV16" s="137" t="str">
        <f t="shared" si="99"/>
        <v>53</v>
      </c>
      <c r="GW16" s="137">
        <f t="shared" si="100"/>
        <v>101</v>
      </c>
      <c r="GX16" s="137">
        <f t="shared" si="101"/>
        <v>50.5</v>
      </c>
      <c r="GY16" s="135" t="str">
        <f t="shared" si="102"/>
        <v>C</v>
      </c>
      <c r="GZ16" s="135" t="str">
        <f>VLOOKUP(RANK(GX16,$GX$10:$GX$109),Sheet1!$A$381:$B$480,2,FALSE)</f>
        <v>48th</v>
      </c>
      <c r="HA16" s="164">
        <v>30</v>
      </c>
      <c r="HB16" s="165">
        <v>10</v>
      </c>
      <c r="HC16" s="137">
        <f t="shared" si="103"/>
        <v>40</v>
      </c>
      <c r="HD16" s="137" t="str">
        <f t="shared" si="104"/>
        <v>36</v>
      </c>
      <c r="HE16" s="137">
        <f t="shared" si="105"/>
        <v>76</v>
      </c>
      <c r="HF16" s="137">
        <f t="shared" si="106"/>
        <v>38</v>
      </c>
      <c r="HG16" s="135" t="str">
        <f t="shared" si="107"/>
        <v>E</v>
      </c>
      <c r="HH16" s="135" t="str">
        <f>VLOOKUP(RANK(HF16,$HF$10:$HF$109),Sheet1!$A$381:$B$480,2,FALSE)</f>
        <v>80th</v>
      </c>
      <c r="HI16" s="148">
        <v>27</v>
      </c>
      <c r="HJ16" s="150">
        <v>39</v>
      </c>
      <c r="HK16" s="137">
        <f t="shared" si="108"/>
        <v>66</v>
      </c>
      <c r="HL16" s="137" t="str">
        <f t="shared" si="109"/>
        <v>46</v>
      </c>
      <c r="HM16" s="137">
        <f t="shared" si="110"/>
        <v>112</v>
      </c>
      <c r="HN16" s="137">
        <f t="shared" si="111"/>
        <v>56</v>
      </c>
      <c r="HO16" s="135" t="str">
        <f t="shared" si="112"/>
        <v>C</v>
      </c>
      <c r="HP16" s="135" t="str">
        <f>VLOOKUP(RANK(HN16,$HN$10:$HN$109),Sheet1!$A$381:$B$480,2,FALSE)</f>
        <v>82nd</v>
      </c>
      <c r="HQ16" s="137"/>
      <c r="HR16" s="137"/>
      <c r="HS16" s="137">
        <f t="shared" si="113"/>
        <v>0</v>
      </c>
      <c r="HT16" s="137" t="str">
        <f t="shared" si="114"/>
        <v>0</v>
      </c>
      <c r="HU16" s="137">
        <f t="shared" si="115"/>
        <v>0</v>
      </c>
      <c r="HV16" s="137">
        <f t="shared" si="116"/>
        <v>0</v>
      </c>
      <c r="HW16" s="135" t="str">
        <f t="shared" si="117"/>
        <v>F</v>
      </c>
      <c r="HX16" s="135" t="str">
        <f>VLOOKUP(RANK(HV16,$HV$10:$HV$109),Sheet1!$A$381:$B$480,2,FALSE)</f>
        <v>1st</v>
      </c>
      <c r="HY16" s="137"/>
      <c r="HZ16" s="137"/>
      <c r="IA16" s="137">
        <f t="shared" si="118"/>
        <v>0</v>
      </c>
      <c r="IB16" s="137" t="str">
        <f t="shared" si="119"/>
        <v>0</v>
      </c>
      <c r="IC16" s="137">
        <f t="shared" si="120"/>
        <v>0</v>
      </c>
      <c r="ID16" s="137">
        <f t="shared" si="121"/>
        <v>0</v>
      </c>
      <c r="IE16" s="135" t="str">
        <f t="shared" si="122"/>
        <v>F</v>
      </c>
      <c r="IF16" s="135" t="str">
        <f>VLOOKUP(RANK(ID16,$ID$10:$ID$109),Sheet1!$A$381:$B$480,2,FALSE)</f>
        <v>1st</v>
      </c>
      <c r="IG16" s="135"/>
      <c r="IH16" s="135"/>
      <c r="II16" s="135">
        <f t="shared" si="200"/>
        <v>0</v>
      </c>
      <c r="IJ16" s="135" t="str">
        <f t="shared" si="201"/>
        <v>0</v>
      </c>
      <c r="IK16" s="135">
        <f t="shared" si="202"/>
        <v>0</v>
      </c>
      <c r="IL16" s="135">
        <f t="shared" si="203"/>
        <v>0</v>
      </c>
      <c r="IM16" s="135" t="str">
        <f t="shared" si="123"/>
        <v>F</v>
      </c>
      <c r="IN16" s="135" t="str">
        <f>VLOOKUP(RANK(IL16,$IL$10:$IL$109),Sheet1!$A$381:$B$480,2,FALSE)</f>
        <v>1st</v>
      </c>
      <c r="IO16" s="135">
        <f t="shared" si="204"/>
        <v>546.5</v>
      </c>
      <c r="IP16" s="177">
        <f t="shared" si="205"/>
        <v>32.147058823529399</v>
      </c>
      <c r="IQ16" s="135" t="str">
        <f>VLOOKUP(RANK(IP16,$IP$10:$IP$109),Sheet1!$A$381:$B$480,2,FALSE)</f>
        <v>66th</v>
      </c>
      <c r="IR16" s="178"/>
      <c r="IS16" s="137"/>
      <c r="IT16" s="137"/>
      <c r="IU16" s="137"/>
      <c r="IV16" s="137"/>
      <c r="IW16" s="181"/>
      <c r="IX16" s="184"/>
      <c r="IY16" s="186"/>
      <c r="IZ16" s="186">
        <f t="shared" si="206"/>
        <v>0</v>
      </c>
      <c r="JA16" s="186" t="str">
        <f t="shared" si="124"/>
        <v>62</v>
      </c>
      <c r="JB16" s="186" t="str">
        <f t="shared" si="125"/>
        <v>50</v>
      </c>
      <c r="JC16" s="186">
        <f t="shared" si="207"/>
        <v>112</v>
      </c>
      <c r="JD16" s="186">
        <f t="shared" si="208"/>
        <v>37.3333333333333</v>
      </c>
      <c r="JE16" s="135" t="str">
        <f t="shared" si="126"/>
        <v>E</v>
      </c>
      <c r="JF16" s="151" t="str">
        <f>VLOOKUP(RANK(JD16,$JD$10:$JD$109),Sheet1!$A$381:$B$480,2,FALSE)</f>
        <v>82nd</v>
      </c>
      <c r="JG16" s="186"/>
      <c r="JH16" s="186"/>
      <c r="JI16" s="186">
        <f t="shared" si="127"/>
        <v>0</v>
      </c>
      <c r="JJ16" s="186" t="str">
        <f t="shared" si="128"/>
        <v>40</v>
      </c>
      <c r="JK16" s="186" t="str">
        <f t="shared" si="129"/>
        <v>39</v>
      </c>
      <c r="JL16" s="186">
        <f t="shared" si="209"/>
        <v>79</v>
      </c>
      <c r="JM16" s="186">
        <f t="shared" si="210"/>
        <v>26.3333333333333</v>
      </c>
      <c r="JN16" s="135" t="str">
        <f t="shared" si="130"/>
        <v>F</v>
      </c>
      <c r="JO16" s="151" t="str">
        <f>VLOOKUP(RANK(JM16,$JM$10:$JM$109),Sheet1!$A$381:$B$480,2,FALSE)</f>
        <v>86th</v>
      </c>
      <c r="JP16" s="186"/>
      <c r="JQ16" s="186"/>
      <c r="JR16" s="186">
        <f t="shared" si="131"/>
        <v>0</v>
      </c>
      <c r="JS16" s="186" t="str">
        <f t="shared" si="132"/>
        <v>50</v>
      </c>
      <c r="JT16" s="186" t="str">
        <f t="shared" si="133"/>
        <v>44</v>
      </c>
      <c r="JU16" s="186">
        <f t="shared" si="211"/>
        <v>94</v>
      </c>
      <c r="JV16" s="186">
        <f t="shared" si="212"/>
        <v>31.3333333333333</v>
      </c>
      <c r="JW16" s="135" t="str">
        <f t="shared" si="134"/>
        <v>F</v>
      </c>
      <c r="JX16" s="151" t="str">
        <f>VLOOKUP(RANK(JV16,$JV$10:$JV$109),Sheet1!$A$381:$B$480,2,FALSE)</f>
        <v>45th</v>
      </c>
      <c r="JY16" s="186"/>
      <c r="JZ16" s="186"/>
      <c r="KA16" s="186">
        <f t="shared" si="135"/>
        <v>0</v>
      </c>
      <c r="KB16" s="186" t="str">
        <f t="shared" si="136"/>
        <v>45</v>
      </c>
      <c r="KC16" s="186" t="str">
        <f t="shared" si="137"/>
        <v>49</v>
      </c>
      <c r="KD16" s="186">
        <f t="shared" si="213"/>
        <v>94</v>
      </c>
      <c r="KE16" s="186">
        <f t="shared" si="214"/>
        <v>31.3333333333333</v>
      </c>
      <c r="KF16" s="135" t="str">
        <f t="shared" si="138"/>
        <v>F</v>
      </c>
      <c r="KG16" s="151" t="str">
        <f>VLOOKUP(RANK(KE16,$KE$10:$KE$109),Sheet1!$A$381:$B$480,2,FALSE)</f>
        <v>73rd</v>
      </c>
      <c r="KH16" s="186"/>
      <c r="KI16" s="186"/>
      <c r="KJ16" s="186">
        <f t="shared" si="139"/>
        <v>0</v>
      </c>
      <c r="KK16" s="186" t="str">
        <f t="shared" si="140"/>
        <v>67</v>
      </c>
      <c r="KL16" s="186" t="str">
        <f t="shared" si="141"/>
        <v>45</v>
      </c>
      <c r="KM16" s="186">
        <f t="shared" si="215"/>
        <v>112</v>
      </c>
      <c r="KN16" s="186">
        <f t="shared" si="216"/>
        <v>37.3333333333333</v>
      </c>
      <c r="KO16" s="135" t="str">
        <f t="shared" si="142"/>
        <v>E</v>
      </c>
      <c r="KP16" s="151" t="str">
        <f>VLOOKUP(RANK(KN16,$KN$10:$KN$109),Sheet1!$A$381:$B$480,2,FALSE)</f>
        <v>45th</v>
      </c>
      <c r="KQ16" s="186"/>
      <c r="KR16" s="186"/>
      <c r="KS16" s="186">
        <f t="shared" si="143"/>
        <v>0</v>
      </c>
      <c r="KT16" s="186" t="str">
        <f t="shared" si="144"/>
        <v>0</v>
      </c>
      <c r="KU16" s="186" t="str">
        <f t="shared" si="145"/>
        <v>0</v>
      </c>
      <c r="KV16" s="186">
        <f t="shared" si="217"/>
        <v>0</v>
      </c>
      <c r="KW16" s="186">
        <f t="shared" si="218"/>
        <v>0</v>
      </c>
      <c r="KX16" s="135" t="str">
        <f t="shared" si="146"/>
        <v>F</v>
      </c>
      <c r="KY16" s="151" t="str">
        <f>VLOOKUP(RANK(KW16,$KW$10:$KW$109),Sheet1!$A$381:$B$480,2,FALSE)</f>
        <v>1st</v>
      </c>
      <c r="KZ16" s="186"/>
      <c r="LA16" s="186"/>
      <c r="LB16" s="186">
        <f t="shared" si="147"/>
        <v>0</v>
      </c>
      <c r="LC16" s="186" t="str">
        <f t="shared" si="148"/>
        <v>0</v>
      </c>
      <c r="LD16" s="186" t="str">
        <f t="shared" si="149"/>
        <v>0</v>
      </c>
      <c r="LE16" s="186">
        <f t="shared" si="219"/>
        <v>0</v>
      </c>
      <c r="LF16" s="186">
        <f t="shared" si="220"/>
        <v>0</v>
      </c>
      <c r="LG16" s="135" t="str">
        <f t="shared" si="150"/>
        <v>F</v>
      </c>
      <c r="LH16" s="151" t="str">
        <f>VLOOKUP(RANK(LF16,$LF$10:$LF$109),Sheet1!$A$381:$B$480,2,FALSE)</f>
        <v>1st</v>
      </c>
      <c r="LI16" s="186"/>
      <c r="LJ16" s="186"/>
      <c r="LK16" s="186">
        <f t="shared" si="151"/>
        <v>0</v>
      </c>
      <c r="LL16" s="186" t="str">
        <f t="shared" si="152"/>
        <v>50</v>
      </c>
      <c r="LM16" s="186" t="str">
        <f t="shared" si="153"/>
        <v>51</v>
      </c>
      <c r="LN16" s="186">
        <f t="shared" si="221"/>
        <v>101</v>
      </c>
      <c r="LO16" s="186">
        <f t="shared" si="222"/>
        <v>33.6666666666667</v>
      </c>
      <c r="LP16" s="135" t="str">
        <f t="shared" si="154"/>
        <v>F</v>
      </c>
      <c r="LQ16" s="151" t="str">
        <f>VLOOKUP(RANK(LO16,$LO$10:$LO$109),Sheet1!$A$381:$B$480,2,FALSE)</f>
        <v>65th</v>
      </c>
      <c r="LR16" s="186"/>
      <c r="LS16" s="186"/>
      <c r="LT16" s="186">
        <f t="shared" si="155"/>
        <v>0</v>
      </c>
      <c r="LU16" s="186" t="str">
        <f t="shared" si="156"/>
        <v>40</v>
      </c>
      <c r="LV16" s="186" t="str">
        <f t="shared" si="157"/>
        <v>53</v>
      </c>
      <c r="LW16" s="186">
        <f t="shared" si="223"/>
        <v>93</v>
      </c>
      <c r="LX16" s="186">
        <f t="shared" si="224"/>
        <v>31</v>
      </c>
      <c r="LY16" s="135" t="str">
        <f t="shared" si="158"/>
        <v>F</v>
      </c>
      <c r="LZ16" s="151" t="str">
        <f>VLOOKUP(RANK(LX16,$LX$10:$LX$109),Sheet1!$A$381:$B$480,2,FALSE)</f>
        <v>73rd</v>
      </c>
      <c r="MA16" s="186"/>
      <c r="MB16" s="186"/>
      <c r="MC16" s="186">
        <f t="shared" si="159"/>
        <v>0</v>
      </c>
      <c r="MD16" s="186" t="str">
        <f t="shared" si="160"/>
        <v>22</v>
      </c>
      <c r="ME16" s="186" t="str">
        <f t="shared" si="161"/>
        <v>41</v>
      </c>
      <c r="MF16" s="183">
        <f t="shared" si="225"/>
        <v>63</v>
      </c>
      <c r="MG16" s="151">
        <f t="shared" si="226"/>
        <v>21</v>
      </c>
      <c r="MH16" s="135" t="str">
        <f t="shared" si="162"/>
        <v>F</v>
      </c>
      <c r="MI16" s="151" t="str">
        <f>VLOOKUP(RANK(MG16,$MG$10:$MG$109),Sheet1!$A$381:$B$480,2,FALSE)</f>
        <v>75th</v>
      </c>
      <c r="MJ16" s="186"/>
      <c r="MK16" s="186"/>
      <c r="ML16" s="186">
        <f t="shared" si="163"/>
        <v>0</v>
      </c>
      <c r="MM16" s="186" t="str">
        <f t="shared" si="164"/>
        <v>53</v>
      </c>
      <c r="MN16" s="186" t="str">
        <f t="shared" si="165"/>
        <v>43</v>
      </c>
      <c r="MO16" s="186">
        <f t="shared" si="227"/>
        <v>96</v>
      </c>
      <c r="MP16" s="186">
        <f t="shared" si="228"/>
        <v>32</v>
      </c>
      <c r="MQ16" s="135" t="str">
        <f t="shared" si="166"/>
        <v>F</v>
      </c>
      <c r="MR16" s="151" t="str">
        <f>VLOOKUP(RANK(MP16,$MP$10:$MP$109),Sheet1!$A$381:$B$480,2,FALSE)</f>
        <v>45th</v>
      </c>
      <c r="MS16" s="186"/>
      <c r="MT16" s="186"/>
      <c r="MU16" s="186">
        <f t="shared" si="167"/>
        <v>0</v>
      </c>
      <c r="MV16" s="186" t="str">
        <f t="shared" si="168"/>
        <v>53</v>
      </c>
      <c r="MW16" s="186" t="str">
        <f t="shared" si="169"/>
        <v>48</v>
      </c>
      <c r="MX16" s="186">
        <f t="shared" si="229"/>
        <v>101</v>
      </c>
      <c r="MY16" s="186">
        <f t="shared" si="230"/>
        <v>33.6666666666667</v>
      </c>
      <c r="MZ16" s="135" t="str">
        <f t="shared" si="170"/>
        <v>F</v>
      </c>
      <c r="NA16" s="151" t="str">
        <f>VLOOKUP(RANK(MY16,$MY$10:$MY$109),Sheet1!$A$381:$B$480,2,FALSE)</f>
        <v>48th</v>
      </c>
      <c r="NB16" s="186"/>
      <c r="NC16" s="186"/>
      <c r="ND16" s="186">
        <f t="shared" si="171"/>
        <v>0</v>
      </c>
      <c r="NE16" s="186" t="str">
        <f t="shared" si="172"/>
        <v>36</v>
      </c>
      <c r="NF16" s="186" t="str">
        <f t="shared" si="173"/>
        <v>40</v>
      </c>
      <c r="NG16" s="186">
        <f t="shared" si="231"/>
        <v>76</v>
      </c>
      <c r="NH16" s="186">
        <f t="shared" si="232"/>
        <v>25.3333333333333</v>
      </c>
      <c r="NI16" s="135" t="str">
        <f t="shared" si="174"/>
        <v>F</v>
      </c>
      <c r="NJ16" s="151" t="str">
        <f>VLOOKUP(RANK(NH16,$NH$10:$NH$109),Sheet1!$A$381:$B$480,2,FALSE)</f>
        <v>80th</v>
      </c>
      <c r="NK16" s="186"/>
      <c r="NL16" s="186"/>
      <c r="NM16" s="186">
        <f t="shared" si="175"/>
        <v>0</v>
      </c>
      <c r="NN16" s="186" t="str">
        <f t="shared" si="176"/>
        <v>46</v>
      </c>
      <c r="NO16" s="186" t="str">
        <f t="shared" si="177"/>
        <v>66</v>
      </c>
      <c r="NP16" s="186">
        <f t="shared" si="233"/>
        <v>112</v>
      </c>
      <c r="NQ16" s="186">
        <f t="shared" si="178"/>
        <v>37.3333333333333</v>
      </c>
      <c r="NR16" s="135" t="str">
        <f t="shared" si="179"/>
        <v>E</v>
      </c>
      <c r="NS16" s="151" t="str">
        <f>VLOOKUP(RANK(NQ16,$NQ$10:$NQ$109),Sheet1!$A$381:$B$480,2,FALSE)</f>
        <v>82nd</v>
      </c>
      <c r="NT16" s="186"/>
      <c r="NU16" s="186"/>
      <c r="NV16" s="186">
        <f t="shared" si="180"/>
        <v>0</v>
      </c>
      <c r="NW16" s="186" t="str">
        <f t="shared" si="181"/>
        <v>0</v>
      </c>
      <c r="NX16" s="186" t="str">
        <f t="shared" si="182"/>
        <v>0</v>
      </c>
      <c r="NY16" s="186">
        <f t="shared" si="234"/>
        <v>0</v>
      </c>
      <c r="NZ16" s="186">
        <f t="shared" si="183"/>
        <v>0</v>
      </c>
      <c r="OA16" s="135" t="str">
        <f t="shared" si="184"/>
        <v>F</v>
      </c>
      <c r="OB16" s="151" t="str">
        <f>VLOOKUP(RANK(NZ16,$NZ$10:$NZ$109),Sheet1!$A$381:$B$480,2,FALSE)</f>
        <v>1st</v>
      </c>
      <c r="OC16" s="186"/>
      <c r="OD16" s="186"/>
      <c r="OE16" s="186">
        <f t="shared" si="185"/>
        <v>0</v>
      </c>
      <c r="OF16" s="186" t="str">
        <f t="shared" si="186"/>
        <v>0</v>
      </c>
      <c r="OG16" s="186" t="str">
        <f t="shared" si="187"/>
        <v>0</v>
      </c>
      <c r="OH16" s="186">
        <f t="shared" si="235"/>
        <v>0</v>
      </c>
      <c r="OI16" s="186">
        <f t="shared" si="236"/>
        <v>0</v>
      </c>
      <c r="OJ16" s="135" t="str">
        <f t="shared" si="188"/>
        <v>F</v>
      </c>
      <c r="OK16" s="151" t="str">
        <f>VLOOKUP(RANK(OI16,$OI$10:$OI$109),Sheet1!$A$381:$B$480,2,FALSE)</f>
        <v>1st</v>
      </c>
      <c r="OL16" s="151"/>
      <c r="OM16" s="151"/>
      <c r="ON16" s="151">
        <f t="shared" si="237"/>
        <v>0</v>
      </c>
      <c r="OO16" s="151" t="str">
        <f t="shared" si="238"/>
        <v>0</v>
      </c>
      <c r="OP16" s="151" t="str">
        <f t="shared" si="239"/>
        <v>0</v>
      </c>
      <c r="OQ16" s="151">
        <f t="shared" si="240"/>
        <v>0</v>
      </c>
      <c r="OR16" s="151">
        <f t="shared" si="241"/>
        <v>0</v>
      </c>
      <c r="OS16" s="135" t="str">
        <f t="shared" si="189"/>
        <v>F</v>
      </c>
      <c r="OT16" s="151" t="str">
        <f>VLOOKUP(RANK(OR16,$OI$10:$OI$109),Sheet1!$A$381:$B$480,2,FALSE)</f>
        <v>1st</v>
      </c>
      <c r="OU16" s="151">
        <f t="shared" si="242"/>
        <v>377.66666666666703</v>
      </c>
      <c r="OV16" s="151">
        <f t="shared" si="243"/>
        <v>22.2156862745098</v>
      </c>
      <c r="OW16" s="151" t="str">
        <f>VLOOKUP(RANK(OV16,$OV$10:$OV$109),Sheet1!$A$381:$B$480,2,FALSE)</f>
        <v>69th</v>
      </c>
      <c r="OX16" s="151"/>
      <c r="OY16" s="186"/>
      <c r="OZ16" s="186"/>
      <c r="PA16" s="186"/>
      <c r="PB16" s="186"/>
    </row>
    <row r="17" spans="1:418" s="118" customFormat="1" ht="18.75">
      <c r="A17" s="131">
        <v>8</v>
      </c>
      <c r="B17" s="132" t="s">
        <v>104</v>
      </c>
      <c r="C17" s="133" t="s">
        <v>97</v>
      </c>
      <c r="D17" s="134">
        <v>0</v>
      </c>
      <c r="E17" s="134">
        <v>0</v>
      </c>
      <c r="F17" s="137">
        <f t="shared" si="0"/>
        <v>0</v>
      </c>
      <c r="G17" s="137">
        <f t="shared" si="1"/>
        <v>0</v>
      </c>
      <c r="H17" s="135" t="str">
        <f t="shared" si="190"/>
        <v>F</v>
      </c>
      <c r="I17" s="135" t="str">
        <f>VLOOKUP(RANK(G17,$G$10:$G$109),Sheet1!$A$381:$B$480,2,FALSE)</f>
        <v>97th</v>
      </c>
      <c r="J17" s="134">
        <v>25</v>
      </c>
      <c r="K17" s="134">
        <v>28</v>
      </c>
      <c r="L17" s="137">
        <f t="shared" si="2"/>
        <v>53</v>
      </c>
      <c r="M17" s="137">
        <f t="shared" si="3"/>
        <v>53</v>
      </c>
      <c r="N17" s="135" t="str">
        <f t="shared" si="4"/>
        <v>C</v>
      </c>
      <c r="O17" s="141" t="str">
        <f>VLOOKUP(RANK(M17,$M$10:$M$109),Sheet1!$A$381:$B$480,2,FALSE)</f>
        <v>45th</v>
      </c>
      <c r="P17" s="142">
        <v>25</v>
      </c>
      <c r="Q17" s="145">
        <v>15</v>
      </c>
      <c r="R17" s="147">
        <f t="shared" si="5"/>
        <v>40</v>
      </c>
      <c r="S17" s="137">
        <f t="shared" si="6"/>
        <v>40</v>
      </c>
      <c r="T17" s="135" t="str">
        <f t="shared" si="7"/>
        <v>D</v>
      </c>
      <c r="U17" s="135" t="str">
        <f>VLOOKUP(RANK(S17,$S$10:$S$109),Sheet1!$A$381:$B$480,2,FALSE)</f>
        <v>57th</v>
      </c>
      <c r="V17" s="134">
        <v>28</v>
      </c>
      <c r="W17" s="134">
        <v>33</v>
      </c>
      <c r="X17" s="137">
        <f t="shared" si="191"/>
        <v>61</v>
      </c>
      <c r="Y17" s="137">
        <f t="shared" si="244"/>
        <v>61</v>
      </c>
      <c r="Z17" s="135" t="str">
        <f t="shared" si="8"/>
        <v>B</v>
      </c>
      <c r="AA17" s="135" t="str">
        <f>VLOOKUP(RANK(Y17,$Y$10:$Y$109),Sheet1!$A$381:$B$480,2,FALSE)</f>
        <v>32nd</v>
      </c>
      <c r="AB17" s="134">
        <v>30</v>
      </c>
      <c r="AC17" s="134">
        <v>29</v>
      </c>
      <c r="AD17" s="137">
        <f t="shared" si="9"/>
        <v>59</v>
      </c>
      <c r="AE17" s="137">
        <f t="shared" si="10"/>
        <v>59</v>
      </c>
      <c r="AF17" s="135" t="str">
        <f t="shared" si="11"/>
        <v>C</v>
      </c>
      <c r="AG17" s="135" t="str">
        <f>VLOOKUP(RANK(AE17,$AE$10:$AE$109),Sheet1!$A$381:$B$480,2,FALSE)</f>
        <v>55th</v>
      </c>
      <c r="AH17" s="137"/>
      <c r="AI17" s="137"/>
      <c r="AJ17" s="137">
        <f t="shared" si="12"/>
        <v>0</v>
      </c>
      <c r="AK17" s="137">
        <f t="shared" si="13"/>
        <v>0</v>
      </c>
      <c r="AL17" s="135" t="str">
        <f t="shared" si="14"/>
        <v>F</v>
      </c>
      <c r="AM17" s="135" t="str">
        <f>VLOOKUP(RANK(AK17,$AK$10:$AK$109),Sheet1!$A$381:$B$480,2,FALSE)</f>
        <v>1st</v>
      </c>
      <c r="AN17" s="134"/>
      <c r="AO17" s="134"/>
      <c r="AP17" s="137">
        <f t="shared" si="15"/>
        <v>0</v>
      </c>
      <c r="AQ17" s="137">
        <f t="shared" si="16"/>
        <v>0</v>
      </c>
      <c r="AR17" s="135" t="str">
        <f t="shared" si="17"/>
        <v>F</v>
      </c>
      <c r="AS17" s="135" t="str">
        <f>VLOOKUP(RANK(AQ17,$AQ$10:$AQ$109),Sheet1!$A$381:$B$480,2,FALSE)</f>
        <v>1st</v>
      </c>
      <c r="AT17" s="142">
        <v>24</v>
      </c>
      <c r="AU17" s="145">
        <v>27</v>
      </c>
      <c r="AV17" s="137">
        <f t="shared" si="18"/>
        <v>51</v>
      </c>
      <c r="AW17" s="137">
        <f t="shared" si="19"/>
        <v>51</v>
      </c>
      <c r="AX17" s="135" t="str">
        <f t="shared" si="20"/>
        <v>C</v>
      </c>
      <c r="AY17" s="141" t="str">
        <f>VLOOKUP(RANK(AW17,$AW$10:$AW$109),Sheet1!$A$381:$B$480,2,FALSE)</f>
        <v>45th</v>
      </c>
      <c r="AZ17" s="142">
        <v>33</v>
      </c>
      <c r="BA17" s="145">
        <v>22</v>
      </c>
      <c r="BB17" s="147">
        <f t="shared" si="21"/>
        <v>55</v>
      </c>
      <c r="BC17" s="137">
        <f t="shared" si="22"/>
        <v>55</v>
      </c>
      <c r="BD17" s="135" t="str">
        <f t="shared" si="23"/>
        <v>C</v>
      </c>
      <c r="BE17" s="135" t="str">
        <f>VLOOKUP(RANK(BC17,$BC$10:$BC$109),Sheet1!$A$381:$B$480,2,FALSE)</f>
        <v>43rd</v>
      </c>
      <c r="BF17" s="142">
        <v>11</v>
      </c>
      <c r="BG17" s="145">
        <v>24</v>
      </c>
      <c r="BH17" s="137">
        <f t="shared" si="24"/>
        <v>35</v>
      </c>
      <c r="BI17" s="137">
        <f t="shared" si="25"/>
        <v>35</v>
      </c>
      <c r="BJ17" s="135" t="str">
        <f t="shared" si="26"/>
        <v>E</v>
      </c>
      <c r="BK17" s="141" t="str">
        <f>VLOOKUP(RANK(BI17,$BI$10:$BI$109),Sheet1!$A$381:$B$480,2,FALSE)</f>
        <v>48th</v>
      </c>
      <c r="BL17" s="148">
        <v>27</v>
      </c>
      <c r="BM17" s="150">
        <v>25</v>
      </c>
      <c r="BN17" s="147">
        <f t="shared" si="27"/>
        <v>52</v>
      </c>
      <c r="BO17" s="137">
        <f t="shared" si="28"/>
        <v>52</v>
      </c>
      <c r="BP17" s="135" t="str">
        <f t="shared" si="29"/>
        <v>C</v>
      </c>
      <c r="BQ17" s="141" t="str">
        <f>VLOOKUP(RANK(BO17,$BO$10:$BO$109),Sheet1!$A$381:$B$480,2,FALSE)</f>
        <v>56th</v>
      </c>
      <c r="BR17" s="148">
        <v>29</v>
      </c>
      <c r="BS17" s="150">
        <v>34</v>
      </c>
      <c r="BT17" s="147">
        <f t="shared" si="30"/>
        <v>63</v>
      </c>
      <c r="BU17" s="137">
        <f t="shared" si="31"/>
        <v>63</v>
      </c>
      <c r="BV17" s="135" t="str">
        <f t="shared" si="32"/>
        <v>B</v>
      </c>
      <c r="BW17" s="135" t="str">
        <f>VLOOKUP(RANK(BU17,$BU$10:$BU$109),Sheet1!$A$381:$B$480,2,FALSE)</f>
        <v>23rd</v>
      </c>
      <c r="BX17" s="148">
        <v>27</v>
      </c>
      <c r="BY17" s="150">
        <v>10</v>
      </c>
      <c r="BZ17" s="137">
        <f t="shared" si="33"/>
        <v>37</v>
      </c>
      <c r="CA17" s="137">
        <f t="shared" si="34"/>
        <v>37</v>
      </c>
      <c r="CB17" s="135" t="str">
        <f t="shared" si="35"/>
        <v>E</v>
      </c>
      <c r="CC17" s="135" t="str">
        <f>VLOOKUP(RANK(CA17,$CA$10:$CA$109),Sheet1!$A$381:$B$480,2,FALSE)</f>
        <v>70th</v>
      </c>
      <c r="CD17" s="148">
        <v>27</v>
      </c>
      <c r="CE17" s="150">
        <v>25</v>
      </c>
      <c r="CF17" s="137">
        <f t="shared" si="36"/>
        <v>52</v>
      </c>
      <c r="CG17" s="137">
        <f t="shared" si="37"/>
        <v>52</v>
      </c>
      <c r="CH17" s="135" t="str">
        <f t="shared" si="38"/>
        <v>C</v>
      </c>
      <c r="CI17" s="135" t="str">
        <f>VLOOKUP(RANK(CG17,$CG$10:$CG$109),Sheet1!$A$381:$B$480,2,FALSE)</f>
        <v>68th</v>
      </c>
      <c r="CJ17" s="137"/>
      <c r="CK17" s="137"/>
      <c r="CL17" s="137">
        <f t="shared" si="39"/>
        <v>0</v>
      </c>
      <c r="CM17" s="137">
        <f t="shared" si="40"/>
        <v>0</v>
      </c>
      <c r="CN17" s="135" t="str">
        <f t="shared" si="41"/>
        <v>F</v>
      </c>
      <c r="CO17" s="135" t="str">
        <f>VLOOKUP(RANK(CM17,$CM$10:$CM$109),Sheet1!$A$381:$B$480,2,FALSE)</f>
        <v>1st</v>
      </c>
      <c r="CP17" s="137"/>
      <c r="CQ17" s="137"/>
      <c r="CR17" s="137">
        <f t="shared" si="42"/>
        <v>0</v>
      </c>
      <c r="CS17" s="137">
        <f t="shared" si="43"/>
        <v>0</v>
      </c>
      <c r="CT17" s="135" t="str">
        <f t="shared" si="44"/>
        <v>F</v>
      </c>
      <c r="CU17" s="135" t="str">
        <f>VLOOKUP(RANK(CS17,$CS$10:$CS$109),Sheet1!$A$381:$B$480,2,FALSE)</f>
        <v>1st</v>
      </c>
      <c r="CV17" s="151"/>
      <c r="CW17" s="135"/>
      <c r="CX17" s="151">
        <f t="shared" si="192"/>
        <v>0</v>
      </c>
      <c r="CY17" s="151">
        <f t="shared" si="193"/>
        <v>0</v>
      </c>
      <c r="CZ17" s="135" t="str">
        <f t="shared" si="45"/>
        <v>F</v>
      </c>
      <c r="DA17" s="135" t="str">
        <f>VLOOKUP(RANK(CY17,$CY$10:$CY$109),Sheet1!$A$381:$B$480,2,FALSE)</f>
        <v>1st</v>
      </c>
      <c r="DB17" s="135"/>
      <c r="DC17" s="151">
        <f t="shared" si="194"/>
        <v>558</v>
      </c>
      <c r="DD17" s="151">
        <f t="shared" si="195"/>
        <v>32.823529411764703</v>
      </c>
      <c r="DE17" s="135" t="str">
        <f>VLOOKUP(RANK(DD17,$DD$10:$DD$109),Sheet1!$A$381:$B$480,2,FALSE)</f>
        <v>72nd</v>
      </c>
      <c r="DF17" s="137"/>
      <c r="DG17" s="160">
        <f t="shared" si="46"/>
        <v>590.82352941176498</v>
      </c>
      <c r="DH17" s="119"/>
      <c r="DI17" s="162">
        <v>17</v>
      </c>
      <c r="DJ17" s="162">
        <v>38</v>
      </c>
      <c r="DK17" s="137">
        <f t="shared" si="47"/>
        <v>55</v>
      </c>
      <c r="DL17" s="137" t="str">
        <f t="shared" si="48"/>
        <v>0</v>
      </c>
      <c r="DM17" s="137">
        <f t="shared" si="49"/>
        <v>55</v>
      </c>
      <c r="DN17" s="137">
        <f t="shared" si="50"/>
        <v>27.5</v>
      </c>
      <c r="DO17" s="135" t="str">
        <f t="shared" si="51"/>
        <v>F</v>
      </c>
      <c r="DP17" s="135" t="str">
        <f>VLOOKUP(RANK(DN17,$DN$10:$DN$109),Sheet1!$A$381:$B$480,2,FALSE)</f>
        <v>100th</v>
      </c>
      <c r="DQ17" s="164">
        <v>28</v>
      </c>
      <c r="DR17" s="165">
        <v>20</v>
      </c>
      <c r="DS17" s="137">
        <f t="shared" si="52"/>
        <v>48</v>
      </c>
      <c r="DT17" s="137" t="str">
        <f t="shared" si="53"/>
        <v>53</v>
      </c>
      <c r="DU17" s="137">
        <f t="shared" si="54"/>
        <v>101</v>
      </c>
      <c r="DV17" s="137">
        <f t="shared" si="55"/>
        <v>50.5</v>
      </c>
      <c r="DW17" s="135" t="str">
        <f t="shared" si="56"/>
        <v>C</v>
      </c>
      <c r="DX17" s="135" t="str">
        <f>VLOOKUP(RANK(DV17,$DV$10:$DV$109),Sheet1!$A$381:$B$480,2,FALSE)</f>
        <v>41st</v>
      </c>
      <c r="DY17" s="167">
        <v>24</v>
      </c>
      <c r="DZ17" s="165">
        <v>22</v>
      </c>
      <c r="EA17" s="137">
        <f t="shared" si="57"/>
        <v>46</v>
      </c>
      <c r="EB17" s="137" t="str">
        <f t="shared" si="58"/>
        <v>40</v>
      </c>
      <c r="EC17" s="137">
        <f t="shared" si="59"/>
        <v>86</v>
      </c>
      <c r="ED17" s="137">
        <f t="shared" si="60"/>
        <v>43</v>
      </c>
      <c r="EE17" s="135" t="str">
        <f t="shared" si="61"/>
        <v>D</v>
      </c>
      <c r="EF17" s="135" t="str">
        <f>VLOOKUP(RANK(ED17,$ED$10:$ED$109),Sheet1!$A$381:$B$480,2,FALSE)</f>
        <v>58th</v>
      </c>
      <c r="EG17" s="162" t="s">
        <v>105</v>
      </c>
      <c r="EH17" s="162">
        <v>32</v>
      </c>
      <c r="EI17" s="137">
        <f t="shared" si="62"/>
        <v>32</v>
      </c>
      <c r="EJ17" s="137" t="str">
        <f t="shared" si="63"/>
        <v>61</v>
      </c>
      <c r="EK17" s="137">
        <f t="shared" si="64"/>
        <v>93</v>
      </c>
      <c r="EL17" s="137">
        <f t="shared" si="65"/>
        <v>46.5</v>
      </c>
      <c r="EM17" s="135" t="str">
        <f t="shared" si="66"/>
        <v>D</v>
      </c>
      <c r="EN17" s="135" t="str">
        <f>VLOOKUP(RANK(EL17,$EL$10:$EL$109),Sheet1!$A$381:$B$480,2,FALSE)</f>
        <v>75th</v>
      </c>
      <c r="EO17" s="162">
        <v>26</v>
      </c>
      <c r="EP17" s="162">
        <v>26</v>
      </c>
      <c r="EQ17" s="137">
        <f t="shared" si="67"/>
        <v>52</v>
      </c>
      <c r="ER17" s="137" t="str">
        <f t="shared" si="68"/>
        <v>59</v>
      </c>
      <c r="ES17" s="137">
        <f t="shared" si="69"/>
        <v>111</v>
      </c>
      <c r="ET17" s="137">
        <f t="shared" si="70"/>
        <v>55.5</v>
      </c>
      <c r="EU17" s="135" t="str">
        <f t="shared" si="71"/>
        <v>C</v>
      </c>
      <c r="EV17" s="135" t="str">
        <f>VLOOKUP(RANK(ET17,$ET$10:$ET$109),Sheet1!$A$381:$B$480,2,FALSE)</f>
        <v>48th</v>
      </c>
      <c r="EW17" s="137"/>
      <c r="EX17" s="137"/>
      <c r="EY17" s="137">
        <f t="shared" si="72"/>
        <v>0</v>
      </c>
      <c r="EZ17" s="137" t="str">
        <f t="shared" si="73"/>
        <v>0</v>
      </c>
      <c r="FA17" s="137">
        <f t="shared" si="74"/>
        <v>0</v>
      </c>
      <c r="FB17" s="137">
        <f t="shared" si="75"/>
        <v>0</v>
      </c>
      <c r="FC17" s="135" t="str">
        <f t="shared" si="76"/>
        <v>F</v>
      </c>
      <c r="FD17" s="135" t="str">
        <f>VLOOKUP(RANK(FB17,$FB$10:$FB$109),Sheet1!$A$381:$B$480,2,FALSE)</f>
        <v>1st</v>
      </c>
      <c r="FE17" s="137"/>
      <c r="FF17" s="137"/>
      <c r="FG17" s="137">
        <f t="shared" si="77"/>
        <v>0</v>
      </c>
      <c r="FH17" s="137" t="str">
        <f t="shared" si="78"/>
        <v>0</v>
      </c>
      <c r="FI17" s="137">
        <f t="shared" si="79"/>
        <v>0</v>
      </c>
      <c r="FJ17" s="137">
        <f t="shared" si="80"/>
        <v>0</v>
      </c>
      <c r="FK17" s="135" t="str">
        <f t="shared" si="81"/>
        <v>F</v>
      </c>
      <c r="FL17" s="135" t="str">
        <f>VLOOKUP(RANK(FJ17,$FJ$10:$FJ$109),Sheet1!$A$381:$B$480,2,FALSE)</f>
        <v>1st</v>
      </c>
      <c r="FM17" s="164">
        <v>25</v>
      </c>
      <c r="FN17" s="165">
        <v>27</v>
      </c>
      <c r="FO17" s="137">
        <f t="shared" si="82"/>
        <v>52</v>
      </c>
      <c r="FP17" s="137" t="str">
        <f t="shared" si="83"/>
        <v>51</v>
      </c>
      <c r="FQ17" s="137">
        <f t="shared" si="84"/>
        <v>103</v>
      </c>
      <c r="FR17" s="137">
        <f t="shared" si="85"/>
        <v>51.5</v>
      </c>
      <c r="FS17" s="135" t="str">
        <f t="shared" si="86"/>
        <v>C</v>
      </c>
      <c r="FT17" s="135" t="str">
        <f>VLOOKUP(RANK(FR17,$FR$10:$FR$109),Sheet1!$A$381:$B$480,2,FALSE)</f>
        <v>50th</v>
      </c>
      <c r="FU17" s="148">
        <v>27</v>
      </c>
      <c r="FV17" s="150">
        <v>15</v>
      </c>
      <c r="FW17" s="137">
        <f t="shared" si="87"/>
        <v>42</v>
      </c>
      <c r="FX17" s="137" t="str">
        <f t="shared" si="88"/>
        <v>55</v>
      </c>
      <c r="FY17" s="137">
        <f t="shared" si="196"/>
        <v>42</v>
      </c>
      <c r="FZ17" s="137">
        <f t="shared" si="89"/>
        <v>21</v>
      </c>
      <c r="GA17" s="135" t="str">
        <f t="shared" si="90"/>
        <v>F</v>
      </c>
      <c r="GB17" s="135" t="str">
        <f>VLOOKUP(RANK(FZ17,$FZ$10:$FZ$109),Sheet1!$A$381:$B$480,2,FALSE)</f>
        <v>70th</v>
      </c>
      <c r="GC17" s="164">
        <v>19</v>
      </c>
      <c r="GD17" s="165">
        <v>26</v>
      </c>
      <c r="GE17" s="137">
        <f t="shared" si="91"/>
        <v>45</v>
      </c>
      <c r="GF17" s="137" t="str">
        <f t="shared" si="92"/>
        <v>35</v>
      </c>
      <c r="GG17" s="135">
        <f t="shared" si="197"/>
        <v>80</v>
      </c>
      <c r="GH17" s="137">
        <f t="shared" si="198"/>
        <v>40</v>
      </c>
      <c r="GI17" s="135" t="str">
        <f t="shared" si="93"/>
        <v>D</v>
      </c>
      <c r="GJ17" s="135" t="str">
        <f>VLOOKUP(RANK(GH17,$GH$10:$GH$109),Sheet1!$A$381:$B$480,2,FALSE)</f>
        <v>44th</v>
      </c>
      <c r="GK17" s="164">
        <v>27</v>
      </c>
      <c r="GL17" s="165">
        <v>17</v>
      </c>
      <c r="GM17" s="137">
        <f t="shared" si="94"/>
        <v>44</v>
      </c>
      <c r="GN17" s="137" t="str">
        <f t="shared" si="95"/>
        <v>52</v>
      </c>
      <c r="GO17" s="135">
        <f t="shared" si="199"/>
        <v>96</v>
      </c>
      <c r="GP17" s="137">
        <f t="shared" si="96"/>
        <v>48</v>
      </c>
      <c r="GQ17" s="135" t="str">
        <f t="shared" si="97"/>
        <v>D</v>
      </c>
      <c r="GR17" s="135" t="str">
        <f>VLOOKUP(RANK(GP17,$GP$10:$GP$109),Sheet1!$A$381:$B$480,2,FALSE)</f>
        <v>45th</v>
      </c>
      <c r="GS17" s="164">
        <v>27</v>
      </c>
      <c r="GT17" s="165">
        <v>47</v>
      </c>
      <c r="GU17" s="137">
        <f t="shared" si="98"/>
        <v>74</v>
      </c>
      <c r="GV17" s="137" t="str">
        <f t="shared" si="99"/>
        <v>63</v>
      </c>
      <c r="GW17" s="137">
        <f t="shared" si="100"/>
        <v>137</v>
      </c>
      <c r="GX17" s="137">
        <f t="shared" si="101"/>
        <v>68.5</v>
      </c>
      <c r="GY17" s="135" t="str">
        <f t="shared" si="102"/>
        <v>B</v>
      </c>
      <c r="GZ17" s="135" t="str">
        <f>VLOOKUP(RANK(GX17,$GX$10:$GX$109),Sheet1!$A$381:$B$480,2,FALSE)</f>
        <v>12th</v>
      </c>
      <c r="HA17" s="164">
        <v>28</v>
      </c>
      <c r="HB17" s="165">
        <v>10</v>
      </c>
      <c r="HC17" s="137">
        <f t="shared" si="103"/>
        <v>38</v>
      </c>
      <c r="HD17" s="137" t="str">
        <f t="shared" si="104"/>
        <v>37</v>
      </c>
      <c r="HE17" s="137">
        <f t="shared" si="105"/>
        <v>75</v>
      </c>
      <c r="HF17" s="137">
        <f t="shared" si="106"/>
        <v>37.5</v>
      </c>
      <c r="HG17" s="135" t="str">
        <f t="shared" si="107"/>
        <v>E</v>
      </c>
      <c r="HH17" s="135" t="str">
        <f>VLOOKUP(RANK(HF17,$HF$10:$HF$109),Sheet1!$A$381:$B$480,2,FALSE)</f>
        <v>86th</v>
      </c>
      <c r="HI17" s="148">
        <v>28</v>
      </c>
      <c r="HJ17" s="150">
        <v>42</v>
      </c>
      <c r="HK17" s="137">
        <f t="shared" si="108"/>
        <v>70</v>
      </c>
      <c r="HL17" s="137" t="str">
        <f t="shared" si="109"/>
        <v>52</v>
      </c>
      <c r="HM17" s="137">
        <f t="shared" si="110"/>
        <v>122</v>
      </c>
      <c r="HN17" s="137">
        <f t="shared" si="111"/>
        <v>61</v>
      </c>
      <c r="HO17" s="135" t="str">
        <f t="shared" si="112"/>
        <v>B</v>
      </c>
      <c r="HP17" s="135" t="str">
        <f>VLOOKUP(RANK(HN17,$HN$10:$HN$109),Sheet1!$A$381:$B$480,2,FALSE)</f>
        <v>64th</v>
      </c>
      <c r="HQ17" s="137"/>
      <c r="HR17" s="137"/>
      <c r="HS17" s="137">
        <f t="shared" si="113"/>
        <v>0</v>
      </c>
      <c r="HT17" s="137" t="str">
        <f t="shared" si="114"/>
        <v>0</v>
      </c>
      <c r="HU17" s="137">
        <f t="shared" si="115"/>
        <v>0</v>
      </c>
      <c r="HV17" s="137">
        <f t="shared" si="116"/>
        <v>0</v>
      </c>
      <c r="HW17" s="135" t="str">
        <f t="shared" si="117"/>
        <v>F</v>
      </c>
      <c r="HX17" s="135" t="str">
        <f>VLOOKUP(RANK(HV17,$HV$10:$HV$109),Sheet1!$A$381:$B$480,2,FALSE)</f>
        <v>1st</v>
      </c>
      <c r="HY17" s="137"/>
      <c r="HZ17" s="137"/>
      <c r="IA17" s="137">
        <f t="shared" si="118"/>
        <v>0</v>
      </c>
      <c r="IB17" s="137" t="str">
        <f t="shared" si="119"/>
        <v>0</v>
      </c>
      <c r="IC17" s="137">
        <f t="shared" si="120"/>
        <v>0</v>
      </c>
      <c r="ID17" s="137">
        <f t="shared" si="121"/>
        <v>0</v>
      </c>
      <c r="IE17" s="135" t="str">
        <f t="shared" si="122"/>
        <v>F</v>
      </c>
      <c r="IF17" s="135" t="str">
        <f>VLOOKUP(RANK(ID17,$ID$10:$ID$109),Sheet1!$A$381:$B$480,2,FALSE)</f>
        <v>1st</v>
      </c>
      <c r="IG17" s="135"/>
      <c r="IH17" s="135"/>
      <c r="II17" s="135">
        <f t="shared" si="200"/>
        <v>0</v>
      </c>
      <c r="IJ17" s="135" t="str">
        <f t="shared" si="201"/>
        <v>0</v>
      </c>
      <c r="IK17" s="135">
        <f t="shared" si="202"/>
        <v>0</v>
      </c>
      <c r="IL17" s="135">
        <f t="shared" si="203"/>
        <v>0</v>
      </c>
      <c r="IM17" s="135" t="str">
        <f t="shared" si="123"/>
        <v>F</v>
      </c>
      <c r="IN17" s="135" t="str">
        <f>VLOOKUP(RANK(IL17,$IL$10:$IL$109),Sheet1!$A$381:$B$480,2,FALSE)</f>
        <v>1st</v>
      </c>
      <c r="IO17" s="135">
        <f t="shared" si="204"/>
        <v>550.5</v>
      </c>
      <c r="IP17" s="177">
        <f t="shared" si="205"/>
        <v>32.382352941176499</v>
      </c>
      <c r="IQ17" s="135" t="str">
        <f>VLOOKUP(RANK(IP17,$IP$10:$IP$109),Sheet1!$A$381:$B$480,2,FALSE)</f>
        <v>62nd</v>
      </c>
      <c r="IR17" s="178"/>
      <c r="IS17" s="137"/>
      <c r="IT17" s="137"/>
      <c r="IU17" s="137"/>
      <c r="IV17" s="137"/>
      <c r="IW17" s="181"/>
      <c r="IX17" s="184"/>
      <c r="IY17" s="186"/>
      <c r="IZ17" s="186">
        <f t="shared" si="206"/>
        <v>0</v>
      </c>
      <c r="JA17" s="186" t="str">
        <f t="shared" si="124"/>
        <v>0</v>
      </c>
      <c r="JB17" s="186" t="str">
        <f t="shared" si="125"/>
        <v>55</v>
      </c>
      <c r="JC17" s="186">
        <f t="shared" si="207"/>
        <v>55</v>
      </c>
      <c r="JD17" s="186">
        <f t="shared" si="208"/>
        <v>18.3333333333333</v>
      </c>
      <c r="JE17" s="135" t="str">
        <f t="shared" si="126"/>
        <v>F</v>
      </c>
      <c r="JF17" s="151" t="str">
        <f>VLOOKUP(RANK(JD17,$JD$10:$JD$109),Sheet1!$A$381:$B$480,2,FALSE)</f>
        <v>100th</v>
      </c>
      <c r="JG17" s="186"/>
      <c r="JH17" s="186"/>
      <c r="JI17" s="186">
        <f t="shared" si="127"/>
        <v>0</v>
      </c>
      <c r="JJ17" s="186" t="str">
        <f t="shared" si="128"/>
        <v>53</v>
      </c>
      <c r="JK17" s="186" t="str">
        <f t="shared" si="129"/>
        <v>48</v>
      </c>
      <c r="JL17" s="186">
        <f t="shared" si="209"/>
        <v>101</v>
      </c>
      <c r="JM17" s="186">
        <f t="shared" si="210"/>
        <v>33.6666666666667</v>
      </c>
      <c r="JN17" s="135" t="str">
        <f t="shared" si="130"/>
        <v>F</v>
      </c>
      <c r="JO17" s="151" t="str">
        <f>VLOOKUP(RANK(JM17,$JM$10:$JM$109),Sheet1!$A$381:$B$480,2,FALSE)</f>
        <v>41st</v>
      </c>
      <c r="JP17" s="186"/>
      <c r="JQ17" s="186"/>
      <c r="JR17" s="186">
        <f t="shared" si="131"/>
        <v>0</v>
      </c>
      <c r="JS17" s="186" t="str">
        <f t="shared" si="132"/>
        <v>40</v>
      </c>
      <c r="JT17" s="186" t="str">
        <f t="shared" si="133"/>
        <v>46</v>
      </c>
      <c r="JU17" s="186">
        <f t="shared" si="211"/>
        <v>86</v>
      </c>
      <c r="JV17" s="186">
        <f t="shared" si="212"/>
        <v>28.6666666666667</v>
      </c>
      <c r="JW17" s="135" t="str">
        <f t="shared" si="134"/>
        <v>F</v>
      </c>
      <c r="JX17" s="151" t="str">
        <f>VLOOKUP(RANK(JV17,$JV$10:$JV$109),Sheet1!$A$381:$B$480,2,FALSE)</f>
        <v>58th</v>
      </c>
      <c r="JY17" s="186"/>
      <c r="JZ17" s="186"/>
      <c r="KA17" s="186">
        <f t="shared" si="135"/>
        <v>0</v>
      </c>
      <c r="KB17" s="186" t="str">
        <f t="shared" si="136"/>
        <v>61</v>
      </c>
      <c r="KC17" s="186" t="str">
        <f t="shared" si="137"/>
        <v>32</v>
      </c>
      <c r="KD17" s="186">
        <f t="shared" si="213"/>
        <v>93</v>
      </c>
      <c r="KE17" s="186">
        <f t="shared" si="214"/>
        <v>31</v>
      </c>
      <c r="KF17" s="135" t="str">
        <f t="shared" si="138"/>
        <v>F</v>
      </c>
      <c r="KG17" s="151" t="str">
        <f>VLOOKUP(RANK(KE17,$KE$10:$KE$109),Sheet1!$A$381:$B$480,2,FALSE)</f>
        <v>75th</v>
      </c>
      <c r="KH17" s="186"/>
      <c r="KI17" s="186"/>
      <c r="KJ17" s="186">
        <f t="shared" si="139"/>
        <v>0</v>
      </c>
      <c r="KK17" s="186" t="str">
        <f t="shared" si="140"/>
        <v>59</v>
      </c>
      <c r="KL17" s="186" t="str">
        <f t="shared" si="141"/>
        <v>52</v>
      </c>
      <c r="KM17" s="186">
        <f t="shared" si="215"/>
        <v>111</v>
      </c>
      <c r="KN17" s="186">
        <f t="shared" si="216"/>
        <v>37</v>
      </c>
      <c r="KO17" s="135" t="str">
        <f t="shared" si="142"/>
        <v>E</v>
      </c>
      <c r="KP17" s="151" t="str">
        <f>VLOOKUP(RANK(KN17,$KN$10:$KN$109),Sheet1!$A$381:$B$480,2,FALSE)</f>
        <v>48th</v>
      </c>
      <c r="KQ17" s="186"/>
      <c r="KR17" s="186"/>
      <c r="KS17" s="186">
        <f t="shared" si="143"/>
        <v>0</v>
      </c>
      <c r="KT17" s="186" t="str">
        <f t="shared" si="144"/>
        <v>0</v>
      </c>
      <c r="KU17" s="186" t="str">
        <f t="shared" si="145"/>
        <v>0</v>
      </c>
      <c r="KV17" s="186">
        <f t="shared" si="217"/>
        <v>0</v>
      </c>
      <c r="KW17" s="186">
        <f t="shared" si="218"/>
        <v>0</v>
      </c>
      <c r="KX17" s="135" t="str">
        <f t="shared" si="146"/>
        <v>F</v>
      </c>
      <c r="KY17" s="151" t="str">
        <f>VLOOKUP(RANK(KW17,$KW$10:$KW$109),Sheet1!$A$381:$B$480,2,FALSE)</f>
        <v>1st</v>
      </c>
      <c r="KZ17" s="186"/>
      <c r="LA17" s="186"/>
      <c r="LB17" s="186">
        <f t="shared" si="147"/>
        <v>0</v>
      </c>
      <c r="LC17" s="186" t="str">
        <f t="shared" si="148"/>
        <v>0</v>
      </c>
      <c r="LD17" s="186" t="str">
        <f t="shared" si="149"/>
        <v>0</v>
      </c>
      <c r="LE17" s="186">
        <f t="shared" si="219"/>
        <v>0</v>
      </c>
      <c r="LF17" s="186">
        <f t="shared" si="220"/>
        <v>0</v>
      </c>
      <c r="LG17" s="135" t="str">
        <f t="shared" si="150"/>
        <v>F</v>
      </c>
      <c r="LH17" s="151" t="str">
        <f>VLOOKUP(RANK(LF17,$LF$10:$LF$109),Sheet1!$A$381:$B$480,2,FALSE)</f>
        <v>1st</v>
      </c>
      <c r="LI17" s="186"/>
      <c r="LJ17" s="186"/>
      <c r="LK17" s="186">
        <f t="shared" si="151"/>
        <v>0</v>
      </c>
      <c r="LL17" s="186" t="str">
        <f t="shared" si="152"/>
        <v>51</v>
      </c>
      <c r="LM17" s="186" t="str">
        <f t="shared" si="153"/>
        <v>52</v>
      </c>
      <c r="LN17" s="186">
        <f t="shared" si="221"/>
        <v>103</v>
      </c>
      <c r="LO17" s="186">
        <f t="shared" si="222"/>
        <v>34.3333333333333</v>
      </c>
      <c r="LP17" s="135" t="str">
        <f t="shared" si="154"/>
        <v>F</v>
      </c>
      <c r="LQ17" s="151" t="str">
        <f>VLOOKUP(RANK(LO17,$LO$10:$LO$109),Sheet1!$A$381:$B$480,2,FALSE)</f>
        <v>50th</v>
      </c>
      <c r="LR17" s="186"/>
      <c r="LS17" s="186"/>
      <c r="LT17" s="186">
        <f t="shared" si="155"/>
        <v>0</v>
      </c>
      <c r="LU17" s="186" t="str">
        <f t="shared" si="156"/>
        <v>55</v>
      </c>
      <c r="LV17" s="186" t="str">
        <f t="shared" si="157"/>
        <v>42</v>
      </c>
      <c r="LW17" s="186">
        <f t="shared" si="223"/>
        <v>97</v>
      </c>
      <c r="LX17" s="186">
        <f t="shared" si="224"/>
        <v>32.3333333333333</v>
      </c>
      <c r="LY17" s="135" t="str">
        <f t="shared" si="158"/>
        <v>F</v>
      </c>
      <c r="LZ17" s="151" t="str">
        <f>VLOOKUP(RANK(LX17,$LX$10:$LX$109),Sheet1!$A$381:$B$480,2,FALSE)</f>
        <v>64th</v>
      </c>
      <c r="MA17" s="186"/>
      <c r="MB17" s="186"/>
      <c r="MC17" s="186">
        <f t="shared" si="159"/>
        <v>0</v>
      </c>
      <c r="MD17" s="186" t="str">
        <f t="shared" si="160"/>
        <v>35</v>
      </c>
      <c r="ME17" s="186" t="str">
        <f t="shared" si="161"/>
        <v>45</v>
      </c>
      <c r="MF17" s="183">
        <f t="shared" si="225"/>
        <v>80</v>
      </c>
      <c r="MG17" s="151">
        <f t="shared" si="226"/>
        <v>26.6666666666667</v>
      </c>
      <c r="MH17" s="135" t="str">
        <f t="shared" si="162"/>
        <v>F</v>
      </c>
      <c r="MI17" s="151" t="str">
        <f>VLOOKUP(RANK(MG17,$MG$10:$MG$109),Sheet1!$A$381:$B$480,2,FALSE)</f>
        <v>44th</v>
      </c>
      <c r="MJ17" s="186"/>
      <c r="MK17" s="186"/>
      <c r="ML17" s="186">
        <f t="shared" si="163"/>
        <v>0</v>
      </c>
      <c r="MM17" s="186" t="str">
        <f t="shared" si="164"/>
        <v>52</v>
      </c>
      <c r="MN17" s="186" t="str">
        <f t="shared" si="165"/>
        <v>44</v>
      </c>
      <c r="MO17" s="186">
        <f t="shared" si="227"/>
        <v>96</v>
      </c>
      <c r="MP17" s="186">
        <f t="shared" si="228"/>
        <v>32</v>
      </c>
      <c r="MQ17" s="135" t="str">
        <f t="shared" si="166"/>
        <v>F</v>
      </c>
      <c r="MR17" s="151" t="str">
        <f>VLOOKUP(RANK(MP17,$MP$10:$MP$109),Sheet1!$A$381:$B$480,2,FALSE)</f>
        <v>45th</v>
      </c>
      <c r="MS17" s="186"/>
      <c r="MT17" s="186"/>
      <c r="MU17" s="186">
        <f t="shared" si="167"/>
        <v>0</v>
      </c>
      <c r="MV17" s="186" t="str">
        <f t="shared" si="168"/>
        <v>63</v>
      </c>
      <c r="MW17" s="186" t="str">
        <f t="shared" si="169"/>
        <v>74</v>
      </c>
      <c r="MX17" s="186">
        <f t="shared" si="229"/>
        <v>137</v>
      </c>
      <c r="MY17" s="186">
        <f t="shared" si="230"/>
        <v>45.6666666666667</v>
      </c>
      <c r="MZ17" s="135" t="str">
        <f t="shared" si="170"/>
        <v>D</v>
      </c>
      <c r="NA17" s="151" t="str">
        <f>VLOOKUP(RANK(MY17,$MY$10:$MY$109),Sheet1!$A$381:$B$480,2,FALSE)</f>
        <v>12th</v>
      </c>
      <c r="NB17" s="186"/>
      <c r="NC17" s="186"/>
      <c r="ND17" s="186">
        <f t="shared" si="171"/>
        <v>0</v>
      </c>
      <c r="NE17" s="186" t="str">
        <f t="shared" si="172"/>
        <v>37</v>
      </c>
      <c r="NF17" s="186" t="str">
        <f t="shared" si="173"/>
        <v>38</v>
      </c>
      <c r="NG17" s="186">
        <f t="shared" si="231"/>
        <v>75</v>
      </c>
      <c r="NH17" s="186">
        <f t="shared" si="232"/>
        <v>25</v>
      </c>
      <c r="NI17" s="135" t="str">
        <f t="shared" si="174"/>
        <v>F</v>
      </c>
      <c r="NJ17" s="151" t="str">
        <f>VLOOKUP(RANK(NH17,$NH$10:$NH$109),Sheet1!$A$381:$B$480,2,FALSE)</f>
        <v>86th</v>
      </c>
      <c r="NK17" s="186"/>
      <c r="NL17" s="186"/>
      <c r="NM17" s="186">
        <f t="shared" si="175"/>
        <v>0</v>
      </c>
      <c r="NN17" s="186" t="str">
        <f t="shared" si="176"/>
        <v>52</v>
      </c>
      <c r="NO17" s="186" t="str">
        <f t="shared" si="177"/>
        <v>70</v>
      </c>
      <c r="NP17" s="186">
        <f t="shared" si="233"/>
        <v>122</v>
      </c>
      <c r="NQ17" s="186">
        <f t="shared" si="178"/>
        <v>40.6666666666667</v>
      </c>
      <c r="NR17" s="135" t="str">
        <f t="shared" si="179"/>
        <v>D</v>
      </c>
      <c r="NS17" s="151" t="str">
        <f>VLOOKUP(RANK(NQ17,$NQ$10:$NQ$109),Sheet1!$A$381:$B$480,2,FALSE)</f>
        <v>64th</v>
      </c>
      <c r="NT17" s="186"/>
      <c r="NU17" s="186"/>
      <c r="NV17" s="186">
        <f t="shared" si="180"/>
        <v>0</v>
      </c>
      <c r="NW17" s="186" t="str">
        <f t="shared" si="181"/>
        <v>0</v>
      </c>
      <c r="NX17" s="186" t="str">
        <f t="shared" si="182"/>
        <v>0</v>
      </c>
      <c r="NY17" s="186">
        <f t="shared" si="234"/>
        <v>0</v>
      </c>
      <c r="NZ17" s="186">
        <f t="shared" si="183"/>
        <v>0</v>
      </c>
      <c r="OA17" s="135" t="str">
        <f t="shared" si="184"/>
        <v>F</v>
      </c>
      <c r="OB17" s="151" t="str">
        <f>VLOOKUP(RANK(NZ17,$NZ$10:$NZ$109),Sheet1!$A$381:$B$480,2,FALSE)</f>
        <v>1st</v>
      </c>
      <c r="OC17" s="186"/>
      <c r="OD17" s="186"/>
      <c r="OE17" s="186">
        <f t="shared" si="185"/>
        <v>0</v>
      </c>
      <c r="OF17" s="186" t="str">
        <f t="shared" si="186"/>
        <v>0</v>
      </c>
      <c r="OG17" s="186" t="str">
        <f t="shared" si="187"/>
        <v>0</v>
      </c>
      <c r="OH17" s="186">
        <f t="shared" si="235"/>
        <v>0</v>
      </c>
      <c r="OI17" s="186">
        <f t="shared" si="236"/>
        <v>0</v>
      </c>
      <c r="OJ17" s="135" t="str">
        <f t="shared" si="188"/>
        <v>F</v>
      </c>
      <c r="OK17" s="151" t="str">
        <f>VLOOKUP(RANK(OI17,$OI$10:$OI$109),Sheet1!$A$381:$B$480,2,FALSE)</f>
        <v>1st</v>
      </c>
      <c r="OL17" s="151"/>
      <c r="OM17" s="151"/>
      <c r="ON17" s="151">
        <f t="shared" si="237"/>
        <v>0</v>
      </c>
      <c r="OO17" s="151" t="str">
        <f t="shared" si="238"/>
        <v>0</v>
      </c>
      <c r="OP17" s="151" t="str">
        <f t="shared" si="239"/>
        <v>0</v>
      </c>
      <c r="OQ17" s="151">
        <f t="shared" si="240"/>
        <v>0</v>
      </c>
      <c r="OR17" s="151">
        <f t="shared" si="241"/>
        <v>0</v>
      </c>
      <c r="OS17" s="135" t="str">
        <f t="shared" si="189"/>
        <v>F</v>
      </c>
      <c r="OT17" s="151" t="str">
        <f>VLOOKUP(RANK(OR17,$OI$10:$OI$109),Sheet1!$A$381:$B$480,2,FALSE)</f>
        <v>1st</v>
      </c>
      <c r="OU17" s="151">
        <f t="shared" si="242"/>
        <v>385.33333333333297</v>
      </c>
      <c r="OV17" s="151">
        <f t="shared" si="243"/>
        <v>22.6666666666667</v>
      </c>
      <c r="OW17" s="151" t="str">
        <f>VLOOKUP(RANK(OV17,$OV$10:$OV$109),Sheet1!$A$381:$B$480,2,FALSE)</f>
        <v>62nd</v>
      </c>
      <c r="OX17" s="151"/>
      <c r="OY17" s="186"/>
      <c r="OZ17" s="186"/>
      <c r="PA17" s="186"/>
      <c r="PB17" s="186"/>
    </row>
    <row r="18" spans="1:418" s="118" customFormat="1" ht="18.75">
      <c r="A18" s="131">
        <v>9</v>
      </c>
      <c r="B18" s="132" t="s">
        <v>106</v>
      </c>
      <c r="C18" s="133" t="s">
        <v>97</v>
      </c>
      <c r="D18" s="136">
        <v>31</v>
      </c>
      <c r="E18" s="136">
        <v>48</v>
      </c>
      <c r="F18" s="137">
        <f t="shared" si="0"/>
        <v>79</v>
      </c>
      <c r="G18" s="137">
        <f t="shared" si="1"/>
        <v>79</v>
      </c>
      <c r="H18" s="135" t="str">
        <f t="shared" si="190"/>
        <v>A</v>
      </c>
      <c r="I18" s="135" t="str">
        <f>VLOOKUP(RANK(G18,$G$10:$G$109),Sheet1!$A$381:$B$480,2,FALSE)</f>
        <v>11th</v>
      </c>
      <c r="J18" s="136">
        <v>29</v>
      </c>
      <c r="K18" s="136">
        <v>22</v>
      </c>
      <c r="L18" s="137">
        <f t="shared" si="2"/>
        <v>51</v>
      </c>
      <c r="M18" s="137">
        <f t="shared" si="3"/>
        <v>51</v>
      </c>
      <c r="N18" s="135" t="str">
        <f t="shared" si="4"/>
        <v>C</v>
      </c>
      <c r="O18" s="141" t="str">
        <f>VLOOKUP(RANK(M18,$M$10:$M$109),Sheet1!$A$381:$B$480,2,FALSE)</f>
        <v>56th</v>
      </c>
      <c r="P18" s="142">
        <v>28</v>
      </c>
      <c r="Q18" s="145">
        <v>18</v>
      </c>
      <c r="R18" s="147">
        <f t="shared" si="5"/>
        <v>46</v>
      </c>
      <c r="S18" s="137">
        <f t="shared" si="6"/>
        <v>46</v>
      </c>
      <c r="T18" s="135" t="str">
        <f t="shared" si="7"/>
        <v>D</v>
      </c>
      <c r="U18" s="135" t="str">
        <f>VLOOKUP(RANK(S18,$S$10:$S$109),Sheet1!$A$381:$B$480,2,FALSE)</f>
        <v>47th</v>
      </c>
      <c r="V18" s="136">
        <v>25</v>
      </c>
      <c r="W18" s="136">
        <v>35</v>
      </c>
      <c r="X18" s="137">
        <f t="shared" si="191"/>
        <v>60</v>
      </c>
      <c r="Y18" s="137">
        <f t="shared" si="244"/>
        <v>60</v>
      </c>
      <c r="Z18" s="135" t="str">
        <f t="shared" si="8"/>
        <v>B</v>
      </c>
      <c r="AA18" s="135" t="str">
        <f>VLOOKUP(RANK(Y18,$Y$10:$Y$109),Sheet1!$A$381:$B$480,2,FALSE)</f>
        <v>34th</v>
      </c>
      <c r="AB18" s="136">
        <v>35</v>
      </c>
      <c r="AC18" s="136">
        <v>43</v>
      </c>
      <c r="AD18" s="137">
        <f t="shared" si="9"/>
        <v>78</v>
      </c>
      <c r="AE18" s="137">
        <f t="shared" si="10"/>
        <v>78</v>
      </c>
      <c r="AF18" s="135" t="str">
        <f t="shared" si="11"/>
        <v>A</v>
      </c>
      <c r="AG18" s="135" t="str">
        <f>VLOOKUP(RANK(AE18,$AE$10:$AE$109),Sheet1!$A$381:$B$480,2,FALSE)</f>
        <v>18th</v>
      </c>
      <c r="AH18" s="137"/>
      <c r="AI18" s="137"/>
      <c r="AJ18" s="137">
        <f t="shared" si="12"/>
        <v>0</v>
      </c>
      <c r="AK18" s="137">
        <f t="shared" si="13"/>
        <v>0</v>
      </c>
      <c r="AL18" s="135" t="str">
        <f t="shared" si="14"/>
        <v>F</v>
      </c>
      <c r="AM18" s="135" t="str">
        <f>VLOOKUP(RANK(AK18,$AK$10:$AK$109),Sheet1!$A$381:$B$480,2,FALSE)</f>
        <v>1st</v>
      </c>
      <c r="AN18" s="136"/>
      <c r="AO18" s="138"/>
      <c r="AP18" s="137">
        <f t="shared" si="15"/>
        <v>0</v>
      </c>
      <c r="AQ18" s="137">
        <f t="shared" si="16"/>
        <v>0</v>
      </c>
      <c r="AR18" s="135" t="str">
        <f t="shared" si="17"/>
        <v>F</v>
      </c>
      <c r="AS18" s="135" t="str">
        <f>VLOOKUP(RANK(AQ18,$AQ$10:$AQ$109),Sheet1!$A$381:$B$480,2,FALSE)</f>
        <v>1st</v>
      </c>
      <c r="AT18" s="142">
        <v>22</v>
      </c>
      <c r="AU18" s="145">
        <v>28</v>
      </c>
      <c r="AV18" s="137">
        <f t="shared" si="18"/>
        <v>50</v>
      </c>
      <c r="AW18" s="137">
        <f t="shared" si="19"/>
        <v>50</v>
      </c>
      <c r="AX18" s="135" t="str">
        <f t="shared" si="20"/>
        <v>C</v>
      </c>
      <c r="AY18" s="141" t="str">
        <f>VLOOKUP(RANK(AW18,$AW$10:$AW$109),Sheet1!$A$381:$B$480,2,FALSE)</f>
        <v>58th</v>
      </c>
      <c r="AZ18" s="142">
        <v>32</v>
      </c>
      <c r="BA18" s="145">
        <v>19</v>
      </c>
      <c r="BB18" s="147">
        <f t="shared" si="21"/>
        <v>51</v>
      </c>
      <c r="BC18" s="137">
        <f t="shared" si="22"/>
        <v>51</v>
      </c>
      <c r="BD18" s="135" t="str">
        <f t="shared" si="23"/>
        <v>C</v>
      </c>
      <c r="BE18" s="135" t="str">
        <f>VLOOKUP(RANK(BC18,$BC$10:$BC$109),Sheet1!$A$381:$B$480,2,FALSE)</f>
        <v>54th</v>
      </c>
      <c r="BF18" s="142">
        <v>15</v>
      </c>
      <c r="BG18" s="145">
        <v>20</v>
      </c>
      <c r="BH18" s="137">
        <f t="shared" si="24"/>
        <v>35</v>
      </c>
      <c r="BI18" s="137">
        <f t="shared" si="25"/>
        <v>35</v>
      </c>
      <c r="BJ18" s="135" t="str">
        <f t="shared" si="26"/>
        <v>E</v>
      </c>
      <c r="BK18" s="141" t="str">
        <f>VLOOKUP(RANK(BI18,$BI$10:$BI$109),Sheet1!$A$381:$B$480,2,FALSE)</f>
        <v>48th</v>
      </c>
      <c r="BL18" s="148">
        <v>25</v>
      </c>
      <c r="BM18" s="150">
        <v>23</v>
      </c>
      <c r="BN18" s="147">
        <f t="shared" si="27"/>
        <v>48</v>
      </c>
      <c r="BO18" s="137">
        <f t="shared" si="28"/>
        <v>48</v>
      </c>
      <c r="BP18" s="135" t="str">
        <f t="shared" si="29"/>
        <v>D</v>
      </c>
      <c r="BQ18" s="141" t="str">
        <f>VLOOKUP(RANK(BO18,$BO$10:$BO$109),Sheet1!$A$381:$B$480,2,FALSE)</f>
        <v>99th</v>
      </c>
      <c r="BR18" s="148">
        <v>27</v>
      </c>
      <c r="BS18" s="150">
        <v>30</v>
      </c>
      <c r="BT18" s="147">
        <f t="shared" si="30"/>
        <v>57</v>
      </c>
      <c r="BU18" s="137">
        <f t="shared" si="31"/>
        <v>57</v>
      </c>
      <c r="BV18" s="135" t="str">
        <f t="shared" si="32"/>
        <v>C</v>
      </c>
      <c r="BW18" s="135" t="str">
        <f>VLOOKUP(RANK(BU18,$BU$10:$BU$109),Sheet1!$A$381:$B$480,2,FALSE)</f>
        <v>31st</v>
      </c>
      <c r="BX18" s="148">
        <v>28</v>
      </c>
      <c r="BY18" s="150">
        <v>11</v>
      </c>
      <c r="BZ18" s="137">
        <f t="shared" si="33"/>
        <v>39</v>
      </c>
      <c r="CA18" s="137">
        <f t="shared" si="34"/>
        <v>39</v>
      </c>
      <c r="CB18" s="135" t="str">
        <f t="shared" si="35"/>
        <v>E</v>
      </c>
      <c r="CC18" s="135" t="str">
        <f>VLOOKUP(RANK(CA18,$CA$10:$CA$109),Sheet1!$A$381:$B$480,2,FALSE)</f>
        <v>53rd</v>
      </c>
      <c r="CD18" s="148">
        <v>28</v>
      </c>
      <c r="CE18" s="150">
        <v>30</v>
      </c>
      <c r="CF18" s="137">
        <f t="shared" si="36"/>
        <v>58</v>
      </c>
      <c r="CG18" s="137">
        <f t="shared" si="37"/>
        <v>58</v>
      </c>
      <c r="CH18" s="135" t="str">
        <f t="shared" si="38"/>
        <v>C</v>
      </c>
      <c r="CI18" s="135" t="str">
        <f>VLOOKUP(RANK(CG18,$CG$10:$CG$109),Sheet1!$A$381:$B$480,2,FALSE)</f>
        <v>35th</v>
      </c>
      <c r="CJ18" s="137"/>
      <c r="CK18" s="137"/>
      <c r="CL18" s="137">
        <f t="shared" si="39"/>
        <v>0</v>
      </c>
      <c r="CM18" s="137">
        <f t="shared" si="40"/>
        <v>0</v>
      </c>
      <c r="CN18" s="135" t="str">
        <f t="shared" si="41"/>
        <v>F</v>
      </c>
      <c r="CO18" s="135" t="str">
        <f>VLOOKUP(RANK(CM18,$CM$10:$CM$109),Sheet1!$A$381:$B$480,2,FALSE)</f>
        <v>1st</v>
      </c>
      <c r="CP18" s="137"/>
      <c r="CQ18" s="137"/>
      <c r="CR18" s="137">
        <f t="shared" si="42"/>
        <v>0</v>
      </c>
      <c r="CS18" s="137">
        <f t="shared" si="43"/>
        <v>0</v>
      </c>
      <c r="CT18" s="135" t="str">
        <f t="shared" si="44"/>
        <v>F</v>
      </c>
      <c r="CU18" s="135" t="str">
        <f>VLOOKUP(RANK(CS18,$CS$10:$CS$109),Sheet1!$A$381:$B$480,2,FALSE)</f>
        <v>1st</v>
      </c>
      <c r="CV18" s="151"/>
      <c r="CW18" s="135"/>
      <c r="CX18" s="151">
        <f t="shared" si="192"/>
        <v>0</v>
      </c>
      <c r="CY18" s="151">
        <f t="shared" si="193"/>
        <v>0</v>
      </c>
      <c r="CZ18" s="135" t="str">
        <f t="shared" si="45"/>
        <v>F</v>
      </c>
      <c r="DA18" s="135" t="str">
        <f>VLOOKUP(RANK(CY18,$CY$10:$CY$109),Sheet1!$A$381:$B$480,2,FALSE)</f>
        <v>1st</v>
      </c>
      <c r="DB18" s="135"/>
      <c r="DC18" s="151">
        <f t="shared" si="194"/>
        <v>652</v>
      </c>
      <c r="DD18" s="151">
        <f t="shared" si="195"/>
        <v>38.352941176470601</v>
      </c>
      <c r="DE18" s="135" t="str">
        <f>VLOOKUP(RANK(DD18,$DD$10:$DD$109),Sheet1!$A$381:$B$480,2,FALSE)</f>
        <v>36th</v>
      </c>
      <c r="DF18" s="137"/>
      <c r="DG18" s="160">
        <f t="shared" si="46"/>
        <v>690.35294117647095</v>
      </c>
      <c r="DH18" s="119"/>
      <c r="DI18" s="163">
        <v>20</v>
      </c>
      <c r="DJ18" s="163">
        <v>53</v>
      </c>
      <c r="DK18" s="137">
        <f t="shared" si="47"/>
        <v>73</v>
      </c>
      <c r="DL18" s="137" t="str">
        <f t="shared" si="48"/>
        <v>79</v>
      </c>
      <c r="DM18" s="137">
        <f t="shared" si="49"/>
        <v>152</v>
      </c>
      <c r="DN18" s="137">
        <f t="shared" si="50"/>
        <v>76</v>
      </c>
      <c r="DO18" s="135" t="str">
        <f t="shared" si="51"/>
        <v>A</v>
      </c>
      <c r="DP18" s="135" t="str">
        <f>VLOOKUP(RANK(DN18,$DN$10:$DN$109),Sheet1!$A$381:$B$480,2,FALSE)</f>
        <v>14th</v>
      </c>
      <c r="DQ18" s="164">
        <v>21</v>
      </c>
      <c r="DR18" s="165">
        <v>13</v>
      </c>
      <c r="DS18" s="137">
        <f t="shared" si="52"/>
        <v>34</v>
      </c>
      <c r="DT18" s="137" t="str">
        <f t="shared" si="53"/>
        <v>51</v>
      </c>
      <c r="DU18" s="137">
        <f t="shared" si="54"/>
        <v>85</v>
      </c>
      <c r="DV18" s="137">
        <f t="shared" si="55"/>
        <v>42.5</v>
      </c>
      <c r="DW18" s="135" t="str">
        <f t="shared" si="56"/>
        <v>D</v>
      </c>
      <c r="DX18" s="135" t="str">
        <f>VLOOKUP(RANK(DV18,$DV$10:$DV$109),Sheet1!$A$381:$B$480,2,FALSE)</f>
        <v>82nd</v>
      </c>
      <c r="DY18" s="167">
        <v>33</v>
      </c>
      <c r="DZ18" s="165">
        <v>14</v>
      </c>
      <c r="EA18" s="137">
        <f t="shared" si="57"/>
        <v>47</v>
      </c>
      <c r="EB18" s="137" t="str">
        <f t="shared" si="58"/>
        <v>46</v>
      </c>
      <c r="EC18" s="137">
        <f t="shared" si="59"/>
        <v>93</v>
      </c>
      <c r="ED18" s="137">
        <f t="shared" si="60"/>
        <v>46.5</v>
      </c>
      <c r="EE18" s="135" t="str">
        <f t="shared" si="61"/>
        <v>D</v>
      </c>
      <c r="EF18" s="135" t="str">
        <f>VLOOKUP(RANK(ED18,$ED$10:$ED$109),Sheet1!$A$381:$B$480,2,FALSE)</f>
        <v>48th</v>
      </c>
      <c r="EG18" s="163">
        <v>23</v>
      </c>
      <c r="EH18" s="163">
        <v>43</v>
      </c>
      <c r="EI18" s="137">
        <f t="shared" si="62"/>
        <v>66</v>
      </c>
      <c r="EJ18" s="137" t="str">
        <f t="shared" si="63"/>
        <v>60</v>
      </c>
      <c r="EK18" s="137">
        <f t="shared" si="64"/>
        <v>126</v>
      </c>
      <c r="EL18" s="137">
        <f t="shared" si="65"/>
        <v>63</v>
      </c>
      <c r="EM18" s="135" t="str">
        <f t="shared" si="66"/>
        <v>B</v>
      </c>
      <c r="EN18" s="135" t="str">
        <f>VLOOKUP(RANK(EL18,$EL$10:$EL$109),Sheet1!$A$381:$B$480,2,FALSE)</f>
        <v>30th</v>
      </c>
      <c r="EO18" s="163">
        <v>28</v>
      </c>
      <c r="EP18" s="163">
        <v>32</v>
      </c>
      <c r="EQ18" s="137">
        <f t="shared" si="67"/>
        <v>60</v>
      </c>
      <c r="ER18" s="137" t="str">
        <f t="shared" si="68"/>
        <v>78</v>
      </c>
      <c r="ES18" s="137">
        <f t="shared" si="69"/>
        <v>138</v>
      </c>
      <c r="ET18" s="137">
        <f t="shared" si="70"/>
        <v>69</v>
      </c>
      <c r="EU18" s="135" t="str">
        <f t="shared" si="71"/>
        <v>B</v>
      </c>
      <c r="EV18" s="135" t="str">
        <f>VLOOKUP(RANK(ET18,$ET$10:$ET$109),Sheet1!$A$381:$B$480,2,FALSE)</f>
        <v>19th</v>
      </c>
      <c r="EW18" s="137"/>
      <c r="EX18" s="137"/>
      <c r="EY18" s="137">
        <f t="shared" si="72"/>
        <v>0</v>
      </c>
      <c r="EZ18" s="137" t="str">
        <f t="shared" si="73"/>
        <v>0</v>
      </c>
      <c r="FA18" s="137">
        <f t="shared" si="74"/>
        <v>0</v>
      </c>
      <c r="FB18" s="137">
        <f t="shared" si="75"/>
        <v>0</v>
      </c>
      <c r="FC18" s="135" t="str">
        <f t="shared" si="76"/>
        <v>F</v>
      </c>
      <c r="FD18" s="135" t="str">
        <f>VLOOKUP(RANK(FB18,$FB$10:$FB$109),Sheet1!$A$381:$B$480,2,FALSE)</f>
        <v>1st</v>
      </c>
      <c r="FE18" s="137"/>
      <c r="FF18" s="137"/>
      <c r="FG18" s="137">
        <f t="shared" si="77"/>
        <v>0</v>
      </c>
      <c r="FH18" s="137" t="str">
        <f t="shared" si="78"/>
        <v>0</v>
      </c>
      <c r="FI18" s="137">
        <f t="shared" si="79"/>
        <v>0</v>
      </c>
      <c r="FJ18" s="137">
        <f t="shared" si="80"/>
        <v>0</v>
      </c>
      <c r="FK18" s="135" t="str">
        <f t="shared" si="81"/>
        <v>F</v>
      </c>
      <c r="FL18" s="135" t="str">
        <f>VLOOKUP(RANK(FJ18,$FJ$10:$FJ$109),Sheet1!$A$381:$B$480,2,FALSE)</f>
        <v>1st</v>
      </c>
      <c r="FM18" s="164">
        <v>28</v>
      </c>
      <c r="FN18" s="165">
        <v>29</v>
      </c>
      <c r="FO18" s="137">
        <f t="shared" si="82"/>
        <v>57</v>
      </c>
      <c r="FP18" s="137" t="str">
        <f t="shared" si="83"/>
        <v>50</v>
      </c>
      <c r="FQ18" s="137">
        <f t="shared" si="84"/>
        <v>107</v>
      </c>
      <c r="FR18" s="137">
        <f t="shared" si="85"/>
        <v>53.5</v>
      </c>
      <c r="FS18" s="135" t="str">
        <f t="shared" si="86"/>
        <v>C</v>
      </c>
      <c r="FT18" s="135" t="str">
        <f>VLOOKUP(RANK(FR18,$FR$10:$FR$109),Sheet1!$A$381:$B$480,2,FALSE)</f>
        <v>33rd</v>
      </c>
      <c r="FU18" s="148">
        <v>35</v>
      </c>
      <c r="FV18" s="150">
        <v>15</v>
      </c>
      <c r="FW18" s="137">
        <f t="shared" si="87"/>
        <v>50</v>
      </c>
      <c r="FX18" s="137" t="str">
        <f t="shared" si="88"/>
        <v>51</v>
      </c>
      <c r="FY18" s="137">
        <f t="shared" si="196"/>
        <v>50</v>
      </c>
      <c r="FZ18" s="137">
        <f t="shared" si="89"/>
        <v>25</v>
      </c>
      <c r="GA18" s="135" t="str">
        <f t="shared" si="90"/>
        <v>F</v>
      </c>
      <c r="GB18" s="135" t="str">
        <f>VLOOKUP(RANK(FZ18,$FZ$10:$FZ$109),Sheet1!$A$381:$B$480,2,FALSE)</f>
        <v>53rd</v>
      </c>
      <c r="GC18" s="164">
        <v>25</v>
      </c>
      <c r="GD18" s="165">
        <v>25</v>
      </c>
      <c r="GE18" s="137">
        <f t="shared" si="91"/>
        <v>50</v>
      </c>
      <c r="GF18" s="137" t="str">
        <f t="shared" si="92"/>
        <v>35</v>
      </c>
      <c r="GG18" s="135">
        <f t="shared" si="197"/>
        <v>85</v>
      </c>
      <c r="GH18" s="137">
        <f t="shared" si="198"/>
        <v>42.5</v>
      </c>
      <c r="GI18" s="135" t="str">
        <f t="shared" si="93"/>
        <v>D</v>
      </c>
      <c r="GJ18" s="135" t="str">
        <f>VLOOKUP(RANK(GH18,$GH$10:$GH$109),Sheet1!$A$381:$B$480,2,FALSE)</f>
        <v>36th</v>
      </c>
      <c r="GK18" s="164">
        <v>26</v>
      </c>
      <c r="GL18" s="165">
        <v>21</v>
      </c>
      <c r="GM18" s="137">
        <f t="shared" si="94"/>
        <v>47</v>
      </c>
      <c r="GN18" s="137" t="str">
        <f t="shared" si="95"/>
        <v>48</v>
      </c>
      <c r="GO18" s="135">
        <f t="shared" si="199"/>
        <v>95</v>
      </c>
      <c r="GP18" s="137">
        <f t="shared" si="96"/>
        <v>47.5</v>
      </c>
      <c r="GQ18" s="135" t="str">
        <f t="shared" si="97"/>
        <v>D</v>
      </c>
      <c r="GR18" s="135" t="str">
        <f>VLOOKUP(RANK(GP18,$GP$10:$GP$109),Sheet1!$A$381:$B$480,2,FALSE)</f>
        <v>61st</v>
      </c>
      <c r="GS18" s="164">
        <v>25</v>
      </c>
      <c r="GT18" s="165">
        <v>37</v>
      </c>
      <c r="GU18" s="137">
        <f t="shared" si="98"/>
        <v>62</v>
      </c>
      <c r="GV18" s="137" t="str">
        <f t="shared" si="99"/>
        <v>57</v>
      </c>
      <c r="GW18" s="137">
        <f t="shared" si="100"/>
        <v>119</v>
      </c>
      <c r="GX18" s="137">
        <f t="shared" si="101"/>
        <v>59.5</v>
      </c>
      <c r="GY18" s="135" t="str">
        <f t="shared" si="102"/>
        <v>C</v>
      </c>
      <c r="GZ18" s="135" t="str">
        <f>VLOOKUP(RANK(GX18,$GX$10:$GX$109),Sheet1!$A$381:$B$480,2,FALSE)</f>
        <v>24th</v>
      </c>
      <c r="HA18" s="164">
        <v>29</v>
      </c>
      <c r="HB18" s="165">
        <v>11</v>
      </c>
      <c r="HC18" s="137">
        <f t="shared" si="103"/>
        <v>40</v>
      </c>
      <c r="HD18" s="137" t="str">
        <f t="shared" si="104"/>
        <v>39</v>
      </c>
      <c r="HE18" s="137">
        <f t="shared" si="105"/>
        <v>79</v>
      </c>
      <c r="HF18" s="137">
        <f t="shared" si="106"/>
        <v>39.5</v>
      </c>
      <c r="HG18" s="135" t="str">
        <f t="shared" si="107"/>
        <v>E</v>
      </c>
      <c r="HH18" s="135" t="str">
        <f>VLOOKUP(RANK(HF18,$HF$10:$HF$109),Sheet1!$A$381:$B$480,2,FALSE)</f>
        <v>67th</v>
      </c>
      <c r="HI18" s="148">
        <v>22</v>
      </c>
      <c r="HJ18" s="150">
        <v>37</v>
      </c>
      <c r="HK18" s="137">
        <f t="shared" si="108"/>
        <v>59</v>
      </c>
      <c r="HL18" s="137" t="str">
        <f t="shared" si="109"/>
        <v>58</v>
      </c>
      <c r="HM18" s="137">
        <f t="shared" si="110"/>
        <v>117</v>
      </c>
      <c r="HN18" s="137">
        <f t="shared" si="111"/>
        <v>58.5</v>
      </c>
      <c r="HO18" s="135" t="str">
        <f t="shared" si="112"/>
        <v>C</v>
      </c>
      <c r="HP18" s="135" t="str">
        <f>VLOOKUP(RANK(HN18,$HN$10:$HN$109),Sheet1!$A$381:$B$480,2,FALSE)</f>
        <v>77th</v>
      </c>
      <c r="HQ18" s="137"/>
      <c r="HR18" s="137"/>
      <c r="HS18" s="137">
        <f t="shared" si="113"/>
        <v>0</v>
      </c>
      <c r="HT18" s="137" t="str">
        <f t="shared" si="114"/>
        <v>0</v>
      </c>
      <c r="HU18" s="137">
        <f t="shared" si="115"/>
        <v>0</v>
      </c>
      <c r="HV18" s="137">
        <f t="shared" si="116"/>
        <v>0</v>
      </c>
      <c r="HW18" s="135" t="str">
        <f t="shared" si="117"/>
        <v>F</v>
      </c>
      <c r="HX18" s="135" t="str">
        <f>VLOOKUP(RANK(HV18,$HV$10:$HV$109),Sheet1!$A$381:$B$480,2,FALSE)</f>
        <v>1st</v>
      </c>
      <c r="HY18" s="137"/>
      <c r="HZ18" s="137"/>
      <c r="IA18" s="137">
        <f t="shared" si="118"/>
        <v>0</v>
      </c>
      <c r="IB18" s="137" t="str">
        <f t="shared" si="119"/>
        <v>0</v>
      </c>
      <c r="IC18" s="137">
        <f t="shared" si="120"/>
        <v>0</v>
      </c>
      <c r="ID18" s="137">
        <f t="shared" si="121"/>
        <v>0</v>
      </c>
      <c r="IE18" s="135" t="str">
        <f t="shared" si="122"/>
        <v>F</v>
      </c>
      <c r="IF18" s="135" t="str">
        <f>VLOOKUP(RANK(ID18,$ID$10:$ID$109),Sheet1!$A$381:$B$480,2,FALSE)</f>
        <v>1st</v>
      </c>
      <c r="IG18" s="135"/>
      <c r="IH18" s="135"/>
      <c r="II18" s="135">
        <f t="shared" si="200"/>
        <v>0</v>
      </c>
      <c r="IJ18" s="135" t="str">
        <f t="shared" si="201"/>
        <v>0</v>
      </c>
      <c r="IK18" s="135">
        <f t="shared" si="202"/>
        <v>0</v>
      </c>
      <c r="IL18" s="135">
        <f t="shared" si="203"/>
        <v>0</v>
      </c>
      <c r="IM18" s="135" t="str">
        <f t="shared" si="123"/>
        <v>F</v>
      </c>
      <c r="IN18" s="135" t="str">
        <f>VLOOKUP(RANK(IL18,$IL$10:$IL$109),Sheet1!$A$381:$B$480,2,FALSE)</f>
        <v>1st</v>
      </c>
      <c r="IO18" s="135">
        <f t="shared" si="204"/>
        <v>623</v>
      </c>
      <c r="IP18" s="177">
        <f t="shared" si="205"/>
        <v>36.647058823529399</v>
      </c>
      <c r="IQ18" s="135" t="str">
        <f>VLOOKUP(RANK(IP18,$IP$10:$IP$109),Sheet1!$A$381:$B$480,2,FALSE)</f>
        <v>39th</v>
      </c>
      <c r="IR18" s="178"/>
      <c r="IS18" s="137"/>
      <c r="IT18" s="137"/>
      <c r="IU18" s="137"/>
      <c r="IV18" s="137"/>
      <c r="IW18" s="181"/>
      <c r="IX18" s="184"/>
      <c r="IY18" s="186"/>
      <c r="IZ18" s="186">
        <f t="shared" si="206"/>
        <v>0</v>
      </c>
      <c r="JA18" s="186" t="str">
        <f t="shared" si="124"/>
        <v>79</v>
      </c>
      <c r="JB18" s="186" t="str">
        <f t="shared" si="125"/>
        <v>73</v>
      </c>
      <c r="JC18" s="186">
        <f t="shared" si="207"/>
        <v>152</v>
      </c>
      <c r="JD18" s="186">
        <f t="shared" si="208"/>
        <v>50.6666666666667</v>
      </c>
      <c r="JE18" s="135" t="str">
        <f t="shared" si="126"/>
        <v>C</v>
      </c>
      <c r="JF18" s="151" t="str">
        <f>VLOOKUP(RANK(JD18,$JD$10:$JD$109),Sheet1!$A$381:$B$480,2,FALSE)</f>
        <v>14th</v>
      </c>
      <c r="JG18" s="186"/>
      <c r="JH18" s="186"/>
      <c r="JI18" s="186">
        <f t="shared" si="127"/>
        <v>0</v>
      </c>
      <c r="JJ18" s="186" t="str">
        <f t="shared" si="128"/>
        <v>51</v>
      </c>
      <c r="JK18" s="186" t="str">
        <f t="shared" si="129"/>
        <v>34</v>
      </c>
      <c r="JL18" s="186">
        <f t="shared" si="209"/>
        <v>85</v>
      </c>
      <c r="JM18" s="186">
        <f t="shared" si="210"/>
        <v>28.3333333333333</v>
      </c>
      <c r="JN18" s="135" t="str">
        <f t="shared" si="130"/>
        <v>F</v>
      </c>
      <c r="JO18" s="151" t="str">
        <f>VLOOKUP(RANK(JM18,$JM$10:$JM$109),Sheet1!$A$381:$B$480,2,FALSE)</f>
        <v>82nd</v>
      </c>
      <c r="JP18" s="186"/>
      <c r="JQ18" s="186"/>
      <c r="JR18" s="186">
        <f t="shared" si="131"/>
        <v>0</v>
      </c>
      <c r="JS18" s="186" t="str">
        <f t="shared" si="132"/>
        <v>46</v>
      </c>
      <c r="JT18" s="186" t="str">
        <f t="shared" si="133"/>
        <v>47</v>
      </c>
      <c r="JU18" s="186">
        <f t="shared" si="211"/>
        <v>93</v>
      </c>
      <c r="JV18" s="186">
        <f t="shared" si="212"/>
        <v>31</v>
      </c>
      <c r="JW18" s="135" t="str">
        <f t="shared" si="134"/>
        <v>F</v>
      </c>
      <c r="JX18" s="151" t="str">
        <f>VLOOKUP(RANK(JV18,$JV$10:$JV$109),Sheet1!$A$381:$B$480,2,FALSE)</f>
        <v>48th</v>
      </c>
      <c r="JY18" s="186"/>
      <c r="JZ18" s="186"/>
      <c r="KA18" s="186">
        <f t="shared" si="135"/>
        <v>0</v>
      </c>
      <c r="KB18" s="186" t="str">
        <f t="shared" si="136"/>
        <v>60</v>
      </c>
      <c r="KC18" s="186" t="str">
        <f t="shared" si="137"/>
        <v>66</v>
      </c>
      <c r="KD18" s="186">
        <f t="shared" si="213"/>
        <v>126</v>
      </c>
      <c r="KE18" s="186">
        <f t="shared" si="214"/>
        <v>42</v>
      </c>
      <c r="KF18" s="135" t="str">
        <f t="shared" si="138"/>
        <v>D</v>
      </c>
      <c r="KG18" s="151" t="str">
        <f>VLOOKUP(RANK(KE18,$KE$10:$KE$109),Sheet1!$A$381:$B$480,2,FALSE)</f>
        <v>30th</v>
      </c>
      <c r="KH18" s="186"/>
      <c r="KI18" s="186"/>
      <c r="KJ18" s="186">
        <f t="shared" si="139"/>
        <v>0</v>
      </c>
      <c r="KK18" s="186" t="str">
        <f t="shared" si="140"/>
        <v>78</v>
      </c>
      <c r="KL18" s="186" t="str">
        <f t="shared" si="141"/>
        <v>60</v>
      </c>
      <c r="KM18" s="186">
        <f t="shared" si="215"/>
        <v>138</v>
      </c>
      <c r="KN18" s="186">
        <f t="shared" si="216"/>
        <v>46</v>
      </c>
      <c r="KO18" s="135" t="str">
        <f t="shared" si="142"/>
        <v>D</v>
      </c>
      <c r="KP18" s="151" t="str">
        <f>VLOOKUP(RANK(KN18,$KN$10:$KN$109),Sheet1!$A$381:$B$480,2,FALSE)</f>
        <v>19th</v>
      </c>
      <c r="KQ18" s="186"/>
      <c r="KR18" s="186"/>
      <c r="KS18" s="186">
        <f t="shared" si="143"/>
        <v>0</v>
      </c>
      <c r="KT18" s="186" t="str">
        <f t="shared" si="144"/>
        <v>0</v>
      </c>
      <c r="KU18" s="186" t="str">
        <f t="shared" si="145"/>
        <v>0</v>
      </c>
      <c r="KV18" s="186">
        <f t="shared" si="217"/>
        <v>0</v>
      </c>
      <c r="KW18" s="186">
        <f t="shared" si="218"/>
        <v>0</v>
      </c>
      <c r="KX18" s="135" t="str">
        <f t="shared" si="146"/>
        <v>F</v>
      </c>
      <c r="KY18" s="151" t="str">
        <f>VLOOKUP(RANK(KW18,$KW$10:$KW$109),Sheet1!$A$381:$B$480,2,FALSE)</f>
        <v>1st</v>
      </c>
      <c r="KZ18" s="186"/>
      <c r="LA18" s="186"/>
      <c r="LB18" s="186">
        <f t="shared" si="147"/>
        <v>0</v>
      </c>
      <c r="LC18" s="186" t="str">
        <f t="shared" si="148"/>
        <v>0</v>
      </c>
      <c r="LD18" s="186" t="str">
        <f t="shared" si="149"/>
        <v>0</v>
      </c>
      <c r="LE18" s="186">
        <f t="shared" si="219"/>
        <v>0</v>
      </c>
      <c r="LF18" s="186">
        <f t="shared" si="220"/>
        <v>0</v>
      </c>
      <c r="LG18" s="135" t="str">
        <f t="shared" si="150"/>
        <v>F</v>
      </c>
      <c r="LH18" s="151" t="str">
        <f>VLOOKUP(RANK(LF18,$LF$10:$LF$109),Sheet1!$A$381:$B$480,2,FALSE)</f>
        <v>1st</v>
      </c>
      <c r="LI18" s="186"/>
      <c r="LJ18" s="186"/>
      <c r="LK18" s="186">
        <f t="shared" si="151"/>
        <v>0</v>
      </c>
      <c r="LL18" s="186" t="str">
        <f t="shared" si="152"/>
        <v>50</v>
      </c>
      <c r="LM18" s="186" t="str">
        <f t="shared" si="153"/>
        <v>57</v>
      </c>
      <c r="LN18" s="186">
        <f t="shared" si="221"/>
        <v>107</v>
      </c>
      <c r="LO18" s="186">
        <f t="shared" si="222"/>
        <v>35.6666666666667</v>
      </c>
      <c r="LP18" s="135" t="str">
        <f t="shared" si="154"/>
        <v>E</v>
      </c>
      <c r="LQ18" s="151" t="str">
        <f>VLOOKUP(RANK(LO18,$LO$10:$LO$109),Sheet1!$A$381:$B$480,2,FALSE)</f>
        <v>33rd</v>
      </c>
      <c r="LR18" s="186"/>
      <c r="LS18" s="186"/>
      <c r="LT18" s="186">
        <f t="shared" si="155"/>
        <v>0</v>
      </c>
      <c r="LU18" s="186" t="str">
        <f t="shared" si="156"/>
        <v>51</v>
      </c>
      <c r="LV18" s="186" t="str">
        <f t="shared" si="157"/>
        <v>50</v>
      </c>
      <c r="LW18" s="186">
        <f t="shared" si="223"/>
        <v>101</v>
      </c>
      <c r="LX18" s="186">
        <f t="shared" si="224"/>
        <v>33.6666666666667</v>
      </c>
      <c r="LY18" s="135" t="str">
        <f t="shared" si="158"/>
        <v>F</v>
      </c>
      <c r="LZ18" s="151" t="str">
        <f>VLOOKUP(RANK(LX18,$LX$10:$LX$109),Sheet1!$A$381:$B$480,2,FALSE)</f>
        <v>53rd</v>
      </c>
      <c r="MA18" s="186"/>
      <c r="MB18" s="186"/>
      <c r="MC18" s="186">
        <f t="shared" si="159"/>
        <v>0</v>
      </c>
      <c r="MD18" s="186" t="str">
        <f t="shared" si="160"/>
        <v>35</v>
      </c>
      <c r="ME18" s="186" t="str">
        <f t="shared" si="161"/>
        <v>50</v>
      </c>
      <c r="MF18" s="183">
        <f t="shared" si="225"/>
        <v>85</v>
      </c>
      <c r="MG18" s="151">
        <f t="shared" si="226"/>
        <v>28.3333333333333</v>
      </c>
      <c r="MH18" s="135" t="str">
        <f t="shared" si="162"/>
        <v>F</v>
      </c>
      <c r="MI18" s="151" t="str">
        <f>VLOOKUP(RANK(MG18,$MG$10:$MG$109),Sheet1!$A$381:$B$480,2,FALSE)</f>
        <v>36th</v>
      </c>
      <c r="MJ18" s="186"/>
      <c r="MK18" s="186"/>
      <c r="ML18" s="186">
        <f t="shared" si="163"/>
        <v>0</v>
      </c>
      <c r="MM18" s="186" t="str">
        <f t="shared" si="164"/>
        <v>48</v>
      </c>
      <c r="MN18" s="186" t="str">
        <f t="shared" si="165"/>
        <v>47</v>
      </c>
      <c r="MO18" s="186">
        <f t="shared" si="227"/>
        <v>95</v>
      </c>
      <c r="MP18" s="186">
        <f t="shared" si="228"/>
        <v>31.6666666666667</v>
      </c>
      <c r="MQ18" s="135" t="str">
        <f t="shared" si="166"/>
        <v>F</v>
      </c>
      <c r="MR18" s="151" t="str">
        <f>VLOOKUP(RANK(MP18,$MP$10:$MP$109),Sheet1!$A$381:$B$480,2,FALSE)</f>
        <v>61st</v>
      </c>
      <c r="MS18" s="186"/>
      <c r="MT18" s="186"/>
      <c r="MU18" s="186">
        <f t="shared" si="167"/>
        <v>0</v>
      </c>
      <c r="MV18" s="186" t="str">
        <f t="shared" si="168"/>
        <v>57</v>
      </c>
      <c r="MW18" s="186" t="str">
        <f t="shared" si="169"/>
        <v>62</v>
      </c>
      <c r="MX18" s="186">
        <f t="shared" si="229"/>
        <v>119</v>
      </c>
      <c r="MY18" s="186">
        <f t="shared" si="230"/>
        <v>39.6666666666667</v>
      </c>
      <c r="MZ18" s="135" t="str">
        <f t="shared" si="170"/>
        <v>E</v>
      </c>
      <c r="NA18" s="151" t="str">
        <f>VLOOKUP(RANK(MY18,$MY$10:$MY$109),Sheet1!$A$381:$B$480,2,FALSE)</f>
        <v>24th</v>
      </c>
      <c r="NB18" s="186"/>
      <c r="NC18" s="186"/>
      <c r="ND18" s="186">
        <f t="shared" si="171"/>
        <v>0</v>
      </c>
      <c r="NE18" s="186" t="str">
        <f t="shared" si="172"/>
        <v>39</v>
      </c>
      <c r="NF18" s="186" t="str">
        <f t="shared" si="173"/>
        <v>40</v>
      </c>
      <c r="NG18" s="186">
        <f t="shared" si="231"/>
        <v>79</v>
      </c>
      <c r="NH18" s="186">
        <f t="shared" si="232"/>
        <v>26.3333333333333</v>
      </c>
      <c r="NI18" s="135" t="str">
        <f t="shared" si="174"/>
        <v>F</v>
      </c>
      <c r="NJ18" s="151" t="str">
        <f>VLOOKUP(RANK(NH18,$NH$10:$NH$109),Sheet1!$A$381:$B$480,2,FALSE)</f>
        <v>67th</v>
      </c>
      <c r="NK18" s="186"/>
      <c r="NL18" s="186"/>
      <c r="NM18" s="186">
        <f t="shared" si="175"/>
        <v>0</v>
      </c>
      <c r="NN18" s="186" t="str">
        <f t="shared" si="176"/>
        <v>58</v>
      </c>
      <c r="NO18" s="186" t="str">
        <f t="shared" si="177"/>
        <v>59</v>
      </c>
      <c r="NP18" s="186">
        <f t="shared" si="233"/>
        <v>117</v>
      </c>
      <c r="NQ18" s="186">
        <f t="shared" si="178"/>
        <v>39</v>
      </c>
      <c r="NR18" s="135" t="str">
        <f t="shared" si="179"/>
        <v>E</v>
      </c>
      <c r="NS18" s="151" t="str">
        <f>VLOOKUP(RANK(NQ18,$NQ$10:$NQ$109),Sheet1!$A$381:$B$480,2,FALSE)</f>
        <v>77th</v>
      </c>
      <c r="NT18" s="186"/>
      <c r="NU18" s="186"/>
      <c r="NV18" s="186">
        <f t="shared" si="180"/>
        <v>0</v>
      </c>
      <c r="NW18" s="186" t="str">
        <f t="shared" si="181"/>
        <v>0</v>
      </c>
      <c r="NX18" s="186" t="str">
        <f t="shared" si="182"/>
        <v>0</v>
      </c>
      <c r="NY18" s="186">
        <f t="shared" si="234"/>
        <v>0</v>
      </c>
      <c r="NZ18" s="186">
        <f t="shared" si="183"/>
        <v>0</v>
      </c>
      <c r="OA18" s="135" t="str">
        <f t="shared" si="184"/>
        <v>F</v>
      </c>
      <c r="OB18" s="151" t="str">
        <f>VLOOKUP(RANK(NZ18,$NZ$10:$NZ$109),Sheet1!$A$381:$B$480,2,FALSE)</f>
        <v>1st</v>
      </c>
      <c r="OC18" s="186"/>
      <c r="OD18" s="186"/>
      <c r="OE18" s="186">
        <f t="shared" si="185"/>
        <v>0</v>
      </c>
      <c r="OF18" s="186" t="str">
        <f t="shared" si="186"/>
        <v>0</v>
      </c>
      <c r="OG18" s="186" t="str">
        <f t="shared" si="187"/>
        <v>0</v>
      </c>
      <c r="OH18" s="186">
        <f t="shared" si="235"/>
        <v>0</v>
      </c>
      <c r="OI18" s="186">
        <f t="shared" si="236"/>
        <v>0</v>
      </c>
      <c r="OJ18" s="135" t="str">
        <f t="shared" si="188"/>
        <v>F</v>
      </c>
      <c r="OK18" s="151" t="str">
        <f>VLOOKUP(RANK(OI18,$OI$10:$OI$109),Sheet1!$A$381:$B$480,2,FALSE)</f>
        <v>1st</v>
      </c>
      <c r="OL18" s="151"/>
      <c r="OM18" s="151"/>
      <c r="ON18" s="151">
        <f t="shared" si="237"/>
        <v>0</v>
      </c>
      <c r="OO18" s="151" t="str">
        <f t="shared" si="238"/>
        <v>0</v>
      </c>
      <c r="OP18" s="151" t="str">
        <f t="shared" si="239"/>
        <v>0</v>
      </c>
      <c r="OQ18" s="151">
        <f t="shared" si="240"/>
        <v>0</v>
      </c>
      <c r="OR18" s="151">
        <f t="shared" si="241"/>
        <v>0</v>
      </c>
      <c r="OS18" s="135" t="str">
        <f t="shared" si="189"/>
        <v>F</v>
      </c>
      <c r="OT18" s="151" t="str">
        <f>VLOOKUP(RANK(OR18,$OI$10:$OI$109),Sheet1!$A$381:$B$480,2,FALSE)</f>
        <v>1st</v>
      </c>
      <c r="OU18" s="151">
        <f t="shared" si="242"/>
        <v>432.33333333333297</v>
      </c>
      <c r="OV18" s="151">
        <f t="shared" si="243"/>
        <v>25.431372549019599</v>
      </c>
      <c r="OW18" s="151" t="str">
        <f>VLOOKUP(RANK(OV18,$OV$10:$OV$109),Sheet1!$A$381:$B$480,2,FALSE)</f>
        <v>39th</v>
      </c>
      <c r="OX18" s="151"/>
      <c r="OY18" s="186"/>
      <c r="OZ18" s="186"/>
      <c r="PA18" s="186"/>
      <c r="PB18" s="186"/>
    </row>
    <row r="19" spans="1:418" s="118" customFormat="1" ht="18.75">
      <c r="A19" s="131">
        <v>10</v>
      </c>
      <c r="B19" s="132" t="s">
        <v>107</v>
      </c>
      <c r="C19" s="133" t="s">
        <v>97</v>
      </c>
      <c r="D19" s="134">
        <v>24</v>
      </c>
      <c r="E19" s="134">
        <v>46</v>
      </c>
      <c r="F19" s="137">
        <f t="shared" si="0"/>
        <v>70</v>
      </c>
      <c r="G19" s="137">
        <f t="shared" si="1"/>
        <v>70</v>
      </c>
      <c r="H19" s="135" t="str">
        <f t="shared" si="190"/>
        <v>B</v>
      </c>
      <c r="I19" s="135" t="str">
        <f>VLOOKUP(RANK(G19,$G$10:$G$109),Sheet1!$A$381:$B$480,2,FALSE)</f>
        <v>36th</v>
      </c>
      <c r="J19" s="134">
        <v>28</v>
      </c>
      <c r="K19" s="134">
        <v>25</v>
      </c>
      <c r="L19" s="137">
        <f t="shared" si="2"/>
        <v>53</v>
      </c>
      <c r="M19" s="137">
        <f t="shared" si="3"/>
        <v>53</v>
      </c>
      <c r="N19" s="135" t="str">
        <f t="shared" si="4"/>
        <v>C</v>
      </c>
      <c r="O19" s="141" t="str">
        <f>VLOOKUP(RANK(M19,$M$10:$M$109),Sheet1!$A$381:$B$480,2,FALSE)</f>
        <v>45th</v>
      </c>
      <c r="P19" s="142">
        <v>26</v>
      </c>
      <c r="Q19" s="145">
        <v>15</v>
      </c>
      <c r="R19" s="147">
        <f t="shared" si="5"/>
        <v>41</v>
      </c>
      <c r="S19" s="137">
        <f t="shared" si="6"/>
        <v>41</v>
      </c>
      <c r="T19" s="135" t="str">
        <f t="shared" si="7"/>
        <v>D</v>
      </c>
      <c r="U19" s="135" t="str">
        <f>VLOOKUP(RANK(S19,$S$10:$S$109),Sheet1!$A$381:$B$480,2,FALSE)</f>
        <v>54th</v>
      </c>
      <c r="V19" s="134">
        <v>25</v>
      </c>
      <c r="W19" s="134">
        <v>5</v>
      </c>
      <c r="X19" s="137">
        <f t="shared" si="191"/>
        <v>30</v>
      </c>
      <c r="Y19" s="137">
        <f t="shared" si="244"/>
        <v>30</v>
      </c>
      <c r="Z19" s="135" t="str">
        <f t="shared" si="8"/>
        <v>F</v>
      </c>
      <c r="AA19" s="135" t="str">
        <f>VLOOKUP(RANK(Y19,$Y$10:$Y$109),Sheet1!$A$381:$B$480,2,FALSE)</f>
        <v>95th</v>
      </c>
      <c r="AB19" s="134">
        <v>28</v>
      </c>
      <c r="AC19" s="134">
        <v>10</v>
      </c>
      <c r="AD19" s="137">
        <f t="shared" si="9"/>
        <v>38</v>
      </c>
      <c r="AE19" s="137">
        <f t="shared" si="10"/>
        <v>38</v>
      </c>
      <c r="AF19" s="135" t="str">
        <f t="shared" si="11"/>
        <v>E</v>
      </c>
      <c r="AG19" s="135" t="str">
        <f>VLOOKUP(RANK(AE19,$AE$10:$AE$109),Sheet1!$A$381:$B$480,2,FALSE)</f>
        <v>81st</v>
      </c>
      <c r="AH19" s="137"/>
      <c r="AI19" s="137"/>
      <c r="AJ19" s="137">
        <f t="shared" si="12"/>
        <v>0</v>
      </c>
      <c r="AK19" s="137">
        <f t="shared" si="13"/>
        <v>0</v>
      </c>
      <c r="AL19" s="135" t="str">
        <f t="shared" si="14"/>
        <v>F</v>
      </c>
      <c r="AM19" s="135" t="str">
        <f>VLOOKUP(RANK(AK19,$AK$10:$AK$109),Sheet1!$A$381:$B$480,2,FALSE)</f>
        <v>1st</v>
      </c>
      <c r="AN19" s="134"/>
      <c r="AO19" s="134"/>
      <c r="AP19" s="137">
        <f t="shared" si="15"/>
        <v>0</v>
      </c>
      <c r="AQ19" s="137">
        <f t="shared" si="16"/>
        <v>0</v>
      </c>
      <c r="AR19" s="135" t="str">
        <f t="shared" si="17"/>
        <v>F</v>
      </c>
      <c r="AS19" s="135" t="str">
        <f>VLOOKUP(RANK(AQ19,$AQ$10:$AQ$109),Sheet1!$A$381:$B$480,2,FALSE)</f>
        <v>1st</v>
      </c>
      <c r="AT19" s="142">
        <v>25</v>
      </c>
      <c r="AU19" s="145">
        <v>25</v>
      </c>
      <c r="AV19" s="137">
        <f t="shared" si="18"/>
        <v>50</v>
      </c>
      <c r="AW19" s="137">
        <f t="shared" si="19"/>
        <v>50</v>
      </c>
      <c r="AX19" s="135" t="str">
        <f t="shared" si="20"/>
        <v>C</v>
      </c>
      <c r="AY19" s="141" t="str">
        <f>VLOOKUP(RANK(AW19,$AW$10:$AW$109),Sheet1!$A$381:$B$480,2,FALSE)</f>
        <v>58th</v>
      </c>
      <c r="AZ19" s="142">
        <v>30</v>
      </c>
      <c r="BA19" s="145">
        <v>10</v>
      </c>
      <c r="BB19" s="147">
        <f t="shared" si="21"/>
        <v>40</v>
      </c>
      <c r="BC19" s="137">
        <f t="shared" si="22"/>
        <v>40</v>
      </c>
      <c r="BD19" s="135" t="str">
        <f t="shared" si="23"/>
        <v>D</v>
      </c>
      <c r="BE19" s="135" t="str">
        <f>VLOOKUP(RANK(BC19,$BC$10:$BC$109),Sheet1!$A$381:$B$480,2,FALSE)</f>
        <v>85th</v>
      </c>
      <c r="BF19" s="142">
        <v>12</v>
      </c>
      <c r="BG19" s="145">
        <v>12</v>
      </c>
      <c r="BH19" s="137">
        <f t="shared" si="24"/>
        <v>24</v>
      </c>
      <c r="BI19" s="137">
        <f t="shared" si="25"/>
        <v>24</v>
      </c>
      <c r="BJ19" s="135" t="str">
        <f t="shared" si="26"/>
        <v>F</v>
      </c>
      <c r="BK19" s="141" t="str">
        <f>VLOOKUP(RANK(BI19,$BI$10:$BI$109),Sheet1!$A$381:$B$480,2,FALSE)</f>
        <v>83rd</v>
      </c>
      <c r="BL19" s="148">
        <v>25</v>
      </c>
      <c r="BM19" s="150">
        <v>26</v>
      </c>
      <c r="BN19" s="147">
        <f t="shared" si="27"/>
        <v>51</v>
      </c>
      <c r="BO19" s="137">
        <f t="shared" si="28"/>
        <v>51</v>
      </c>
      <c r="BP19" s="135" t="str">
        <f t="shared" si="29"/>
        <v>C</v>
      </c>
      <c r="BQ19" s="141" t="str">
        <f>VLOOKUP(RANK(BO19,$BO$10:$BO$109),Sheet1!$A$381:$B$480,2,FALSE)</f>
        <v>69th</v>
      </c>
      <c r="BR19" s="148">
        <v>29</v>
      </c>
      <c r="BS19" s="150">
        <v>6</v>
      </c>
      <c r="BT19" s="147">
        <f t="shared" si="30"/>
        <v>35</v>
      </c>
      <c r="BU19" s="137">
        <f t="shared" si="31"/>
        <v>35</v>
      </c>
      <c r="BV19" s="135" t="str">
        <f t="shared" si="32"/>
        <v>E</v>
      </c>
      <c r="BW19" s="135" t="str">
        <f>VLOOKUP(RANK(BU19,$BU$10:$BU$109),Sheet1!$A$381:$B$480,2,FALSE)</f>
        <v>81st</v>
      </c>
      <c r="BX19" s="148">
        <v>27</v>
      </c>
      <c r="BY19" s="150">
        <v>12</v>
      </c>
      <c r="BZ19" s="137">
        <f t="shared" si="33"/>
        <v>39</v>
      </c>
      <c r="CA19" s="137">
        <f t="shared" si="34"/>
        <v>39</v>
      </c>
      <c r="CB19" s="135" t="str">
        <f t="shared" si="35"/>
        <v>E</v>
      </c>
      <c r="CC19" s="135" t="str">
        <f>VLOOKUP(RANK(CA19,$CA$10:$CA$109),Sheet1!$A$381:$B$480,2,FALSE)</f>
        <v>53rd</v>
      </c>
      <c r="CD19" s="148">
        <v>25</v>
      </c>
      <c r="CE19" s="150">
        <v>30</v>
      </c>
      <c r="CF19" s="137">
        <f t="shared" si="36"/>
        <v>55</v>
      </c>
      <c r="CG19" s="137">
        <f t="shared" si="37"/>
        <v>55</v>
      </c>
      <c r="CH19" s="135" t="str">
        <f t="shared" si="38"/>
        <v>C</v>
      </c>
      <c r="CI19" s="135" t="str">
        <f>VLOOKUP(RANK(CG19,$CG$10:$CG$109),Sheet1!$A$381:$B$480,2,FALSE)</f>
        <v>46th</v>
      </c>
      <c r="CJ19" s="137"/>
      <c r="CK19" s="137"/>
      <c r="CL19" s="137">
        <f t="shared" si="39"/>
        <v>0</v>
      </c>
      <c r="CM19" s="137">
        <f t="shared" si="40"/>
        <v>0</v>
      </c>
      <c r="CN19" s="135" t="str">
        <f t="shared" si="41"/>
        <v>F</v>
      </c>
      <c r="CO19" s="135" t="str">
        <f>VLOOKUP(RANK(CM19,$CM$10:$CM$109),Sheet1!$A$381:$B$480,2,FALSE)</f>
        <v>1st</v>
      </c>
      <c r="CP19" s="137"/>
      <c r="CQ19" s="137"/>
      <c r="CR19" s="137">
        <f t="shared" si="42"/>
        <v>0</v>
      </c>
      <c r="CS19" s="137">
        <f t="shared" si="43"/>
        <v>0</v>
      </c>
      <c r="CT19" s="135" t="str">
        <f t="shared" si="44"/>
        <v>F</v>
      </c>
      <c r="CU19" s="135" t="str">
        <f>VLOOKUP(RANK(CS19,$CS$10:$CS$109),Sheet1!$A$381:$B$480,2,FALSE)</f>
        <v>1st</v>
      </c>
      <c r="CV19" s="151"/>
      <c r="CW19" s="135"/>
      <c r="CX19" s="151">
        <f t="shared" si="192"/>
        <v>0</v>
      </c>
      <c r="CY19" s="151">
        <f t="shared" si="193"/>
        <v>0</v>
      </c>
      <c r="CZ19" s="135" t="str">
        <f t="shared" si="45"/>
        <v>F</v>
      </c>
      <c r="DA19" s="135" t="str">
        <f>VLOOKUP(RANK(CY19,$CY$10:$CY$109),Sheet1!$A$381:$B$480,2,FALSE)</f>
        <v>1st</v>
      </c>
      <c r="DB19" s="135"/>
      <c r="DC19" s="151">
        <f t="shared" si="194"/>
        <v>526</v>
      </c>
      <c r="DD19" s="151">
        <f t="shared" si="195"/>
        <v>30.9411764705882</v>
      </c>
      <c r="DE19" s="135" t="str">
        <f>VLOOKUP(RANK(DD19,$DD$10:$DD$109),Sheet1!$A$381:$B$480,2,FALSE)</f>
        <v>88th</v>
      </c>
      <c r="DF19" s="137"/>
      <c r="DG19" s="160">
        <f t="shared" si="46"/>
        <v>556.94117647058795</v>
      </c>
      <c r="DH19" s="119"/>
      <c r="DI19" s="162">
        <v>22</v>
      </c>
      <c r="DJ19" s="162">
        <v>47</v>
      </c>
      <c r="DK19" s="137">
        <f t="shared" si="47"/>
        <v>69</v>
      </c>
      <c r="DL19" s="137" t="str">
        <f t="shared" si="48"/>
        <v>70</v>
      </c>
      <c r="DM19" s="137">
        <f t="shared" si="49"/>
        <v>139</v>
      </c>
      <c r="DN19" s="137">
        <f t="shared" si="50"/>
        <v>69.5</v>
      </c>
      <c r="DO19" s="135" t="str">
        <f t="shared" si="51"/>
        <v>B</v>
      </c>
      <c r="DP19" s="135" t="str">
        <f>VLOOKUP(RANK(DN19,$DN$10:$DN$109),Sheet1!$A$381:$B$480,2,FALSE)</f>
        <v>43rd</v>
      </c>
      <c r="DQ19" s="164">
        <v>32</v>
      </c>
      <c r="DR19" s="165">
        <v>15</v>
      </c>
      <c r="DS19" s="137">
        <f t="shared" si="52"/>
        <v>47</v>
      </c>
      <c r="DT19" s="137" t="str">
        <f t="shared" si="53"/>
        <v>53</v>
      </c>
      <c r="DU19" s="137">
        <f t="shared" si="54"/>
        <v>100</v>
      </c>
      <c r="DV19" s="137">
        <f t="shared" si="55"/>
        <v>50</v>
      </c>
      <c r="DW19" s="135" t="str">
        <f t="shared" si="56"/>
        <v>C</v>
      </c>
      <c r="DX19" s="135" t="str">
        <f>VLOOKUP(RANK(DV19,$DV$10:$DV$109),Sheet1!$A$381:$B$480,2,FALSE)</f>
        <v>44th</v>
      </c>
      <c r="DY19" s="167">
        <v>31</v>
      </c>
      <c r="DZ19" s="165">
        <v>20</v>
      </c>
      <c r="EA19" s="137">
        <f t="shared" si="57"/>
        <v>51</v>
      </c>
      <c r="EB19" s="137" t="str">
        <f t="shared" si="58"/>
        <v>41</v>
      </c>
      <c r="EC19" s="137">
        <f t="shared" si="59"/>
        <v>92</v>
      </c>
      <c r="ED19" s="137">
        <f t="shared" si="60"/>
        <v>46</v>
      </c>
      <c r="EE19" s="135" t="str">
        <f t="shared" si="61"/>
        <v>D</v>
      </c>
      <c r="EF19" s="135" t="str">
        <f>VLOOKUP(RANK(ED19,$ED$10:$ED$109),Sheet1!$A$381:$B$480,2,FALSE)</f>
        <v>49th</v>
      </c>
      <c r="EG19" s="162">
        <v>23</v>
      </c>
      <c r="EH19" s="162">
        <v>31</v>
      </c>
      <c r="EI19" s="137">
        <f t="shared" si="62"/>
        <v>54</v>
      </c>
      <c r="EJ19" s="137" t="str">
        <f t="shared" si="63"/>
        <v>30</v>
      </c>
      <c r="EK19" s="137">
        <f t="shared" si="64"/>
        <v>84</v>
      </c>
      <c r="EL19" s="137">
        <f t="shared" si="65"/>
        <v>42</v>
      </c>
      <c r="EM19" s="135" t="str">
        <f t="shared" si="66"/>
        <v>D</v>
      </c>
      <c r="EN19" s="135" t="str">
        <f>VLOOKUP(RANK(EL19,$EL$10:$EL$109),Sheet1!$A$381:$B$480,2,FALSE)</f>
        <v>81st</v>
      </c>
      <c r="EO19" s="162">
        <v>23</v>
      </c>
      <c r="EP19" s="162">
        <v>16</v>
      </c>
      <c r="EQ19" s="137">
        <f t="shared" si="67"/>
        <v>39</v>
      </c>
      <c r="ER19" s="137" t="str">
        <f t="shared" si="68"/>
        <v>38</v>
      </c>
      <c r="ES19" s="137">
        <f t="shared" si="69"/>
        <v>77</v>
      </c>
      <c r="ET19" s="137">
        <f t="shared" si="70"/>
        <v>38.5</v>
      </c>
      <c r="EU19" s="135" t="str">
        <f t="shared" si="71"/>
        <v>E</v>
      </c>
      <c r="EV19" s="135" t="str">
        <f>VLOOKUP(RANK(ET19,$ET$10:$ET$109),Sheet1!$A$381:$B$480,2,FALSE)</f>
        <v>77th</v>
      </c>
      <c r="EW19" s="137"/>
      <c r="EX19" s="137"/>
      <c r="EY19" s="137">
        <f t="shared" si="72"/>
        <v>0</v>
      </c>
      <c r="EZ19" s="137" t="str">
        <f t="shared" si="73"/>
        <v>0</v>
      </c>
      <c r="FA19" s="137">
        <f t="shared" si="74"/>
        <v>0</v>
      </c>
      <c r="FB19" s="137">
        <f t="shared" si="75"/>
        <v>0</v>
      </c>
      <c r="FC19" s="135" t="str">
        <f t="shared" si="76"/>
        <v>F</v>
      </c>
      <c r="FD19" s="135" t="str">
        <f>VLOOKUP(RANK(FB19,$FB$10:$FB$109),Sheet1!$A$381:$B$480,2,FALSE)</f>
        <v>1st</v>
      </c>
      <c r="FE19" s="137"/>
      <c r="FF19" s="137"/>
      <c r="FG19" s="137">
        <f t="shared" si="77"/>
        <v>0</v>
      </c>
      <c r="FH19" s="137" t="str">
        <f t="shared" si="78"/>
        <v>0</v>
      </c>
      <c r="FI19" s="137">
        <f t="shared" si="79"/>
        <v>0</v>
      </c>
      <c r="FJ19" s="137">
        <f t="shared" si="80"/>
        <v>0</v>
      </c>
      <c r="FK19" s="135" t="str">
        <f t="shared" si="81"/>
        <v>F</v>
      </c>
      <c r="FL19" s="135" t="str">
        <f>VLOOKUP(RANK(FJ19,$FJ$10:$FJ$109),Sheet1!$A$381:$B$480,2,FALSE)</f>
        <v>1st</v>
      </c>
      <c r="FM19" s="164">
        <v>28</v>
      </c>
      <c r="FN19" s="165">
        <v>20</v>
      </c>
      <c r="FO19" s="137">
        <f t="shared" si="82"/>
        <v>48</v>
      </c>
      <c r="FP19" s="137" t="str">
        <f t="shared" si="83"/>
        <v>50</v>
      </c>
      <c r="FQ19" s="137">
        <f t="shared" si="84"/>
        <v>98</v>
      </c>
      <c r="FR19" s="137">
        <f t="shared" si="85"/>
        <v>49</v>
      </c>
      <c r="FS19" s="135" t="str">
        <f t="shared" si="86"/>
        <v>D</v>
      </c>
      <c r="FT19" s="135" t="str">
        <f>VLOOKUP(RANK(FR19,$FR$10:$FR$109),Sheet1!$A$381:$B$480,2,FALSE)</f>
        <v>95th</v>
      </c>
      <c r="FU19" s="148">
        <v>18</v>
      </c>
      <c r="FV19" s="150">
        <v>18</v>
      </c>
      <c r="FW19" s="137">
        <f t="shared" si="87"/>
        <v>36</v>
      </c>
      <c r="FX19" s="137" t="str">
        <f t="shared" si="88"/>
        <v>40</v>
      </c>
      <c r="FY19" s="137">
        <f t="shared" si="196"/>
        <v>36</v>
      </c>
      <c r="FZ19" s="137">
        <f t="shared" si="89"/>
        <v>18</v>
      </c>
      <c r="GA19" s="135" t="str">
        <f t="shared" si="90"/>
        <v>F</v>
      </c>
      <c r="GB19" s="135" t="str">
        <f>VLOOKUP(RANK(FZ19,$FZ$10:$FZ$109),Sheet1!$A$381:$B$480,2,FALSE)</f>
        <v>82nd</v>
      </c>
      <c r="GC19" s="164">
        <v>11</v>
      </c>
      <c r="GD19" s="165">
        <v>25</v>
      </c>
      <c r="GE19" s="137">
        <f t="shared" si="91"/>
        <v>36</v>
      </c>
      <c r="GF19" s="137" t="str">
        <f t="shared" si="92"/>
        <v>24</v>
      </c>
      <c r="GG19" s="135">
        <f t="shared" si="197"/>
        <v>60</v>
      </c>
      <c r="GH19" s="137">
        <f t="shared" si="198"/>
        <v>30</v>
      </c>
      <c r="GI19" s="135" t="str">
        <f t="shared" si="93"/>
        <v>F</v>
      </c>
      <c r="GJ19" s="135" t="str">
        <f>VLOOKUP(RANK(GH19,$GH$10:$GH$109),Sheet1!$A$381:$B$480,2,FALSE)</f>
        <v>80th</v>
      </c>
      <c r="GK19" s="164">
        <v>25</v>
      </c>
      <c r="GL19" s="165">
        <v>19</v>
      </c>
      <c r="GM19" s="137">
        <f t="shared" si="94"/>
        <v>44</v>
      </c>
      <c r="GN19" s="137" t="str">
        <f t="shared" si="95"/>
        <v>51</v>
      </c>
      <c r="GO19" s="135">
        <f t="shared" si="199"/>
        <v>95</v>
      </c>
      <c r="GP19" s="137">
        <f t="shared" si="96"/>
        <v>47.5</v>
      </c>
      <c r="GQ19" s="135" t="str">
        <f t="shared" si="97"/>
        <v>D</v>
      </c>
      <c r="GR19" s="135" t="str">
        <f>VLOOKUP(RANK(GP19,$GP$10:$GP$109),Sheet1!$A$381:$B$480,2,FALSE)</f>
        <v>61st</v>
      </c>
      <c r="GS19" s="164">
        <v>22</v>
      </c>
      <c r="GT19" s="165">
        <v>28</v>
      </c>
      <c r="GU19" s="137">
        <f t="shared" si="98"/>
        <v>50</v>
      </c>
      <c r="GV19" s="137" t="str">
        <f t="shared" si="99"/>
        <v>35</v>
      </c>
      <c r="GW19" s="137">
        <f t="shared" si="100"/>
        <v>85</v>
      </c>
      <c r="GX19" s="137">
        <f t="shared" si="101"/>
        <v>42.5</v>
      </c>
      <c r="GY19" s="135" t="str">
        <f t="shared" si="102"/>
        <v>D</v>
      </c>
      <c r="GZ19" s="135" t="str">
        <f>VLOOKUP(RANK(GX19,$GX$10:$GX$109),Sheet1!$A$381:$B$480,2,FALSE)</f>
        <v>67th</v>
      </c>
      <c r="HA19" s="164">
        <v>30</v>
      </c>
      <c r="HB19" s="165">
        <v>17</v>
      </c>
      <c r="HC19" s="137">
        <f t="shared" si="103"/>
        <v>47</v>
      </c>
      <c r="HD19" s="137" t="str">
        <f t="shared" si="104"/>
        <v>39</v>
      </c>
      <c r="HE19" s="137">
        <f t="shared" si="105"/>
        <v>86</v>
      </c>
      <c r="HF19" s="137">
        <f t="shared" si="106"/>
        <v>43</v>
      </c>
      <c r="HG19" s="135" t="str">
        <f t="shared" si="107"/>
        <v>D</v>
      </c>
      <c r="HH19" s="135" t="str">
        <f>VLOOKUP(RANK(HF19,$HF$10:$HF$109),Sheet1!$A$381:$B$480,2,FALSE)</f>
        <v>36th</v>
      </c>
      <c r="HI19" s="148">
        <v>25</v>
      </c>
      <c r="HJ19" s="150">
        <v>40</v>
      </c>
      <c r="HK19" s="137">
        <f t="shared" si="108"/>
        <v>65</v>
      </c>
      <c r="HL19" s="137" t="str">
        <f t="shared" si="109"/>
        <v>55</v>
      </c>
      <c r="HM19" s="137">
        <f t="shared" si="110"/>
        <v>120</v>
      </c>
      <c r="HN19" s="137">
        <f t="shared" si="111"/>
        <v>60</v>
      </c>
      <c r="HO19" s="135" t="str">
        <f t="shared" si="112"/>
        <v>B</v>
      </c>
      <c r="HP19" s="135" t="str">
        <f>VLOOKUP(RANK(HN19,$HN$10:$HN$109),Sheet1!$A$381:$B$480,2,FALSE)</f>
        <v>68th</v>
      </c>
      <c r="HQ19" s="137"/>
      <c r="HR19" s="137"/>
      <c r="HS19" s="137">
        <f t="shared" si="113"/>
        <v>0</v>
      </c>
      <c r="HT19" s="137" t="str">
        <f t="shared" si="114"/>
        <v>0</v>
      </c>
      <c r="HU19" s="137">
        <f t="shared" si="115"/>
        <v>0</v>
      </c>
      <c r="HV19" s="137">
        <f t="shared" si="116"/>
        <v>0</v>
      </c>
      <c r="HW19" s="135" t="str">
        <f t="shared" si="117"/>
        <v>F</v>
      </c>
      <c r="HX19" s="135" t="str">
        <f>VLOOKUP(RANK(HV19,$HV$10:$HV$109),Sheet1!$A$381:$B$480,2,FALSE)</f>
        <v>1st</v>
      </c>
      <c r="HY19" s="137"/>
      <c r="HZ19" s="137"/>
      <c r="IA19" s="137">
        <f t="shared" si="118"/>
        <v>0</v>
      </c>
      <c r="IB19" s="137" t="str">
        <f t="shared" si="119"/>
        <v>0</v>
      </c>
      <c r="IC19" s="137">
        <f t="shared" si="120"/>
        <v>0</v>
      </c>
      <c r="ID19" s="137">
        <f t="shared" si="121"/>
        <v>0</v>
      </c>
      <c r="IE19" s="135" t="str">
        <f t="shared" si="122"/>
        <v>F</v>
      </c>
      <c r="IF19" s="135" t="str">
        <f>VLOOKUP(RANK(ID19,$ID$10:$ID$109),Sheet1!$A$381:$B$480,2,FALSE)</f>
        <v>1st</v>
      </c>
      <c r="IG19" s="135"/>
      <c r="IH19" s="135"/>
      <c r="II19" s="135">
        <f t="shared" si="200"/>
        <v>0</v>
      </c>
      <c r="IJ19" s="135" t="str">
        <f t="shared" si="201"/>
        <v>0</v>
      </c>
      <c r="IK19" s="135">
        <f t="shared" si="202"/>
        <v>0</v>
      </c>
      <c r="IL19" s="135">
        <f t="shared" si="203"/>
        <v>0</v>
      </c>
      <c r="IM19" s="135" t="str">
        <f t="shared" si="123"/>
        <v>F</v>
      </c>
      <c r="IN19" s="135" t="str">
        <f>VLOOKUP(RANK(IL19,$IL$10:$IL$109),Sheet1!$A$381:$B$480,2,FALSE)</f>
        <v>1st</v>
      </c>
      <c r="IO19" s="135">
        <f t="shared" si="204"/>
        <v>536</v>
      </c>
      <c r="IP19" s="177">
        <f t="shared" si="205"/>
        <v>31.529411764705898</v>
      </c>
      <c r="IQ19" s="135" t="str">
        <f>VLOOKUP(RANK(IP19,$IP$10:$IP$109),Sheet1!$A$381:$B$480,2,FALSE)</f>
        <v>70th</v>
      </c>
      <c r="IR19" s="178"/>
      <c r="IS19" s="137"/>
      <c r="IT19" s="137"/>
      <c r="IU19" s="137"/>
      <c r="IV19" s="137"/>
      <c r="IW19" s="181"/>
      <c r="IX19" s="184"/>
      <c r="IY19" s="186"/>
      <c r="IZ19" s="186">
        <f t="shared" si="206"/>
        <v>0</v>
      </c>
      <c r="JA19" s="186" t="str">
        <f t="shared" si="124"/>
        <v>70</v>
      </c>
      <c r="JB19" s="186" t="str">
        <f t="shared" si="125"/>
        <v>69</v>
      </c>
      <c r="JC19" s="186">
        <f t="shared" si="207"/>
        <v>139</v>
      </c>
      <c r="JD19" s="186">
        <f t="shared" si="208"/>
        <v>46.3333333333333</v>
      </c>
      <c r="JE19" s="135" t="str">
        <f t="shared" si="126"/>
        <v>D</v>
      </c>
      <c r="JF19" s="151" t="str">
        <f>VLOOKUP(RANK(JD19,$JD$10:$JD$109),Sheet1!$A$381:$B$480,2,FALSE)</f>
        <v>43rd</v>
      </c>
      <c r="JG19" s="186"/>
      <c r="JH19" s="186"/>
      <c r="JI19" s="186">
        <f t="shared" si="127"/>
        <v>0</v>
      </c>
      <c r="JJ19" s="186" t="str">
        <f t="shared" si="128"/>
        <v>53</v>
      </c>
      <c r="JK19" s="186" t="str">
        <f t="shared" si="129"/>
        <v>47</v>
      </c>
      <c r="JL19" s="186">
        <f t="shared" si="209"/>
        <v>100</v>
      </c>
      <c r="JM19" s="186">
        <f t="shared" si="210"/>
        <v>33.3333333333333</v>
      </c>
      <c r="JN19" s="135" t="str">
        <f t="shared" si="130"/>
        <v>F</v>
      </c>
      <c r="JO19" s="151" t="str">
        <f>VLOOKUP(RANK(JM19,$JM$10:$JM$109),Sheet1!$A$381:$B$480,2,FALSE)</f>
        <v>44th</v>
      </c>
      <c r="JP19" s="186"/>
      <c r="JQ19" s="186"/>
      <c r="JR19" s="186">
        <f t="shared" si="131"/>
        <v>0</v>
      </c>
      <c r="JS19" s="186" t="str">
        <f t="shared" si="132"/>
        <v>41</v>
      </c>
      <c r="JT19" s="186" t="str">
        <f t="shared" si="133"/>
        <v>51</v>
      </c>
      <c r="JU19" s="186">
        <f t="shared" si="211"/>
        <v>92</v>
      </c>
      <c r="JV19" s="186">
        <f t="shared" si="212"/>
        <v>30.6666666666667</v>
      </c>
      <c r="JW19" s="135" t="str">
        <f t="shared" si="134"/>
        <v>F</v>
      </c>
      <c r="JX19" s="151" t="str">
        <f>VLOOKUP(RANK(JV19,$JV$10:$JV$109),Sheet1!$A$381:$B$480,2,FALSE)</f>
        <v>49th</v>
      </c>
      <c r="JY19" s="186"/>
      <c r="JZ19" s="186"/>
      <c r="KA19" s="186">
        <f t="shared" si="135"/>
        <v>0</v>
      </c>
      <c r="KB19" s="186" t="str">
        <f t="shared" si="136"/>
        <v>30</v>
      </c>
      <c r="KC19" s="186" t="str">
        <f t="shared" si="137"/>
        <v>54</v>
      </c>
      <c r="KD19" s="186">
        <f t="shared" si="213"/>
        <v>84</v>
      </c>
      <c r="KE19" s="186">
        <f t="shared" si="214"/>
        <v>28</v>
      </c>
      <c r="KF19" s="135" t="str">
        <f t="shared" si="138"/>
        <v>F</v>
      </c>
      <c r="KG19" s="151" t="str">
        <f>VLOOKUP(RANK(KE19,$KE$10:$KE$109),Sheet1!$A$381:$B$480,2,FALSE)</f>
        <v>81st</v>
      </c>
      <c r="KH19" s="186"/>
      <c r="KI19" s="186"/>
      <c r="KJ19" s="186">
        <f t="shared" si="139"/>
        <v>0</v>
      </c>
      <c r="KK19" s="186" t="str">
        <f t="shared" si="140"/>
        <v>38</v>
      </c>
      <c r="KL19" s="186" t="str">
        <f t="shared" si="141"/>
        <v>39</v>
      </c>
      <c r="KM19" s="186">
        <f t="shared" si="215"/>
        <v>77</v>
      </c>
      <c r="KN19" s="186">
        <f t="shared" si="216"/>
        <v>25.6666666666667</v>
      </c>
      <c r="KO19" s="135" t="str">
        <f t="shared" si="142"/>
        <v>F</v>
      </c>
      <c r="KP19" s="151" t="str">
        <f>VLOOKUP(RANK(KN19,$KN$10:$KN$109),Sheet1!$A$381:$B$480,2,FALSE)</f>
        <v>77th</v>
      </c>
      <c r="KQ19" s="186"/>
      <c r="KR19" s="186"/>
      <c r="KS19" s="186">
        <f t="shared" si="143"/>
        <v>0</v>
      </c>
      <c r="KT19" s="186" t="str">
        <f t="shared" si="144"/>
        <v>0</v>
      </c>
      <c r="KU19" s="186" t="str">
        <f t="shared" si="145"/>
        <v>0</v>
      </c>
      <c r="KV19" s="186">
        <f t="shared" si="217"/>
        <v>0</v>
      </c>
      <c r="KW19" s="186">
        <f t="shared" si="218"/>
        <v>0</v>
      </c>
      <c r="KX19" s="135" t="str">
        <f t="shared" si="146"/>
        <v>F</v>
      </c>
      <c r="KY19" s="151" t="str">
        <f>VLOOKUP(RANK(KW19,$KW$10:$KW$109),Sheet1!$A$381:$B$480,2,FALSE)</f>
        <v>1st</v>
      </c>
      <c r="KZ19" s="186"/>
      <c r="LA19" s="186"/>
      <c r="LB19" s="186">
        <f t="shared" si="147"/>
        <v>0</v>
      </c>
      <c r="LC19" s="186" t="str">
        <f t="shared" si="148"/>
        <v>0</v>
      </c>
      <c r="LD19" s="186" t="str">
        <f t="shared" si="149"/>
        <v>0</v>
      </c>
      <c r="LE19" s="186">
        <f t="shared" si="219"/>
        <v>0</v>
      </c>
      <c r="LF19" s="186">
        <f t="shared" si="220"/>
        <v>0</v>
      </c>
      <c r="LG19" s="135" t="str">
        <f t="shared" si="150"/>
        <v>F</v>
      </c>
      <c r="LH19" s="151" t="str">
        <f>VLOOKUP(RANK(LF19,$LF$10:$LF$109),Sheet1!$A$381:$B$480,2,FALSE)</f>
        <v>1st</v>
      </c>
      <c r="LI19" s="186"/>
      <c r="LJ19" s="186"/>
      <c r="LK19" s="186">
        <f t="shared" si="151"/>
        <v>0</v>
      </c>
      <c r="LL19" s="186" t="str">
        <f t="shared" si="152"/>
        <v>50</v>
      </c>
      <c r="LM19" s="186" t="str">
        <f t="shared" si="153"/>
        <v>48</v>
      </c>
      <c r="LN19" s="186">
        <f t="shared" si="221"/>
        <v>98</v>
      </c>
      <c r="LO19" s="186">
        <f t="shared" si="222"/>
        <v>32.6666666666667</v>
      </c>
      <c r="LP19" s="135" t="str">
        <f t="shared" si="154"/>
        <v>F</v>
      </c>
      <c r="LQ19" s="151" t="str">
        <f>VLOOKUP(RANK(LO19,$LO$10:$LO$109),Sheet1!$A$381:$B$480,2,FALSE)</f>
        <v>95th</v>
      </c>
      <c r="LR19" s="186"/>
      <c r="LS19" s="186"/>
      <c r="LT19" s="186">
        <f t="shared" si="155"/>
        <v>0</v>
      </c>
      <c r="LU19" s="186" t="str">
        <f t="shared" si="156"/>
        <v>40</v>
      </c>
      <c r="LV19" s="186" t="str">
        <f t="shared" si="157"/>
        <v>36</v>
      </c>
      <c r="LW19" s="186">
        <f t="shared" si="223"/>
        <v>76</v>
      </c>
      <c r="LX19" s="186">
        <f t="shared" si="224"/>
        <v>25.3333333333333</v>
      </c>
      <c r="LY19" s="135" t="str">
        <f t="shared" si="158"/>
        <v>F</v>
      </c>
      <c r="LZ19" s="151" t="str">
        <f>VLOOKUP(RANK(LX19,$LX$10:$LX$109),Sheet1!$A$381:$B$480,2,FALSE)</f>
        <v>89th</v>
      </c>
      <c r="MA19" s="186"/>
      <c r="MB19" s="186"/>
      <c r="MC19" s="186">
        <f t="shared" si="159"/>
        <v>0</v>
      </c>
      <c r="MD19" s="186" t="str">
        <f t="shared" si="160"/>
        <v>24</v>
      </c>
      <c r="ME19" s="186" t="str">
        <f t="shared" si="161"/>
        <v>36</v>
      </c>
      <c r="MF19" s="183">
        <f t="shared" si="225"/>
        <v>60</v>
      </c>
      <c r="MG19" s="151">
        <f t="shared" si="226"/>
        <v>20</v>
      </c>
      <c r="MH19" s="135" t="str">
        <f t="shared" si="162"/>
        <v>F</v>
      </c>
      <c r="MI19" s="151" t="str">
        <f>VLOOKUP(RANK(MG19,$MG$10:$MG$109),Sheet1!$A$381:$B$480,2,FALSE)</f>
        <v>80th</v>
      </c>
      <c r="MJ19" s="186"/>
      <c r="MK19" s="186"/>
      <c r="ML19" s="186">
        <f t="shared" si="163"/>
        <v>0</v>
      </c>
      <c r="MM19" s="186" t="str">
        <f t="shared" si="164"/>
        <v>51</v>
      </c>
      <c r="MN19" s="186" t="str">
        <f t="shared" si="165"/>
        <v>44</v>
      </c>
      <c r="MO19" s="186">
        <f t="shared" si="227"/>
        <v>95</v>
      </c>
      <c r="MP19" s="186">
        <f t="shared" si="228"/>
        <v>31.6666666666667</v>
      </c>
      <c r="MQ19" s="135" t="str">
        <f t="shared" si="166"/>
        <v>F</v>
      </c>
      <c r="MR19" s="151" t="str">
        <f>VLOOKUP(RANK(MP19,$MP$10:$MP$109),Sheet1!$A$381:$B$480,2,FALSE)</f>
        <v>61st</v>
      </c>
      <c r="MS19" s="186"/>
      <c r="MT19" s="186"/>
      <c r="MU19" s="186">
        <f t="shared" si="167"/>
        <v>0</v>
      </c>
      <c r="MV19" s="186" t="str">
        <f t="shared" si="168"/>
        <v>35</v>
      </c>
      <c r="MW19" s="186" t="str">
        <f t="shared" si="169"/>
        <v>50</v>
      </c>
      <c r="MX19" s="186">
        <f t="shared" si="229"/>
        <v>85</v>
      </c>
      <c r="MY19" s="186">
        <f t="shared" si="230"/>
        <v>28.3333333333333</v>
      </c>
      <c r="MZ19" s="135" t="str">
        <f t="shared" si="170"/>
        <v>F</v>
      </c>
      <c r="NA19" s="151" t="str">
        <f>VLOOKUP(RANK(MY19,$MY$10:$MY$109),Sheet1!$A$381:$B$480,2,FALSE)</f>
        <v>67th</v>
      </c>
      <c r="NB19" s="186"/>
      <c r="NC19" s="186"/>
      <c r="ND19" s="186">
        <f t="shared" si="171"/>
        <v>0</v>
      </c>
      <c r="NE19" s="186" t="str">
        <f t="shared" si="172"/>
        <v>39</v>
      </c>
      <c r="NF19" s="186" t="str">
        <f t="shared" si="173"/>
        <v>47</v>
      </c>
      <c r="NG19" s="186">
        <f t="shared" si="231"/>
        <v>86</v>
      </c>
      <c r="NH19" s="186">
        <f t="shared" si="232"/>
        <v>28.6666666666667</v>
      </c>
      <c r="NI19" s="135" t="str">
        <f t="shared" si="174"/>
        <v>F</v>
      </c>
      <c r="NJ19" s="151" t="str">
        <f>VLOOKUP(RANK(NH19,$NH$10:$NH$109),Sheet1!$A$381:$B$480,2,FALSE)</f>
        <v>36th</v>
      </c>
      <c r="NK19" s="186"/>
      <c r="NL19" s="186"/>
      <c r="NM19" s="186">
        <f t="shared" si="175"/>
        <v>0</v>
      </c>
      <c r="NN19" s="186" t="str">
        <f t="shared" si="176"/>
        <v>55</v>
      </c>
      <c r="NO19" s="186" t="str">
        <f t="shared" si="177"/>
        <v>65</v>
      </c>
      <c r="NP19" s="186">
        <f t="shared" si="233"/>
        <v>120</v>
      </c>
      <c r="NQ19" s="186">
        <f t="shared" si="178"/>
        <v>40</v>
      </c>
      <c r="NR19" s="135" t="str">
        <f t="shared" si="179"/>
        <v>D</v>
      </c>
      <c r="NS19" s="151" t="str">
        <f>VLOOKUP(RANK(NQ19,$NQ$10:$NQ$109),Sheet1!$A$381:$B$480,2,FALSE)</f>
        <v>68th</v>
      </c>
      <c r="NT19" s="186"/>
      <c r="NU19" s="186"/>
      <c r="NV19" s="186">
        <f t="shared" si="180"/>
        <v>0</v>
      </c>
      <c r="NW19" s="186" t="str">
        <f t="shared" si="181"/>
        <v>0</v>
      </c>
      <c r="NX19" s="186" t="str">
        <f t="shared" si="182"/>
        <v>0</v>
      </c>
      <c r="NY19" s="186">
        <f t="shared" si="234"/>
        <v>0</v>
      </c>
      <c r="NZ19" s="186">
        <f t="shared" si="183"/>
        <v>0</v>
      </c>
      <c r="OA19" s="135" t="str">
        <f t="shared" si="184"/>
        <v>F</v>
      </c>
      <c r="OB19" s="151" t="str">
        <f>VLOOKUP(RANK(NZ19,$NZ$10:$NZ$109),Sheet1!$A$381:$B$480,2,FALSE)</f>
        <v>1st</v>
      </c>
      <c r="OC19" s="186"/>
      <c r="OD19" s="186"/>
      <c r="OE19" s="186">
        <f t="shared" si="185"/>
        <v>0</v>
      </c>
      <c r="OF19" s="186" t="str">
        <f t="shared" si="186"/>
        <v>0</v>
      </c>
      <c r="OG19" s="186" t="str">
        <f t="shared" si="187"/>
        <v>0</v>
      </c>
      <c r="OH19" s="186">
        <f t="shared" si="235"/>
        <v>0</v>
      </c>
      <c r="OI19" s="186">
        <f t="shared" si="236"/>
        <v>0</v>
      </c>
      <c r="OJ19" s="135" t="str">
        <f t="shared" si="188"/>
        <v>F</v>
      </c>
      <c r="OK19" s="151" t="str">
        <f>VLOOKUP(RANK(OI19,$OI$10:$OI$109),Sheet1!$A$381:$B$480,2,FALSE)</f>
        <v>1st</v>
      </c>
      <c r="OL19" s="151"/>
      <c r="OM19" s="151"/>
      <c r="ON19" s="151">
        <f t="shared" si="237"/>
        <v>0</v>
      </c>
      <c r="OO19" s="151" t="str">
        <f t="shared" si="238"/>
        <v>0</v>
      </c>
      <c r="OP19" s="151" t="str">
        <f t="shared" si="239"/>
        <v>0</v>
      </c>
      <c r="OQ19" s="151">
        <f t="shared" si="240"/>
        <v>0</v>
      </c>
      <c r="OR19" s="151">
        <f t="shared" si="241"/>
        <v>0</v>
      </c>
      <c r="OS19" s="135" t="str">
        <f t="shared" si="189"/>
        <v>F</v>
      </c>
      <c r="OT19" s="151" t="str">
        <f>VLOOKUP(RANK(OR19,$OI$10:$OI$109),Sheet1!$A$381:$B$480,2,FALSE)</f>
        <v>1st</v>
      </c>
      <c r="OU19" s="151">
        <f t="shared" si="242"/>
        <v>370.66666666666703</v>
      </c>
      <c r="OV19" s="151">
        <f t="shared" si="243"/>
        <v>21.803921568627501</v>
      </c>
      <c r="OW19" s="151" t="str">
        <f>VLOOKUP(RANK(OV19,$OV$10:$OV$109),Sheet1!$A$381:$B$480,2,FALSE)</f>
        <v>73rd</v>
      </c>
      <c r="OX19" s="151"/>
      <c r="OY19" s="186"/>
      <c r="OZ19" s="186"/>
      <c r="PA19" s="186"/>
      <c r="PB19" s="186"/>
    </row>
    <row r="20" spans="1:418" s="118" customFormat="1" ht="18.75">
      <c r="A20" s="131">
        <v>11</v>
      </c>
      <c r="B20" s="132" t="s">
        <v>108</v>
      </c>
      <c r="C20" s="133" t="s">
        <v>97</v>
      </c>
      <c r="D20" s="134">
        <v>30</v>
      </c>
      <c r="E20" s="134">
        <v>33</v>
      </c>
      <c r="F20" s="137">
        <f t="shared" si="0"/>
        <v>63</v>
      </c>
      <c r="G20" s="137">
        <f t="shared" si="1"/>
        <v>63</v>
      </c>
      <c r="H20" s="135" t="str">
        <f t="shared" si="190"/>
        <v>B</v>
      </c>
      <c r="I20" s="135" t="str">
        <f>VLOOKUP(RANK(G20,$G$10:$G$109),Sheet1!$A$381:$B$480,2,FALSE)</f>
        <v>73rd</v>
      </c>
      <c r="J20" s="134">
        <v>25</v>
      </c>
      <c r="K20" s="134">
        <v>10</v>
      </c>
      <c r="L20" s="137">
        <f t="shared" si="2"/>
        <v>35</v>
      </c>
      <c r="M20" s="137">
        <f t="shared" si="3"/>
        <v>35</v>
      </c>
      <c r="N20" s="135" t="str">
        <f t="shared" si="4"/>
        <v>E</v>
      </c>
      <c r="O20" s="141" t="str">
        <f>VLOOKUP(RANK(M20,$M$10:$M$109),Sheet1!$A$381:$B$480,2,FALSE)</f>
        <v>92nd</v>
      </c>
      <c r="P20" s="142">
        <v>32</v>
      </c>
      <c r="Q20" s="145">
        <v>20</v>
      </c>
      <c r="R20" s="147">
        <f t="shared" si="5"/>
        <v>52</v>
      </c>
      <c r="S20" s="137">
        <f t="shared" si="6"/>
        <v>52</v>
      </c>
      <c r="T20" s="135" t="str">
        <f t="shared" si="7"/>
        <v>C</v>
      </c>
      <c r="U20" s="135" t="str">
        <f>VLOOKUP(RANK(S20,$S$10:$S$109),Sheet1!$A$381:$B$480,2,FALSE)</f>
        <v>25th</v>
      </c>
      <c r="V20" s="134">
        <v>32</v>
      </c>
      <c r="W20" s="134">
        <v>13</v>
      </c>
      <c r="X20" s="137">
        <f t="shared" si="191"/>
        <v>45</v>
      </c>
      <c r="Y20" s="137">
        <f t="shared" si="244"/>
        <v>45</v>
      </c>
      <c r="Z20" s="135" t="str">
        <f t="shared" si="8"/>
        <v>D</v>
      </c>
      <c r="AA20" s="135" t="str">
        <f>VLOOKUP(RANK(Y20,$Y$10:$Y$109),Sheet1!$A$381:$B$480,2,FALSE)</f>
        <v>78th</v>
      </c>
      <c r="AB20" s="134">
        <v>29</v>
      </c>
      <c r="AC20" s="134">
        <v>27</v>
      </c>
      <c r="AD20" s="137">
        <f t="shared" si="9"/>
        <v>56</v>
      </c>
      <c r="AE20" s="137">
        <f t="shared" si="10"/>
        <v>56</v>
      </c>
      <c r="AF20" s="135" t="str">
        <f t="shared" si="11"/>
        <v>C</v>
      </c>
      <c r="AG20" s="135" t="str">
        <f>VLOOKUP(RANK(AE20,$AE$10:$AE$109),Sheet1!$A$381:$B$480,2,FALSE)</f>
        <v>58th</v>
      </c>
      <c r="AH20" s="137"/>
      <c r="AI20" s="137"/>
      <c r="AJ20" s="137">
        <f t="shared" si="12"/>
        <v>0</v>
      </c>
      <c r="AK20" s="137">
        <f t="shared" si="13"/>
        <v>0</v>
      </c>
      <c r="AL20" s="135" t="str">
        <f t="shared" si="14"/>
        <v>F</v>
      </c>
      <c r="AM20" s="135" t="str">
        <f>VLOOKUP(RANK(AK20,$AK$10:$AK$109),Sheet1!$A$381:$B$480,2,FALSE)</f>
        <v>1st</v>
      </c>
      <c r="AN20" s="134"/>
      <c r="AO20" s="134"/>
      <c r="AP20" s="137">
        <f t="shared" si="15"/>
        <v>0</v>
      </c>
      <c r="AQ20" s="137">
        <f t="shared" si="16"/>
        <v>0</v>
      </c>
      <c r="AR20" s="135" t="str">
        <f t="shared" si="17"/>
        <v>F</v>
      </c>
      <c r="AS20" s="135" t="str">
        <f>VLOOKUP(RANK(AQ20,$AQ$10:$AQ$109),Sheet1!$A$381:$B$480,2,FALSE)</f>
        <v>1st</v>
      </c>
      <c r="AT20" s="142">
        <v>25</v>
      </c>
      <c r="AU20" s="145">
        <v>27</v>
      </c>
      <c r="AV20" s="137">
        <f t="shared" si="18"/>
        <v>52</v>
      </c>
      <c r="AW20" s="137">
        <f t="shared" si="19"/>
        <v>52</v>
      </c>
      <c r="AX20" s="135" t="str">
        <f t="shared" si="20"/>
        <v>C</v>
      </c>
      <c r="AY20" s="141" t="str">
        <f>VLOOKUP(RANK(AW20,$AW$10:$AW$109),Sheet1!$A$381:$B$480,2,FALSE)</f>
        <v>34th</v>
      </c>
      <c r="AZ20" s="142">
        <v>30</v>
      </c>
      <c r="BA20" s="145">
        <v>10</v>
      </c>
      <c r="BB20" s="147">
        <f t="shared" si="21"/>
        <v>40</v>
      </c>
      <c r="BC20" s="137">
        <f t="shared" si="22"/>
        <v>40</v>
      </c>
      <c r="BD20" s="135" t="str">
        <f t="shared" si="23"/>
        <v>D</v>
      </c>
      <c r="BE20" s="135" t="str">
        <f>VLOOKUP(RANK(BC20,$BC$10:$BC$109),Sheet1!$A$381:$B$480,2,FALSE)</f>
        <v>85th</v>
      </c>
      <c r="BF20" s="142">
        <v>11</v>
      </c>
      <c r="BG20" s="145">
        <v>15</v>
      </c>
      <c r="BH20" s="137">
        <f t="shared" si="24"/>
        <v>26</v>
      </c>
      <c r="BI20" s="137">
        <f t="shared" si="25"/>
        <v>26</v>
      </c>
      <c r="BJ20" s="135" t="str">
        <f t="shared" si="26"/>
        <v>F</v>
      </c>
      <c r="BK20" s="141" t="str">
        <f>VLOOKUP(RANK(BI20,$BI$10:$BI$109),Sheet1!$A$381:$B$480,2,FALSE)</f>
        <v>76th</v>
      </c>
      <c r="BL20" s="148">
        <v>24</v>
      </c>
      <c r="BM20" s="150">
        <v>23</v>
      </c>
      <c r="BN20" s="147">
        <f t="shared" si="27"/>
        <v>47</v>
      </c>
      <c r="BO20" s="137">
        <f t="shared" si="28"/>
        <v>47</v>
      </c>
      <c r="BP20" s="135" t="str">
        <f t="shared" si="29"/>
        <v>D</v>
      </c>
      <c r="BQ20" s="141" t="str">
        <f>VLOOKUP(RANK(BO20,$BO$10:$BO$109),Sheet1!$A$381:$B$480,2,FALSE)</f>
        <v>100th</v>
      </c>
      <c r="BR20" s="148">
        <v>28</v>
      </c>
      <c r="BS20" s="150">
        <v>14</v>
      </c>
      <c r="BT20" s="147">
        <f t="shared" si="30"/>
        <v>42</v>
      </c>
      <c r="BU20" s="137">
        <f t="shared" si="31"/>
        <v>42</v>
      </c>
      <c r="BV20" s="135" t="str">
        <f t="shared" si="32"/>
        <v>D</v>
      </c>
      <c r="BW20" s="135" t="str">
        <f>VLOOKUP(RANK(BU20,$BU$10:$BU$109),Sheet1!$A$381:$B$480,2,FALSE)</f>
        <v>55th</v>
      </c>
      <c r="BX20" s="148">
        <v>26</v>
      </c>
      <c r="BY20" s="150">
        <v>10</v>
      </c>
      <c r="BZ20" s="137">
        <f t="shared" si="33"/>
        <v>36</v>
      </c>
      <c r="CA20" s="137">
        <f t="shared" si="34"/>
        <v>36</v>
      </c>
      <c r="CB20" s="135" t="str">
        <f t="shared" si="35"/>
        <v>E</v>
      </c>
      <c r="CC20" s="135" t="str">
        <f>VLOOKUP(RANK(CA20,$CA$10:$CA$109),Sheet1!$A$381:$B$480,2,FALSE)</f>
        <v>91st</v>
      </c>
      <c r="CD20" s="148">
        <v>25</v>
      </c>
      <c r="CE20" s="150">
        <v>25</v>
      </c>
      <c r="CF20" s="137">
        <f t="shared" si="36"/>
        <v>50</v>
      </c>
      <c r="CG20" s="137">
        <f t="shared" si="37"/>
        <v>50</v>
      </c>
      <c r="CH20" s="135" t="str">
        <f t="shared" si="38"/>
        <v>C</v>
      </c>
      <c r="CI20" s="135" t="str">
        <f>VLOOKUP(RANK(CG20,$CG$10:$CG$109),Sheet1!$A$381:$B$480,2,FALSE)</f>
        <v>71st</v>
      </c>
      <c r="CJ20" s="137"/>
      <c r="CK20" s="137"/>
      <c r="CL20" s="137">
        <f t="shared" si="39"/>
        <v>0</v>
      </c>
      <c r="CM20" s="137">
        <f t="shared" si="40"/>
        <v>0</v>
      </c>
      <c r="CN20" s="135" t="str">
        <f t="shared" si="41"/>
        <v>F</v>
      </c>
      <c r="CO20" s="135" t="str">
        <f>VLOOKUP(RANK(CM20,$CM$10:$CM$109),Sheet1!$A$381:$B$480,2,FALSE)</f>
        <v>1st</v>
      </c>
      <c r="CP20" s="137"/>
      <c r="CQ20" s="137"/>
      <c r="CR20" s="137">
        <f t="shared" si="42"/>
        <v>0</v>
      </c>
      <c r="CS20" s="137">
        <f t="shared" si="43"/>
        <v>0</v>
      </c>
      <c r="CT20" s="135" t="str">
        <f t="shared" si="44"/>
        <v>F</v>
      </c>
      <c r="CU20" s="135" t="str">
        <f>VLOOKUP(RANK(CS20,$CS$10:$CS$109),Sheet1!$A$381:$B$480,2,FALSE)</f>
        <v>1st</v>
      </c>
      <c r="CV20" s="151"/>
      <c r="CW20" s="135"/>
      <c r="CX20" s="151">
        <f t="shared" si="192"/>
        <v>0</v>
      </c>
      <c r="CY20" s="151">
        <f t="shared" si="193"/>
        <v>0</v>
      </c>
      <c r="CZ20" s="135" t="str">
        <f t="shared" si="45"/>
        <v>F</v>
      </c>
      <c r="DA20" s="135" t="str">
        <f>VLOOKUP(RANK(CY20,$CY$10:$CY$109),Sheet1!$A$381:$B$480,2,FALSE)</f>
        <v>1st</v>
      </c>
      <c r="DB20" s="135"/>
      <c r="DC20" s="151">
        <f t="shared" si="194"/>
        <v>544</v>
      </c>
      <c r="DD20" s="151">
        <f t="shared" si="195"/>
        <v>32</v>
      </c>
      <c r="DE20" s="135" t="str">
        <f>VLOOKUP(RANK(DD20,$DD$10:$DD$109),Sheet1!$A$381:$B$480,2,FALSE)</f>
        <v>81st</v>
      </c>
      <c r="DF20" s="137"/>
      <c r="DG20" s="160">
        <f t="shared" si="46"/>
        <v>576</v>
      </c>
      <c r="DH20" s="119"/>
      <c r="DI20" s="162" t="s">
        <v>105</v>
      </c>
      <c r="DJ20" s="162" t="s">
        <v>105</v>
      </c>
      <c r="DK20" s="137">
        <f t="shared" si="47"/>
        <v>0</v>
      </c>
      <c r="DL20" s="137" t="str">
        <f t="shared" si="48"/>
        <v>63</v>
      </c>
      <c r="DM20" s="137">
        <f t="shared" si="49"/>
        <v>63</v>
      </c>
      <c r="DN20" s="137">
        <f t="shared" si="50"/>
        <v>31.5</v>
      </c>
      <c r="DO20" s="135" t="str">
        <f t="shared" si="51"/>
        <v>F</v>
      </c>
      <c r="DP20" s="135" t="str">
        <f>VLOOKUP(RANK(DN20,$DN$10:$DN$109),Sheet1!$A$381:$B$480,2,FALSE)</f>
        <v>99th</v>
      </c>
      <c r="DQ20" s="164">
        <v>0</v>
      </c>
      <c r="DR20" s="165">
        <v>0</v>
      </c>
      <c r="DS20" s="137">
        <f t="shared" si="52"/>
        <v>0</v>
      </c>
      <c r="DT20" s="137" t="str">
        <f t="shared" si="53"/>
        <v>35</v>
      </c>
      <c r="DU20" s="137">
        <f t="shared" si="54"/>
        <v>35</v>
      </c>
      <c r="DV20" s="137">
        <f t="shared" si="55"/>
        <v>17.5</v>
      </c>
      <c r="DW20" s="135" t="str">
        <f t="shared" si="56"/>
        <v>F</v>
      </c>
      <c r="DX20" s="135" t="str">
        <f>VLOOKUP(RANK(DV20,$DV$10:$DV$109),Sheet1!$A$381:$B$480,2,FALSE)</f>
        <v>100th</v>
      </c>
      <c r="DY20" s="167">
        <v>18</v>
      </c>
      <c r="DZ20" s="165">
        <v>0</v>
      </c>
      <c r="EA20" s="137">
        <f t="shared" si="57"/>
        <v>18</v>
      </c>
      <c r="EB20" s="137" t="str">
        <f t="shared" si="58"/>
        <v>52</v>
      </c>
      <c r="EC20" s="137">
        <f t="shared" si="59"/>
        <v>70</v>
      </c>
      <c r="ED20" s="137">
        <f t="shared" si="60"/>
        <v>35</v>
      </c>
      <c r="EE20" s="135" t="str">
        <f t="shared" si="61"/>
        <v>E</v>
      </c>
      <c r="EF20" s="135" t="str">
        <f>VLOOKUP(RANK(ED20,$ED$10:$ED$109),Sheet1!$A$381:$B$480,2,FALSE)</f>
        <v>86th</v>
      </c>
      <c r="EG20" s="162">
        <v>30</v>
      </c>
      <c r="EH20" s="162"/>
      <c r="EI20" s="137">
        <f t="shared" si="62"/>
        <v>30</v>
      </c>
      <c r="EJ20" s="137" t="str">
        <f t="shared" si="63"/>
        <v>45</v>
      </c>
      <c r="EK20" s="137">
        <f t="shared" si="64"/>
        <v>75</v>
      </c>
      <c r="EL20" s="137">
        <f t="shared" si="65"/>
        <v>37.5</v>
      </c>
      <c r="EM20" s="135" t="str">
        <f t="shared" si="66"/>
        <v>E</v>
      </c>
      <c r="EN20" s="135" t="str">
        <f>VLOOKUP(RANK(EL20,$EL$10:$EL$109),Sheet1!$A$381:$B$480,2,FALSE)</f>
        <v>89th</v>
      </c>
      <c r="EO20" s="162">
        <v>19</v>
      </c>
      <c r="EP20" s="162"/>
      <c r="EQ20" s="137">
        <f t="shared" si="67"/>
        <v>19</v>
      </c>
      <c r="ER20" s="137" t="str">
        <f t="shared" si="68"/>
        <v>56</v>
      </c>
      <c r="ES20" s="137">
        <f t="shared" si="69"/>
        <v>75</v>
      </c>
      <c r="ET20" s="137">
        <f t="shared" si="70"/>
        <v>37.5</v>
      </c>
      <c r="EU20" s="135" t="str">
        <f t="shared" si="71"/>
        <v>E</v>
      </c>
      <c r="EV20" s="135" t="str">
        <f>VLOOKUP(RANK(ET20,$ET$10:$ET$109),Sheet1!$A$381:$B$480,2,FALSE)</f>
        <v>78th</v>
      </c>
      <c r="EW20" s="137"/>
      <c r="EX20" s="137"/>
      <c r="EY20" s="137">
        <f t="shared" si="72"/>
        <v>0</v>
      </c>
      <c r="EZ20" s="137" t="str">
        <f t="shared" si="73"/>
        <v>0</v>
      </c>
      <c r="FA20" s="137">
        <f t="shared" si="74"/>
        <v>0</v>
      </c>
      <c r="FB20" s="137">
        <f t="shared" si="75"/>
        <v>0</v>
      </c>
      <c r="FC20" s="135" t="str">
        <f t="shared" si="76"/>
        <v>F</v>
      </c>
      <c r="FD20" s="135" t="str">
        <f>VLOOKUP(RANK(FB20,$FB$10:$FB$109),Sheet1!$A$381:$B$480,2,FALSE)</f>
        <v>1st</v>
      </c>
      <c r="FE20" s="137"/>
      <c r="FF20" s="137"/>
      <c r="FG20" s="137">
        <f t="shared" si="77"/>
        <v>0</v>
      </c>
      <c r="FH20" s="137" t="str">
        <f t="shared" si="78"/>
        <v>0</v>
      </c>
      <c r="FI20" s="137">
        <f t="shared" si="79"/>
        <v>0</v>
      </c>
      <c r="FJ20" s="137">
        <f t="shared" si="80"/>
        <v>0</v>
      </c>
      <c r="FK20" s="135" t="str">
        <f t="shared" si="81"/>
        <v>F</v>
      </c>
      <c r="FL20" s="135" t="str">
        <f>VLOOKUP(RANK(FJ20,$FJ$10:$FJ$109),Sheet1!$A$381:$B$480,2,FALSE)</f>
        <v>1st</v>
      </c>
      <c r="FM20" s="164"/>
      <c r="FN20" s="165"/>
      <c r="FO20" s="137">
        <f t="shared" si="82"/>
        <v>0</v>
      </c>
      <c r="FP20" s="137" t="str">
        <f t="shared" si="83"/>
        <v>52</v>
      </c>
      <c r="FQ20" s="137">
        <f t="shared" si="84"/>
        <v>52</v>
      </c>
      <c r="FR20" s="137">
        <f t="shared" si="85"/>
        <v>26</v>
      </c>
      <c r="FS20" s="135" t="str">
        <f t="shared" si="86"/>
        <v>F</v>
      </c>
      <c r="FT20" s="135" t="str">
        <f>VLOOKUP(RANK(FR20,$FR$10:$FR$109),Sheet1!$A$381:$B$480,2,FALSE)</f>
        <v>96th</v>
      </c>
      <c r="FU20" s="148">
        <v>12</v>
      </c>
      <c r="FV20" s="150">
        <v>0</v>
      </c>
      <c r="FW20" s="137">
        <f t="shared" si="87"/>
        <v>12</v>
      </c>
      <c r="FX20" s="137" t="str">
        <f t="shared" si="88"/>
        <v>40</v>
      </c>
      <c r="FY20" s="137">
        <f t="shared" si="196"/>
        <v>12</v>
      </c>
      <c r="FZ20" s="137">
        <f t="shared" si="89"/>
        <v>6</v>
      </c>
      <c r="GA20" s="135" t="str">
        <f t="shared" si="90"/>
        <v>F</v>
      </c>
      <c r="GB20" s="135" t="str">
        <f>VLOOKUP(RANK(FZ20,$FZ$10:$FZ$109),Sheet1!$A$381:$B$480,2,FALSE)</f>
        <v>96th</v>
      </c>
      <c r="GC20" s="164">
        <v>3</v>
      </c>
      <c r="GD20" s="165">
        <v>0</v>
      </c>
      <c r="GE20" s="137">
        <f t="shared" si="91"/>
        <v>3</v>
      </c>
      <c r="GF20" s="137" t="str">
        <f t="shared" si="92"/>
        <v>26</v>
      </c>
      <c r="GG20" s="135">
        <f t="shared" si="197"/>
        <v>29</v>
      </c>
      <c r="GH20" s="137">
        <f t="shared" si="198"/>
        <v>14.5</v>
      </c>
      <c r="GI20" s="135" t="str">
        <f t="shared" si="93"/>
        <v>F</v>
      </c>
      <c r="GJ20" s="135" t="str">
        <f>VLOOKUP(RANK(GH20,$GH$10:$GH$109),Sheet1!$A$381:$B$480,2,FALSE)</f>
        <v>98th</v>
      </c>
      <c r="GK20" s="164" t="s">
        <v>105</v>
      </c>
      <c r="GL20" s="165" t="s">
        <v>105</v>
      </c>
      <c r="GM20" s="137">
        <f t="shared" si="94"/>
        <v>0</v>
      </c>
      <c r="GN20" s="137" t="str">
        <f t="shared" si="95"/>
        <v>47</v>
      </c>
      <c r="GO20" s="135">
        <f t="shared" si="199"/>
        <v>47</v>
      </c>
      <c r="GP20" s="137">
        <f t="shared" si="96"/>
        <v>23.5</v>
      </c>
      <c r="GQ20" s="135" t="str">
        <f t="shared" si="97"/>
        <v>F</v>
      </c>
      <c r="GR20" s="135" t="str">
        <f>VLOOKUP(RANK(GP20,$GP$10:$GP$109),Sheet1!$A$381:$B$480,2,FALSE)</f>
        <v>100th</v>
      </c>
      <c r="GS20" s="164"/>
      <c r="GT20" s="165"/>
      <c r="GU20" s="137">
        <f t="shared" si="98"/>
        <v>0</v>
      </c>
      <c r="GV20" s="137" t="str">
        <f t="shared" si="99"/>
        <v>42</v>
      </c>
      <c r="GW20" s="137">
        <f t="shared" si="100"/>
        <v>42</v>
      </c>
      <c r="GX20" s="137">
        <f t="shared" si="101"/>
        <v>21</v>
      </c>
      <c r="GY20" s="135" t="str">
        <f t="shared" si="102"/>
        <v>F</v>
      </c>
      <c r="GZ20" s="135" t="str">
        <f>VLOOKUP(RANK(GX20,$GX$10:$GX$109),Sheet1!$A$381:$B$480,2,FALSE)</f>
        <v>98th</v>
      </c>
      <c r="HA20" s="164">
        <v>31</v>
      </c>
      <c r="HB20" s="165">
        <v>0</v>
      </c>
      <c r="HC20" s="137">
        <f t="shared" si="103"/>
        <v>31</v>
      </c>
      <c r="HD20" s="137" t="str">
        <f t="shared" si="104"/>
        <v>36</v>
      </c>
      <c r="HE20" s="137">
        <f t="shared" si="105"/>
        <v>67</v>
      </c>
      <c r="HF20" s="137">
        <f t="shared" si="106"/>
        <v>33.5</v>
      </c>
      <c r="HG20" s="135" t="str">
        <f t="shared" si="107"/>
        <v>F</v>
      </c>
      <c r="HH20" s="135" t="str">
        <f>VLOOKUP(RANK(HF20,$HF$10:$HF$109),Sheet1!$A$381:$B$480,2,FALSE)</f>
        <v>98th</v>
      </c>
      <c r="HI20" s="148">
        <v>10</v>
      </c>
      <c r="HJ20" s="150"/>
      <c r="HK20" s="137">
        <f t="shared" si="108"/>
        <v>10</v>
      </c>
      <c r="HL20" s="137" t="str">
        <f t="shared" si="109"/>
        <v>50</v>
      </c>
      <c r="HM20" s="137">
        <f t="shared" si="110"/>
        <v>60</v>
      </c>
      <c r="HN20" s="137">
        <f t="shared" si="111"/>
        <v>30</v>
      </c>
      <c r="HO20" s="135" t="str">
        <f t="shared" si="112"/>
        <v>F</v>
      </c>
      <c r="HP20" s="135" t="str">
        <f>VLOOKUP(RANK(HN20,$HN$10:$HN$109),Sheet1!$A$381:$B$480,2,FALSE)</f>
        <v>98th</v>
      </c>
      <c r="HQ20" s="137"/>
      <c r="HR20" s="137"/>
      <c r="HS20" s="137">
        <f t="shared" si="113"/>
        <v>0</v>
      </c>
      <c r="HT20" s="137" t="str">
        <f t="shared" si="114"/>
        <v>0</v>
      </c>
      <c r="HU20" s="137">
        <f t="shared" si="115"/>
        <v>0</v>
      </c>
      <c r="HV20" s="137">
        <f t="shared" si="116"/>
        <v>0</v>
      </c>
      <c r="HW20" s="135" t="str">
        <f t="shared" si="117"/>
        <v>F</v>
      </c>
      <c r="HX20" s="135" t="str">
        <f>VLOOKUP(RANK(HV20,$HV$10:$HV$109),Sheet1!$A$381:$B$480,2,FALSE)</f>
        <v>1st</v>
      </c>
      <c r="HY20" s="137"/>
      <c r="HZ20" s="137"/>
      <c r="IA20" s="137">
        <f t="shared" si="118"/>
        <v>0</v>
      </c>
      <c r="IB20" s="137" t="str">
        <f t="shared" si="119"/>
        <v>0</v>
      </c>
      <c r="IC20" s="137">
        <f t="shared" si="120"/>
        <v>0</v>
      </c>
      <c r="ID20" s="137">
        <f t="shared" si="121"/>
        <v>0</v>
      </c>
      <c r="IE20" s="135" t="str">
        <f t="shared" si="122"/>
        <v>F</v>
      </c>
      <c r="IF20" s="135" t="str">
        <f>VLOOKUP(RANK(ID20,$ID$10:$ID$109),Sheet1!$A$381:$B$480,2,FALSE)</f>
        <v>1st</v>
      </c>
      <c r="IG20" s="135"/>
      <c r="IH20" s="135"/>
      <c r="II20" s="135">
        <f t="shared" si="200"/>
        <v>0</v>
      </c>
      <c r="IJ20" s="135" t="str">
        <f t="shared" si="201"/>
        <v>0</v>
      </c>
      <c r="IK20" s="135">
        <f t="shared" si="202"/>
        <v>0</v>
      </c>
      <c r="IL20" s="135">
        <f t="shared" si="203"/>
        <v>0</v>
      </c>
      <c r="IM20" s="135" t="str">
        <f t="shared" si="123"/>
        <v>F</v>
      </c>
      <c r="IN20" s="135" t="str">
        <f>VLOOKUP(RANK(IL20,$IL$10:$IL$109),Sheet1!$A$381:$B$480,2,FALSE)</f>
        <v>1st</v>
      </c>
      <c r="IO20" s="135">
        <f t="shared" si="204"/>
        <v>313.5</v>
      </c>
      <c r="IP20" s="177">
        <f t="shared" si="205"/>
        <v>18.4411764705882</v>
      </c>
      <c r="IQ20" s="135" t="str">
        <f>VLOOKUP(RANK(IP20,$IP$10:$IP$109),Sheet1!$A$381:$B$480,2,FALSE)</f>
        <v>99th</v>
      </c>
      <c r="IR20" s="178"/>
      <c r="IS20" s="137"/>
      <c r="IT20" s="137"/>
      <c r="IU20" s="137"/>
      <c r="IV20" s="137"/>
      <c r="IW20" s="181"/>
      <c r="IX20" s="184"/>
      <c r="IY20" s="186"/>
      <c r="IZ20" s="186">
        <f t="shared" si="206"/>
        <v>0</v>
      </c>
      <c r="JA20" s="186" t="str">
        <f t="shared" si="124"/>
        <v>63</v>
      </c>
      <c r="JB20" s="186" t="str">
        <f t="shared" si="125"/>
        <v>0</v>
      </c>
      <c r="JC20" s="186">
        <f t="shared" si="207"/>
        <v>63</v>
      </c>
      <c r="JD20" s="186">
        <f t="shared" si="208"/>
        <v>21</v>
      </c>
      <c r="JE20" s="135" t="str">
        <f t="shared" si="126"/>
        <v>F</v>
      </c>
      <c r="JF20" s="151" t="str">
        <f>VLOOKUP(RANK(JD20,$JD$10:$JD$109),Sheet1!$A$381:$B$480,2,FALSE)</f>
        <v>99th</v>
      </c>
      <c r="JG20" s="186"/>
      <c r="JH20" s="186"/>
      <c r="JI20" s="186">
        <f t="shared" si="127"/>
        <v>0</v>
      </c>
      <c r="JJ20" s="186" t="str">
        <f t="shared" si="128"/>
        <v>35</v>
      </c>
      <c r="JK20" s="186" t="str">
        <f t="shared" si="129"/>
        <v>0</v>
      </c>
      <c r="JL20" s="186">
        <f t="shared" si="209"/>
        <v>35</v>
      </c>
      <c r="JM20" s="186">
        <f t="shared" si="210"/>
        <v>11.6666666666667</v>
      </c>
      <c r="JN20" s="135" t="str">
        <f t="shared" si="130"/>
        <v>F</v>
      </c>
      <c r="JO20" s="151" t="str">
        <f>VLOOKUP(RANK(JM20,$JM$10:$JM$109),Sheet1!$A$381:$B$480,2,FALSE)</f>
        <v>100th</v>
      </c>
      <c r="JP20" s="186"/>
      <c r="JQ20" s="186"/>
      <c r="JR20" s="186">
        <f t="shared" si="131"/>
        <v>0</v>
      </c>
      <c r="JS20" s="186" t="str">
        <f t="shared" si="132"/>
        <v>52</v>
      </c>
      <c r="JT20" s="186" t="str">
        <f t="shared" si="133"/>
        <v>18</v>
      </c>
      <c r="JU20" s="186">
        <f t="shared" si="211"/>
        <v>70</v>
      </c>
      <c r="JV20" s="186">
        <f t="shared" si="212"/>
        <v>23.3333333333333</v>
      </c>
      <c r="JW20" s="135" t="str">
        <f t="shared" si="134"/>
        <v>F</v>
      </c>
      <c r="JX20" s="151" t="str">
        <f>VLOOKUP(RANK(JV20,$JV$10:$JV$109),Sheet1!$A$381:$B$480,2,FALSE)</f>
        <v>86th</v>
      </c>
      <c r="JY20" s="186"/>
      <c r="JZ20" s="186"/>
      <c r="KA20" s="186">
        <f t="shared" si="135"/>
        <v>0</v>
      </c>
      <c r="KB20" s="186" t="str">
        <f t="shared" si="136"/>
        <v>45</v>
      </c>
      <c r="KC20" s="186" t="str">
        <f t="shared" si="137"/>
        <v>30</v>
      </c>
      <c r="KD20" s="186">
        <f t="shared" si="213"/>
        <v>75</v>
      </c>
      <c r="KE20" s="186">
        <f t="shared" si="214"/>
        <v>25</v>
      </c>
      <c r="KF20" s="135" t="str">
        <f t="shared" si="138"/>
        <v>F</v>
      </c>
      <c r="KG20" s="151" t="str">
        <f>VLOOKUP(RANK(KE20,$KE$10:$KE$109),Sheet1!$A$381:$B$480,2,FALSE)</f>
        <v>89th</v>
      </c>
      <c r="KH20" s="186"/>
      <c r="KI20" s="186"/>
      <c r="KJ20" s="186">
        <f t="shared" si="139"/>
        <v>0</v>
      </c>
      <c r="KK20" s="186" t="str">
        <f t="shared" si="140"/>
        <v>56</v>
      </c>
      <c r="KL20" s="186" t="str">
        <f t="shared" si="141"/>
        <v>19</v>
      </c>
      <c r="KM20" s="186">
        <f t="shared" si="215"/>
        <v>75</v>
      </c>
      <c r="KN20" s="186">
        <f t="shared" si="216"/>
        <v>25</v>
      </c>
      <c r="KO20" s="135" t="str">
        <f t="shared" si="142"/>
        <v>F</v>
      </c>
      <c r="KP20" s="151" t="str">
        <f>VLOOKUP(RANK(KN20,$KN$10:$KN$109),Sheet1!$A$381:$B$480,2,FALSE)</f>
        <v>78th</v>
      </c>
      <c r="KQ20" s="186"/>
      <c r="KR20" s="186"/>
      <c r="KS20" s="186">
        <f t="shared" si="143"/>
        <v>0</v>
      </c>
      <c r="KT20" s="186" t="str">
        <f t="shared" si="144"/>
        <v>0</v>
      </c>
      <c r="KU20" s="186" t="str">
        <f t="shared" si="145"/>
        <v>0</v>
      </c>
      <c r="KV20" s="186">
        <f t="shared" si="217"/>
        <v>0</v>
      </c>
      <c r="KW20" s="186">
        <f t="shared" si="218"/>
        <v>0</v>
      </c>
      <c r="KX20" s="135" t="str">
        <f t="shared" si="146"/>
        <v>F</v>
      </c>
      <c r="KY20" s="151" t="str">
        <f>VLOOKUP(RANK(KW20,$KW$10:$KW$109),Sheet1!$A$381:$B$480,2,FALSE)</f>
        <v>1st</v>
      </c>
      <c r="KZ20" s="186"/>
      <c r="LA20" s="186"/>
      <c r="LB20" s="186">
        <f t="shared" si="147"/>
        <v>0</v>
      </c>
      <c r="LC20" s="186" t="str">
        <f t="shared" si="148"/>
        <v>0</v>
      </c>
      <c r="LD20" s="186" t="str">
        <f t="shared" si="149"/>
        <v>0</v>
      </c>
      <c r="LE20" s="186">
        <f t="shared" si="219"/>
        <v>0</v>
      </c>
      <c r="LF20" s="186">
        <f t="shared" si="220"/>
        <v>0</v>
      </c>
      <c r="LG20" s="135" t="str">
        <f t="shared" si="150"/>
        <v>F</v>
      </c>
      <c r="LH20" s="151" t="str">
        <f>VLOOKUP(RANK(LF20,$LF$10:$LF$109),Sheet1!$A$381:$B$480,2,FALSE)</f>
        <v>1st</v>
      </c>
      <c r="LI20" s="186"/>
      <c r="LJ20" s="186"/>
      <c r="LK20" s="186">
        <f t="shared" si="151"/>
        <v>0</v>
      </c>
      <c r="LL20" s="186" t="str">
        <f t="shared" si="152"/>
        <v>52</v>
      </c>
      <c r="LM20" s="186" t="str">
        <f t="shared" si="153"/>
        <v>0</v>
      </c>
      <c r="LN20" s="186">
        <f t="shared" si="221"/>
        <v>52</v>
      </c>
      <c r="LO20" s="186">
        <f t="shared" si="222"/>
        <v>17.3333333333333</v>
      </c>
      <c r="LP20" s="135" t="str">
        <f t="shared" si="154"/>
        <v>F</v>
      </c>
      <c r="LQ20" s="151" t="str">
        <f>VLOOKUP(RANK(LO20,$LO$10:$LO$109),Sheet1!$A$381:$B$480,2,FALSE)</f>
        <v>96th</v>
      </c>
      <c r="LR20" s="186"/>
      <c r="LS20" s="186"/>
      <c r="LT20" s="186">
        <f t="shared" si="155"/>
        <v>0</v>
      </c>
      <c r="LU20" s="186" t="str">
        <f t="shared" si="156"/>
        <v>40</v>
      </c>
      <c r="LV20" s="186" t="str">
        <f t="shared" si="157"/>
        <v>12</v>
      </c>
      <c r="LW20" s="186">
        <f t="shared" si="223"/>
        <v>52</v>
      </c>
      <c r="LX20" s="186">
        <f t="shared" si="224"/>
        <v>17.3333333333333</v>
      </c>
      <c r="LY20" s="135" t="str">
        <f t="shared" si="158"/>
        <v>F</v>
      </c>
      <c r="LZ20" s="151" t="str">
        <f>VLOOKUP(RANK(LX20,$LX$10:$LX$109),Sheet1!$A$381:$B$480,2,FALSE)</f>
        <v>99th</v>
      </c>
      <c r="MA20" s="186"/>
      <c r="MB20" s="186"/>
      <c r="MC20" s="186">
        <f t="shared" si="159"/>
        <v>0</v>
      </c>
      <c r="MD20" s="186" t="str">
        <f t="shared" si="160"/>
        <v>26</v>
      </c>
      <c r="ME20" s="186" t="str">
        <f t="shared" si="161"/>
        <v>3</v>
      </c>
      <c r="MF20" s="183">
        <f t="shared" si="225"/>
        <v>29</v>
      </c>
      <c r="MG20" s="151">
        <f t="shared" si="226"/>
        <v>9.6666666666666696</v>
      </c>
      <c r="MH20" s="135" t="str">
        <f t="shared" si="162"/>
        <v>F</v>
      </c>
      <c r="MI20" s="151" t="str">
        <f>VLOOKUP(RANK(MG20,$MG$10:$MG$109),Sheet1!$A$381:$B$480,2,FALSE)</f>
        <v>98th</v>
      </c>
      <c r="MJ20" s="186"/>
      <c r="MK20" s="186"/>
      <c r="ML20" s="186">
        <f t="shared" si="163"/>
        <v>0</v>
      </c>
      <c r="MM20" s="186" t="str">
        <f t="shared" si="164"/>
        <v>47</v>
      </c>
      <c r="MN20" s="186" t="str">
        <f t="shared" si="165"/>
        <v>0</v>
      </c>
      <c r="MO20" s="186">
        <f t="shared" si="227"/>
        <v>47</v>
      </c>
      <c r="MP20" s="186">
        <f t="shared" si="228"/>
        <v>15.6666666666667</v>
      </c>
      <c r="MQ20" s="135" t="str">
        <f t="shared" si="166"/>
        <v>F</v>
      </c>
      <c r="MR20" s="151" t="str">
        <f>VLOOKUP(RANK(MP20,$MP$10:$MP$109),Sheet1!$A$381:$B$480,2,FALSE)</f>
        <v>100th</v>
      </c>
      <c r="MS20" s="186"/>
      <c r="MT20" s="186"/>
      <c r="MU20" s="186">
        <f t="shared" si="167"/>
        <v>0</v>
      </c>
      <c r="MV20" s="186" t="str">
        <f t="shared" si="168"/>
        <v>42</v>
      </c>
      <c r="MW20" s="186" t="str">
        <f t="shared" si="169"/>
        <v>0</v>
      </c>
      <c r="MX20" s="186">
        <f t="shared" si="229"/>
        <v>42</v>
      </c>
      <c r="MY20" s="186">
        <f t="shared" si="230"/>
        <v>14</v>
      </c>
      <c r="MZ20" s="135" t="str">
        <f t="shared" si="170"/>
        <v>F</v>
      </c>
      <c r="NA20" s="151" t="str">
        <f>VLOOKUP(RANK(MY20,$MY$10:$MY$109),Sheet1!$A$381:$B$480,2,FALSE)</f>
        <v>98th</v>
      </c>
      <c r="NB20" s="186"/>
      <c r="NC20" s="186"/>
      <c r="ND20" s="186">
        <f t="shared" si="171"/>
        <v>0</v>
      </c>
      <c r="NE20" s="186" t="str">
        <f t="shared" si="172"/>
        <v>36</v>
      </c>
      <c r="NF20" s="186" t="str">
        <f t="shared" si="173"/>
        <v>31</v>
      </c>
      <c r="NG20" s="186">
        <f t="shared" si="231"/>
        <v>67</v>
      </c>
      <c r="NH20" s="186">
        <f t="shared" si="232"/>
        <v>22.3333333333333</v>
      </c>
      <c r="NI20" s="135" t="str">
        <f t="shared" si="174"/>
        <v>F</v>
      </c>
      <c r="NJ20" s="151" t="str">
        <f>VLOOKUP(RANK(NH20,$NH$10:$NH$109),Sheet1!$A$381:$B$480,2,FALSE)</f>
        <v>98th</v>
      </c>
      <c r="NK20" s="186"/>
      <c r="NL20" s="186"/>
      <c r="NM20" s="186">
        <f t="shared" si="175"/>
        <v>0</v>
      </c>
      <c r="NN20" s="186" t="str">
        <f t="shared" si="176"/>
        <v>50</v>
      </c>
      <c r="NO20" s="186" t="str">
        <f t="shared" si="177"/>
        <v>10</v>
      </c>
      <c r="NP20" s="186">
        <f t="shared" si="233"/>
        <v>60</v>
      </c>
      <c r="NQ20" s="186">
        <f t="shared" si="178"/>
        <v>20</v>
      </c>
      <c r="NR20" s="135" t="str">
        <f t="shared" si="179"/>
        <v>F</v>
      </c>
      <c r="NS20" s="151" t="str">
        <f>VLOOKUP(RANK(NQ20,$NQ$10:$NQ$109),Sheet1!$A$381:$B$480,2,FALSE)</f>
        <v>98th</v>
      </c>
      <c r="NT20" s="186"/>
      <c r="NU20" s="186"/>
      <c r="NV20" s="186">
        <f t="shared" si="180"/>
        <v>0</v>
      </c>
      <c r="NW20" s="186" t="str">
        <f t="shared" si="181"/>
        <v>0</v>
      </c>
      <c r="NX20" s="186" t="str">
        <f t="shared" si="182"/>
        <v>0</v>
      </c>
      <c r="NY20" s="186">
        <f t="shared" si="234"/>
        <v>0</v>
      </c>
      <c r="NZ20" s="186">
        <f t="shared" si="183"/>
        <v>0</v>
      </c>
      <c r="OA20" s="135" t="str">
        <f t="shared" si="184"/>
        <v>F</v>
      </c>
      <c r="OB20" s="151" t="str">
        <f>VLOOKUP(RANK(NZ20,$NZ$10:$NZ$109),Sheet1!$A$381:$B$480,2,FALSE)</f>
        <v>1st</v>
      </c>
      <c r="OC20" s="186"/>
      <c r="OD20" s="186"/>
      <c r="OE20" s="186">
        <f t="shared" si="185"/>
        <v>0</v>
      </c>
      <c r="OF20" s="186" t="str">
        <f t="shared" si="186"/>
        <v>0</v>
      </c>
      <c r="OG20" s="186" t="str">
        <f t="shared" si="187"/>
        <v>0</v>
      </c>
      <c r="OH20" s="186">
        <f t="shared" si="235"/>
        <v>0</v>
      </c>
      <c r="OI20" s="186">
        <f t="shared" si="236"/>
        <v>0</v>
      </c>
      <c r="OJ20" s="135" t="str">
        <f t="shared" si="188"/>
        <v>F</v>
      </c>
      <c r="OK20" s="151" t="str">
        <f>VLOOKUP(RANK(OI20,$OI$10:$OI$109),Sheet1!$A$381:$B$480,2,FALSE)</f>
        <v>1st</v>
      </c>
      <c r="OL20" s="151"/>
      <c r="OM20" s="151"/>
      <c r="ON20" s="151">
        <f t="shared" si="237"/>
        <v>0</v>
      </c>
      <c r="OO20" s="151" t="str">
        <f t="shared" si="238"/>
        <v>0</v>
      </c>
      <c r="OP20" s="151" t="str">
        <f t="shared" si="239"/>
        <v>0</v>
      </c>
      <c r="OQ20" s="151">
        <f t="shared" si="240"/>
        <v>0</v>
      </c>
      <c r="OR20" s="151">
        <f t="shared" si="241"/>
        <v>0</v>
      </c>
      <c r="OS20" s="135" t="str">
        <f t="shared" si="189"/>
        <v>F</v>
      </c>
      <c r="OT20" s="151" t="str">
        <f>VLOOKUP(RANK(OR20,$OI$10:$OI$109),Sheet1!$A$381:$B$480,2,FALSE)</f>
        <v>1st</v>
      </c>
      <c r="OU20" s="151">
        <f t="shared" si="242"/>
        <v>222.333333333333</v>
      </c>
      <c r="OV20" s="151">
        <f t="shared" si="243"/>
        <v>13.078431372549</v>
      </c>
      <c r="OW20" s="151" t="str">
        <f>VLOOKUP(RANK(OV20,$OV$10:$OV$109),Sheet1!$A$381:$B$480,2,FALSE)</f>
        <v>99th</v>
      </c>
      <c r="OX20" s="151"/>
      <c r="OY20" s="186"/>
      <c r="OZ20" s="186"/>
      <c r="PA20" s="186"/>
      <c r="PB20" s="186"/>
    </row>
    <row r="21" spans="1:418" s="118" customFormat="1" ht="18.75">
      <c r="A21" s="131">
        <v>12</v>
      </c>
      <c r="B21" s="132" t="s">
        <v>109</v>
      </c>
      <c r="C21" s="133" t="s">
        <v>97</v>
      </c>
      <c r="D21" s="136">
        <v>33</v>
      </c>
      <c r="E21" s="136">
        <v>40</v>
      </c>
      <c r="F21" s="137">
        <f t="shared" si="0"/>
        <v>73</v>
      </c>
      <c r="G21" s="137">
        <f t="shared" si="1"/>
        <v>73</v>
      </c>
      <c r="H21" s="135" t="str">
        <f t="shared" si="190"/>
        <v>B</v>
      </c>
      <c r="I21" s="135" t="str">
        <f>VLOOKUP(RANK(G21,$G$10:$G$109),Sheet1!$A$381:$B$480,2,FALSE)</f>
        <v>24th</v>
      </c>
      <c r="J21" s="136">
        <v>31</v>
      </c>
      <c r="K21" s="136">
        <v>45</v>
      </c>
      <c r="L21" s="137">
        <f t="shared" si="2"/>
        <v>76</v>
      </c>
      <c r="M21" s="137">
        <f t="shared" si="3"/>
        <v>76</v>
      </c>
      <c r="N21" s="135" t="str">
        <f t="shared" si="4"/>
        <v>A</v>
      </c>
      <c r="O21" s="141" t="str">
        <f>VLOOKUP(RANK(M21,$M$10:$M$109),Sheet1!$A$381:$B$480,2,FALSE)</f>
        <v>8th</v>
      </c>
      <c r="P21" s="142">
        <v>36</v>
      </c>
      <c r="Q21" s="145">
        <v>25</v>
      </c>
      <c r="R21" s="147">
        <f t="shared" si="5"/>
        <v>61</v>
      </c>
      <c r="S21" s="137">
        <f t="shared" si="6"/>
        <v>61</v>
      </c>
      <c r="T21" s="135" t="str">
        <f t="shared" si="7"/>
        <v>B</v>
      </c>
      <c r="U21" s="135" t="str">
        <f>VLOOKUP(RANK(S21,$S$10:$S$109),Sheet1!$A$381:$B$480,2,FALSE)</f>
        <v>11th</v>
      </c>
      <c r="V21" s="136">
        <v>26</v>
      </c>
      <c r="W21" s="136">
        <v>25</v>
      </c>
      <c r="X21" s="137">
        <f t="shared" si="191"/>
        <v>51</v>
      </c>
      <c r="Y21" s="137">
        <f t="shared" si="244"/>
        <v>51</v>
      </c>
      <c r="Z21" s="135" t="str">
        <f t="shared" si="8"/>
        <v>C</v>
      </c>
      <c r="AA21" s="135" t="str">
        <f>VLOOKUP(RANK(Y21,$Y$10:$Y$109),Sheet1!$A$381:$B$480,2,FALSE)</f>
        <v>54th</v>
      </c>
      <c r="AB21" s="136">
        <v>28</v>
      </c>
      <c r="AC21" s="136">
        <v>27</v>
      </c>
      <c r="AD21" s="137">
        <f t="shared" si="9"/>
        <v>55</v>
      </c>
      <c r="AE21" s="137">
        <f t="shared" si="10"/>
        <v>55</v>
      </c>
      <c r="AF21" s="135" t="str">
        <f t="shared" si="11"/>
        <v>C</v>
      </c>
      <c r="AG21" s="135" t="str">
        <f>VLOOKUP(RANK(AE21,$AE$10:$AE$109),Sheet1!$A$381:$B$480,2,FALSE)</f>
        <v>60th</v>
      </c>
      <c r="AH21" s="137"/>
      <c r="AI21" s="137"/>
      <c r="AJ21" s="137">
        <f t="shared" si="12"/>
        <v>0</v>
      </c>
      <c r="AK21" s="137">
        <f t="shared" si="13"/>
        <v>0</v>
      </c>
      <c r="AL21" s="135" t="str">
        <f t="shared" si="14"/>
        <v>F</v>
      </c>
      <c r="AM21" s="135" t="str">
        <f>VLOOKUP(RANK(AK21,$AK$10:$AK$109),Sheet1!$A$381:$B$480,2,FALSE)</f>
        <v>1st</v>
      </c>
      <c r="AN21" s="136"/>
      <c r="AO21" s="136"/>
      <c r="AP21" s="137">
        <f t="shared" si="15"/>
        <v>0</v>
      </c>
      <c r="AQ21" s="137">
        <f t="shared" si="16"/>
        <v>0</v>
      </c>
      <c r="AR21" s="135" t="str">
        <f t="shared" si="17"/>
        <v>F</v>
      </c>
      <c r="AS21" s="135" t="str">
        <f>VLOOKUP(RANK(AQ21,$AQ$10:$AQ$109),Sheet1!$A$381:$B$480,2,FALSE)</f>
        <v>1st</v>
      </c>
      <c r="AT21" s="142">
        <v>25</v>
      </c>
      <c r="AU21" s="145">
        <v>25</v>
      </c>
      <c r="AV21" s="137">
        <f t="shared" si="18"/>
        <v>50</v>
      </c>
      <c r="AW21" s="137">
        <f t="shared" si="19"/>
        <v>50</v>
      </c>
      <c r="AX21" s="135" t="str">
        <f t="shared" si="20"/>
        <v>C</v>
      </c>
      <c r="AY21" s="141" t="str">
        <f>VLOOKUP(RANK(AW21,$AW$10:$AW$109),Sheet1!$A$381:$B$480,2,FALSE)</f>
        <v>58th</v>
      </c>
      <c r="AZ21" s="142">
        <v>33</v>
      </c>
      <c r="BA21" s="145">
        <v>22</v>
      </c>
      <c r="BB21" s="147">
        <f t="shared" si="21"/>
        <v>55</v>
      </c>
      <c r="BC21" s="137">
        <f t="shared" si="22"/>
        <v>55</v>
      </c>
      <c r="BD21" s="135" t="str">
        <f t="shared" si="23"/>
        <v>C</v>
      </c>
      <c r="BE21" s="135" t="str">
        <f>VLOOKUP(RANK(BC21,$BC$10:$BC$109),Sheet1!$A$381:$B$480,2,FALSE)</f>
        <v>43rd</v>
      </c>
      <c r="BF21" s="142">
        <v>23</v>
      </c>
      <c r="BG21" s="145">
        <v>19</v>
      </c>
      <c r="BH21" s="137">
        <f t="shared" si="24"/>
        <v>42</v>
      </c>
      <c r="BI21" s="137">
        <f t="shared" si="25"/>
        <v>42</v>
      </c>
      <c r="BJ21" s="135" t="str">
        <f t="shared" si="26"/>
        <v>D</v>
      </c>
      <c r="BK21" s="141" t="str">
        <f>VLOOKUP(RANK(BI21,$BI$10:$BI$109),Sheet1!$A$381:$B$480,2,FALSE)</f>
        <v>28th</v>
      </c>
      <c r="BL21" s="148">
        <v>26</v>
      </c>
      <c r="BM21" s="150">
        <v>26</v>
      </c>
      <c r="BN21" s="147">
        <f t="shared" si="27"/>
        <v>52</v>
      </c>
      <c r="BO21" s="137">
        <f t="shared" si="28"/>
        <v>52</v>
      </c>
      <c r="BP21" s="135" t="str">
        <f t="shared" si="29"/>
        <v>C</v>
      </c>
      <c r="BQ21" s="141" t="str">
        <f>VLOOKUP(RANK(BO21,$BO$10:$BO$109),Sheet1!$A$381:$B$480,2,FALSE)</f>
        <v>56th</v>
      </c>
      <c r="BR21" s="148">
        <v>29</v>
      </c>
      <c r="BS21" s="150">
        <v>10</v>
      </c>
      <c r="BT21" s="147">
        <f t="shared" si="30"/>
        <v>39</v>
      </c>
      <c r="BU21" s="137">
        <f t="shared" si="31"/>
        <v>39</v>
      </c>
      <c r="BV21" s="135" t="str">
        <f t="shared" si="32"/>
        <v>E</v>
      </c>
      <c r="BW21" s="135" t="str">
        <f>VLOOKUP(RANK(BU21,$BU$10:$BU$109),Sheet1!$A$381:$B$480,2,FALSE)</f>
        <v>65th</v>
      </c>
      <c r="BX21" s="148">
        <v>27</v>
      </c>
      <c r="BY21" s="150">
        <v>10</v>
      </c>
      <c r="BZ21" s="137">
        <f t="shared" si="33"/>
        <v>37</v>
      </c>
      <c r="CA21" s="137">
        <f t="shared" si="34"/>
        <v>37</v>
      </c>
      <c r="CB21" s="135" t="str">
        <f t="shared" si="35"/>
        <v>E</v>
      </c>
      <c r="CC21" s="135" t="str">
        <f>VLOOKUP(RANK(CA21,$CA$10:$CA$109),Sheet1!$A$381:$B$480,2,FALSE)</f>
        <v>70th</v>
      </c>
      <c r="CD21" s="148">
        <v>26</v>
      </c>
      <c r="CE21" s="150">
        <v>30</v>
      </c>
      <c r="CF21" s="137">
        <f t="shared" si="36"/>
        <v>56</v>
      </c>
      <c r="CG21" s="137">
        <f t="shared" si="37"/>
        <v>56</v>
      </c>
      <c r="CH21" s="135" t="str">
        <f t="shared" si="38"/>
        <v>C</v>
      </c>
      <c r="CI21" s="135" t="str">
        <f>VLOOKUP(RANK(CG21,$CG$10:$CG$109),Sheet1!$A$381:$B$480,2,FALSE)</f>
        <v>41st</v>
      </c>
      <c r="CJ21" s="137"/>
      <c r="CK21" s="137"/>
      <c r="CL21" s="137">
        <f t="shared" si="39"/>
        <v>0</v>
      </c>
      <c r="CM21" s="137">
        <f t="shared" si="40"/>
        <v>0</v>
      </c>
      <c r="CN21" s="135" t="str">
        <f t="shared" si="41"/>
        <v>F</v>
      </c>
      <c r="CO21" s="135" t="str">
        <f>VLOOKUP(RANK(CM21,$CM$10:$CM$109),Sheet1!$A$381:$B$480,2,FALSE)</f>
        <v>1st</v>
      </c>
      <c r="CP21" s="137"/>
      <c r="CQ21" s="137"/>
      <c r="CR21" s="137">
        <f t="shared" si="42"/>
        <v>0</v>
      </c>
      <c r="CS21" s="137">
        <f t="shared" si="43"/>
        <v>0</v>
      </c>
      <c r="CT21" s="135" t="str">
        <f t="shared" si="44"/>
        <v>F</v>
      </c>
      <c r="CU21" s="135" t="str">
        <f>VLOOKUP(RANK(CS21,$CS$10:$CS$109),Sheet1!$A$381:$B$480,2,FALSE)</f>
        <v>1st</v>
      </c>
      <c r="CV21" s="151"/>
      <c r="CW21" s="135"/>
      <c r="CX21" s="151">
        <f t="shared" si="192"/>
        <v>0</v>
      </c>
      <c r="CY21" s="151">
        <f t="shared" si="193"/>
        <v>0</v>
      </c>
      <c r="CZ21" s="135" t="str">
        <f t="shared" si="45"/>
        <v>F</v>
      </c>
      <c r="DA21" s="135" t="str">
        <f>VLOOKUP(RANK(CY21,$CY$10:$CY$109),Sheet1!$A$381:$B$480,2,FALSE)</f>
        <v>1st</v>
      </c>
      <c r="DB21" s="135"/>
      <c r="DC21" s="151">
        <f t="shared" si="194"/>
        <v>647</v>
      </c>
      <c r="DD21" s="151">
        <f t="shared" si="195"/>
        <v>38.058823529411796</v>
      </c>
      <c r="DE21" s="135" t="str">
        <f>VLOOKUP(RANK(DD21,$DD$10:$DD$109),Sheet1!$A$381:$B$480,2,FALSE)</f>
        <v>38th</v>
      </c>
      <c r="DF21" s="137"/>
      <c r="DG21" s="160">
        <f t="shared" si="46"/>
        <v>685.05882352941205</v>
      </c>
      <c r="DH21" s="119"/>
      <c r="DI21" s="163">
        <v>32</v>
      </c>
      <c r="DJ21" s="163">
        <v>47</v>
      </c>
      <c r="DK21" s="137">
        <f t="shared" si="47"/>
        <v>79</v>
      </c>
      <c r="DL21" s="137" t="str">
        <f t="shared" si="48"/>
        <v>73</v>
      </c>
      <c r="DM21" s="137">
        <f t="shared" si="49"/>
        <v>152</v>
      </c>
      <c r="DN21" s="137">
        <f t="shared" si="50"/>
        <v>76</v>
      </c>
      <c r="DO21" s="135" t="str">
        <f t="shared" si="51"/>
        <v>A</v>
      </c>
      <c r="DP21" s="135" t="str">
        <f>VLOOKUP(RANK(DN21,$DN$10:$DN$109),Sheet1!$A$381:$B$480,2,FALSE)</f>
        <v>14th</v>
      </c>
      <c r="DQ21" s="164">
        <v>30</v>
      </c>
      <c r="DR21" s="165">
        <v>28</v>
      </c>
      <c r="DS21" s="137">
        <f t="shared" si="52"/>
        <v>58</v>
      </c>
      <c r="DT21" s="137" t="str">
        <f t="shared" si="53"/>
        <v>76</v>
      </c>
      <c r="DU21" s="137">
        <f t="shared" si="54"/>
        <v>134</v>
      </c>
      <c r="DV21" s="137">
        <f t="shared" si="55"/>
        <v>67</v>
      </c>
      <c r="DW21" s="135" t="str">
        <f t="shared" si="56"/>
        <v>B</v>
      </c>
      <c r="DX21" s="135" t="str">
        <f>VLOOKUP(RANK(DV21,$DV$10:$DV$109),Sheet1!$A$381:$B$480,2,FALSE)</f>
        <v>5th</v>
      </c>
      <c r="DY21" s="167">
        <v>35</v>
      </c>
      <c r="DZ21" s="165">
        <v>26</v>
      </c>
      <c r="EA21" s="137">
        <f t="shared" si="57"/>
        <v>61</v>
      </c>
      <c r="EB21" s="137" t="str">
        <f t="shared" si="58"/>
        <v>61</v>
      </c>
      <c r="EC21" s="137">
        <f t="shared" si="59"/>
        <v>122</v>
      </c>
      <c r="ED21" s="137">
        <f t="shared" si="60"/>
        <v>61</v>
      </c>
      <c r="EE21" s="135" t="str">
        <f t="shared" si="61"/>
        <v>B</v>
      </c>
      <c r="EF21" s="135" t="str">
        <f>VLOOKUP(RANK(ED21,$ED$10:$ED$109),Sheet1!$A$381:$B$480,2,FALSE)</f>
        <v>8th</v>
      </c>
      <c r="EG21" s="163">
        <v>31</v>
      </c>
      <c r="EH21" s="163">
        <v>45</v>
      </c>
      <c r="EI21" s="137">
        <f t="shared" si="62"/>
        <v>76</v>
      </c>
      <c r="EJ21" s="137" t="str">
        <f t="shared" si="63"/>
        <v>51</v>
      </c>
      <c r="EK21" s="137">
        <f t="shared" si="64"/>
        <v>127</v>
      </c>
      <c r="EL21" s="137">
        <f t="shared" si="65"/>
        <v>63.5</v>
      </c>
      <c r="EM21" s="135" t="str">
        <f t="shared" si="66"/>
        <v>B</v>
      </c>
      <c r="EN21" s="135" t="str">
        <f>VLOOKUP(RANK(EL21,$EL$10:$EL$109),Sheet1!$A$381:$B$480,2,FALSE)</f>
        <v>29th</v>
      </c>
      <c r="EO21" s="163">
        <v>31</v>
      </c>
      <c r="EP21" s="163">
        <v>30</v>
      </c>
      <c r="EQ21" s="137">
        <f t="shared" si="67"/>
        <v>61</v>
      </c>
      <c r="ER21" s="137" t="str">
        <f t="shared" si="68"/>
        <v>55</v>
      </c>
      <c r="ES21" s="137">
        <f t="shared" si="69"/>
        <v>116</v>
      </c>
      <c r="ET21" s="137">
        <f t="shared" si="70"/>
        <v>58</v>
      </c>
      <c r="EU21" s="135" t="str">
        <f t="shared" si="71"/>
        <v>C</v>
      </c>
      <c r="EV21" s="135" t="str">
        <f>VLOOKUP(RANK(ET21,$ET$10:$ET$109),Sheet1!$A$381:$B$480,2,FALSE)</f>
        <v>40th</v>
      </c>
      <c r="EW21" s="137"/>
      <c r="EX21" s="137"/>
      <c r="EY21" s="137">
        <f t="shared" si="72"/>
        <v>0</v>
      </c>
      <c r="EZ21" s="137" t="str">
        <f t="shared" si="73"/>
        <v>0</v>
      </c>
      <c r="FA21" s="137">
        <f t="shared" si="74"/>
        <v>0</v>
      </c>
      <c r="FB21" s="137">
        <f t="shared" si="75"/>
        <v>0</v>
      </c>
      <c r="FC21" s="135" t="str">
        <f t="shared" si="76"/>
        <v>F</v>
      </c>
      <c r="FD21" s="135" t="str">
        <f>VLOOKUP(RANK(FB21,$FB$10:$FB$109),Sheet1!$A$381:$B$480,2,FALSE)</f>
        <v>1st</v>
      </c>
      <c r="FE21" s="137"/>
      <c r="FF21" s="137"/>
      <c r="FG21" s="137">
        <f t="shared" si="77"/>
        <v>0</v>
      </c>
      <c r="FH21" s="137" t="str">
        <f t="shared" si="78"/>
        <v>0</v>
      </c>
      <c r="FI21" s="137">
        <f t="shared" si="79"/>
        <v>0</v>
      </c>
      <c r="FJ21" s="137">
        <f t="shared" si="80"/>
        <v>0</v>
      </c>
      <c r="FK21" s="135" t="str">
        <f t="shared" si="81"/>
        <v>F</v>
      </c>
      <c r="FL21" s="135" t="str">
        <f>VLOOKUP(RANK(FJ21,$FJ$10:$FJ$109),Sheet1!$A$381:$B$480,2,FALSE)</f>
        <v>1st</v>
      </c>
      <c r="FM21" s="164">
        <v>29</v>
      </c>
      <c r="FN21" s="165">
        <v>22</v>
      </c>
      <c r="FO21" s="137">
        <f t="shared" si="82"/>
        <v>51</v>
      </c>
      <c r="FP21" s="137" t="str">
        <f t="shared" si="83"/>
        <v>50</v>
      </c>
      <c r="FQ21" s="137">
        <f t="shared" si="84"/>
        <v>101</v>
      </c>
      <c r="FR21" s="137">
        <f t="shared" si="85"/>
        <v>50.5</v>
      </c>
      <c r="FS21" s="135" t="str">
        <f t="shared" si="86"/>
        <v>C</v>
      </c>
      <c r="FT21" s="135" t="str">
        <f>VLOOKUP(RANK(FR21,$FR$10:$FR$109),Sheet1!$A$381:$B$480,2,FALSE)</f>
        <v>65th</v>
      </c>
      <c r="FU21" s="148">
        <v>38</v>
      </c>
      <c r="FV21" s="150">
        <v>24</v>
      </c>
      <c r="FW21" s="137">
        <f t="shared" si="87"/>
        <v>62</v>
      </c>
      <c r="FX21" s="137" t="str">
        <f t="shared" si="88"/>
        <v>55</v>
      </c>
      <c r="FY21" s="137">
        <f t="shared" si="196"/>
        <v>62</v>
      </c>
      <c r="FZ21" s="137">
        <f t="shared" si="89"/>
        <v>31</v>
      </c>
      <c r="GA21" s="135" t="str">
        <f t="shared" si="90"/>
        <v>F</v>
      </c>
      <c r="GB21" s="135" t="str">
        <f>VLOOKUP(RANK(FZ21,$FZ$10:$FZ$109),Sheet1!$A$381:$B$480,2,FALSE)</f>
        <v>16th</v>
      </c>
      <c r="GC21" s="164">
        <v>31</v>
      </c>
      <c r="GD21" s="165">
        <v>27</v>
      </c>
      <c r="GE21" s="137">
        <f t="shared" si="91"/>
        <v>58</v>
      </c>
      <c r="GF21" s="137" t="str">
        <f t="shared" si="92"/>
        <v>42</v>
      </c>
      <c r="GG21" s="135">
        <f t="shared" si="197"/>
        <v>100</v>
      </c>
      <c r="GH21" s="137">
        <f t="shared" si="198"/>
        <v>50</v>
      </c>
      <c r="GI21" s="135" t="str">
        <f t="shared" si="93"/>
        <v>C</v>
      </c>
      <c r="GJ21" s="135" t="str">
        <f>VLOOKUP(RANK(GH21,$GH$10:$GH$109),Sheet1!$A$381:$B$480,2,FALSE)</f>
        <v>14th</v>
      </c>
      <c r="GK21" s="164">
        <v>27</v>
      </c>
      <c r="GL21" s="165">
        <v>21</v>
      </c>
      <c r="GM21" s="137">
        <f t="shared" si="94"/>
        <v>48</v>
      </c>
      <c r="GN21" s="137" t="str">
        <f t="shared" si="95"/>
        <v>52</v>
      </c>
      <c r="GO21" s="135">
        <f t="shared" si="199"/>
        <v>100</v>
      </c>
      <c r="GP21" s="137">
        <f t="shared" si="96"/>
        <v>50</v>
      </c>
      <c r="GQ21" s="135" t="str">
        <f t="shared" si="97"/>
        <v>C</v>
      </c>
      <c r="GR21" s="135" t="str">
        <f>VLOOKUP(RANK(GP21,$GP$10:$GP$109),Sheet1!$A$381:$B$480,2,FALSE)</f>
        <v>22nd</v>
      </c>
      <c r="GS21" s="164">
        <v>25</v>
      </c>
      <c r="GT21" s="165">
        <v>45</v>
      </c>
      <c r="GU21" s="137">
        <f t="shared" si="98"/>
        <v>70</v>
      </c>
      <c r="GV21" s="137" t="str">
        <f t="shared" si="99"/>
        <v>39</v>
      </c>
      <c r="GW21" s="137">
        <f t="shared" si="100"/>
        <v>109</v>
      </c>
      <c r="GX21" s="137">
        <f t="shared" si="101"/>
        <v>54.5</v>
      </c>
      <c r="GY21" s="135" t="str">
        <f t="shared" si="102"/>
        <v>C</v>
      </c>
      <c r="GZ21" s="135" t="str">
        <f>VLOOKUP(RANK(GX21,$GX$10:$GX$109),Sheet1!$A$381:$B$480,2,FALSE)</f>
        <v>38th</v>
      </c>
      <c r="HA21" s="164">
        <v>30</v>
      </c>
      <c r="HB21" s="165">
        <v>20</v>
      </c>
      <c r="HC21" s="137">
        <f t="shared" si="103"/>
        <v>50</v>
      </c>
      <c r="HD21" s="137" t="str">
        <f t="shared" si="104"/>
        <v>37</v>
      </c>
      <c r="HE21" s="137">
        <f t="shared" si="105"/>
        <v>87</v>
      </c>
      <c r="HF21" s="137">
        <f t="shared" si="106"/>
        <v>43.5</v>
      </c>
      <c r="HG21" s="135" t="str">
        <f t="shared" si="107"/>
        <v>D</v>
      </c>
      <c r="HH21" s="135" t="str">
        <f>VLOOKUP(RANK(HF21,$HF$10:$HF$109),Sheet1!$A$381:$B$480,2,FALSE)</f>
        <v>33rd</v>
      </c>
      <c r="HI21" s="148">
        <v>22</v>
      </c>
      <c r="HJ21" s="150">
        <v>40</v>
      </c>
      <c r="HK21" s="137">
        <f t="shared" si="108"/>
        <v>62</v>
      </c>
      <c r="HL21" s="137" t="str">
        <f t="shared" si="109"/>
        <v>56</v>
      </c>
      <c r="HM21" s="137">
        <f t="shared" si="110"/>
        <v>118</v>
      </c>
      <c r="HN21" s="137">
        <f t="shared" si="111"/>
        <v>59</v>
      </c>
      <c r="HO21" s="135" t="str">
        <f t="shared" si="112"/>
        <v>C</v>
      </c>
      <c r="HP21" s="135" t="str">
        <f>VLOOKUP(RANK(HN21,$HN$10:$HN$109),Sheet1!$A$381:$B$480,2,FALSE)</f>
        <v>74th</v>
      </c>
      <c r="HQ21" s="137"/>
      <c r="HR21" s="137"/>
      <c r="HS21" s="137">
        <f t="shared" si="113"/>
        <v>0</v>
      </c>
      <c r="HT21" s="137" t="str">
        <f t="shared" si="114"/>
        <v>0</v>
      </c>
      <c r="HU21" s="137">
        <f t="shared" si="115"/>
        <v>0</v>
      </c>
      <c r="HV21" s="137">
        <f t="shared" si="116"/>
        <v>0</v>
      </c>
      <c r="HW21" s="135" t="str">
        <f t="shared" si="117"/>
        <v>F</v>
      </c>
      <c r="HX21" s="135" t="str">
        <f>VLOOKUP(RANK(HV21,$HV$10:$HV$109),Sheet1!$A$381:$B$480,2,FALSE)</f>
        <v>1st</v>
      </c>
      <c r="HY21" s="137"/>
      <c r="HZ21" s="137"/>
      <c r="IA21" s="137">
        <f t="shared" si="118"/>
        <v>0</v>
      </c>
      <c r="IB21" s="137" t="str">
        <f t="shared" si="119"/>
        <v>0</v>
      </c>
      <c r="IC21" s="137">
        <f t="shared" si="120"/>
        <v>0</v>
      </c>
      <c r="ID21" s="137">
        <f t="shared" si="121"/>
        <v>0</v>
      </c>
      <c r="IE21" s="135" t="str">
        <f t="shared" si="122"/>
        <v>F</v>
      </c>
      <c r="IF21" s="135" t="str">
        <f>VLOOKUP(RANK(ID21,$ID$10:$ID$109),Sheet1!$A$381:$B$480,2,FALSE)</f>
        <v>1st</v>
      </c>
      <c r="IG21" s="135"/>
      <c r="IH21" s="135"/>
      <c r="II21" s="135">
        <f t="shared" si="200"/>
        <v>0</v>
      </c>
      <c r="IJ21" s="135" t="str">
        <f t="shared" si="201"/>
        <v>0</v>
      </c>
      <c r="IK21" s="135">
        <f t="shared" si="202"/>
        <v>0</v>
      </c>
      <c r="IL21" s="135">
        <f t="shared" si="203"/>
        <v>0</v>
      </c>
      <c r="IM21" s="135" t="str">
        <f t="shared" si="123"/>
        <v>F</v>
      </c>
      <c r="IN21" s="135" t="str">
        <f>VLOOKUP(RANK(IL21,$IL$10:$IL$109),Sheet1!$A$381:$B$480,2,FALSE)</f>
        <v>1st</v>
      </c>
      <c r="IO21" s="135">
        <f t="shared" si="204"/>
        <v>664</v>
      </c>
      <c r="IP21" s="177">
        <f t="shared" si="205"/>
        <v>39.058823529411796</v>
      </c>
      <c r="IQ21" s="135" t="str">
        <f>VLOOKUP(RANK(IP21,$IP$10:$IP$109),Sheet1!$A$381:$B$480,2,FALSE)</f>
        <v>22nd</v>
      </c>
      <c r="IR21" s="178"/>
      <c r="IS21" s="137"/>
      <c r="IT21" s="137"/>
      <c r="IU21" s="137"/>
      <c r="IV21" s="137"/>
      <c r="IW21" s="181"/>
      <c r="IX21" s="184"/>
      <c r="IY21" s="186"/>
      <c r="IZ21" s="186">
        <f t="shared" si="206"/>
        <v>0</v>
      </c>
      <c r="JA21" s="186" t="str">
        <f t="shared" si="124"/>
        <v>73</v>
      </c>
      <c r="JB21" s="186" t="str">
        <f t="shared" si="125"/>
        <v>79</v>
      </c>
      <c r="JC21" s="186">
        <f t="shared" si="207"/>
        <v>152</v>
      </c>
      <c r="JD21" s="186">
        <f t="shared" si="208"/>
        <v>50.6666666666667</v>
      </c>
      <c r="JE21" s="135" t="str">
        <f t="shared" si="126"/>
        <v>C</v>
      </c>
      <c r="JF21" s="151" t="str">
        <f>VLOOKUP(RANK(JD21,$JD$10:$JD$109),Sheet1!$A$381:$B$480,2,FALSE)</f>
        <v>14th</v>
      </c>
      <c r="JG21" s="186"/>
      <c r="JH21" s="186"/>
      <c r="JI21" s="186">
        <f t="shared" si="127"/>
        <v>0</v>
      </c>
      <c r="JJ21" s="186" t="str">
        <f t="shared" si="128"/>
        <v>76</v>
      </c>
      <c r="JK21" s="186" t="str">
        <f t="shared" si="129"/>
        <v>58</v>
      </c>
      <c r="JL21" s="186">
        <f t="shared" si="209"/>
        <v>134</v>
      </c>
      <c r="JM21" s="186">
        <f t="shared" si="210"/>
        <v>44.6666666666667</v>
      </c>
      <c r="JN21" s="135" t="str">
        <f t="shared" si="130"/>
        <v>D</v>
      </c>
      <c r="JO21" s="151" t="str">
        <f>VLOOKUP(RANK(JM21,$JM$10:$JM$109),Sheet1!$A$381:$B$480,2,FALSE)</f>
        <v>5th</v>
      </c>
      <c r="JP21" s="186"/>
      <c r="JQ21" s="186"/>
      <c r="JR21" s="186">
        <f t="shared" si="131"/>
        <v>0</v>
      </c>
      <c r="JS21" s="186" t="str">
        <f t="shared" si="132"/>
        <v>61</v>
      </c>
      <c r="JT21" s="186" t="str">
        <f t="shared" si="133"/>
        <v>61</v>
      </c>
      <c r="JU21" s="186">
        <f t="shared" si="211"/>
        <v>122</v>
      </c>
      <c r="JV21" s="186">
        <f t="shared" si="212"/>
        <v>40.6666666666667</v>
      </c>
      <c r="JW21" s="135" t="str">
        <f t="shared" si="134"/>
        <v>D</v>
      </c>
      <c r="JX21" s="151" t="str">
        <f>VLOOKUP(RANK(JV21,$JV$10:$JV$109),Sheet1!$A$381:$B$480,2,FALSE)</f>
        <v>8th</v>
      </c>
      <c r="JY21" s="186"/>
      <c r="JZ21" s="186"/>
      <c r="KA21" s="186">
        <f t="shared" si="135"/>
        <v>0</v>
      </c>
      <c r="KB21" s="186" t="str">
        <f t="shared" si="136"/>
        <v>51</v>
      </c>
      <c r="KC21" s="186" t="str">
        <f t="shared" si="137"/>
        <v>76</v>
      </c>
      <c r="KD21" s="186">
        <f t="shared" si="213"/>
        <v>127</v>
      </c>
      <c r="KE21" s="186">
        <f t="shared" si="214"/>
        <v>42.3333333333333</v>
      </c>
      <c r="KF21" s="135" t="str">
        <f t="shared" si="138"/>
        <v>D</v>
      </c>
      <c r="KG21" s="151" t="str">
        <f>VLOOKUP(RANK(KE21,$KE$10:$KE$109),Sheet1!$A$381:$B$480,2,FALSE)</f>
        <v>29th</v>
      </c>
      <c r="KH21" s="186"/>
      <c r="KI21" s="186"/>
      <c r="KJ21" s="186">
        <f t="shared" si="139"/>
        <v>0</v>
      </c>
      <c r="KK21" s="186" t="str">
        <f t="shared" si="140"/>
        <v>55</v>
      </c>
      <c r="KL21" s="186" t="str">
        <f t="shared" si="141"/>
        <v>61</v>
      </c>
      <c r="KM21" s="186">
        <f t="shared" si="215"/>
        <v>116</v>
      </c>
      <c r="KN21" s="186">
        <f t="shared" si="216"/>
        <v>38.6666666666667</v>
      </c>
      <c r="KO21" s="135" t="str">
        <f t="shared" si="142"/>
        <v>E</v>
      </c>
      <c r="KP21" s="151" t="str">
        <f>VLOOKUP(RANK(KN21,$KN$10:$KN$109),Sheet1!$A$381:$B$480,2,FALSE)</f>
        <v>40th</v>
      </c>
      <c r="KQ21" s="186"/>
      <c r="KR21" s="186"/>
      <c r="KS21" s="186">
        <f t="shared" si="143"/>
        <v>0</v>
      </c>
      <c r="KT21" s="186" t="str">
        <f t="shared" si="144"/>
        <v>0</v>
      </c>
      <c r="KU21" s="186" t="str">
        <f t="shared" si="145"/>
        <v>0</v>
      </c>
      <c r="KV21" s="186">
        <f t="shared" si="217"/>
        <v>0</v>
      </c>
      <c r="KW21" s="186">
        <f t="shared" si="218"/>
        <v>0</v>
      </c>
      <c r="KX21" s="135" t="str">
        <f t="shared" si="146"/>
        <v>F</v>
      </c>
      <c r="KY21" s="151" t="str">
        <f>VLOOKUP(RANK(KW21,$KW$10:$KW$109),Sheet1!$A$381:$B$480,2,FALSE)</f>
        <v>1st</v>
      </c>
      <c r="KZ21" s="186"/>
      <c r="LA21" s="186"/>
      <c r="LB21" s="186">
        <f t="shared" si="147"/>
        <v>0</v>
      </c>
      <c r="LC21" s="186" t="str">
        <f t="shared" si="148"/>
        <v>0</v>
      </c>
      <c r="LD21" s="186" t="str">
        <f t="shared" si="149"/>
        <v>0</v>
      </c>
      <c r="LE21" s="186">
        <f t="shared" si="219"/>
        <v>0</v>
      </c>
      <c r="LF21" s="186">
        <f t="shared" si="220"/>
        <v>0</v>
      </c>
      <c r="LG21" s="135" t="str">
        <f t="shared" si="150"/>
        <v>F</v>
      </c>
      <c r="LH21" s="151" t="str">
        <f>VLOOKUP(RANK(LF21,$LF$10:$LF$109),Sheet1!$A$381:$B$480,2,FALSE)</f>
        <v>1st</v>
      </c>
      <c r="LI21" s="186"/>
      <c r="LJ21" s="186"/>
      <c r="LK21" s="186">
        <f t="shared" si="151"/>
        <v>0</v>
      </c>
      <c r="LL21" s="186" t="str">
        <f t="shared" si="152"/>
        <v>50</v>
      </c>
      <c r="LM21" s="186" t="str">
        <f t="shared" si="153"/>
        <v>51</v>
      </c>
      <c r="LN21" s="186">
        <f t="shared" si="221"/>
        <v>101</v>
      </c>
      <c r="LO21" s="186">
        <f t="shared" si="222"/>
        <v>33.6666666666667</v>
      </c>
      <c r="LP21" s="135" t="str">
        <f t="shared" si="154"/>
        <v>F</v>
      </c>
      <c r="LQ21" s="151" t="str">
        <f>VLOOKUP(RANK(LO21,$LO$10:$LO$109),Sheet1!$A$381:$B$480,2,FALSE)</f>
        <v>65th</v>
      </c>
      <c r="LR21" s="186"/>
      <c r="LS21" s="186"/>
      <c r="LT21" s="186">
        <f t="shared" si="155"/>
        <v>0</v>
      </c>
      <c r="LU21" s="186" t="str">
        <f t="shared" si="156"/>
        <v>55</v>
      </c>
      <c r="LV21" s="186" t="str">
        <f t="shared" si="157"/>
        <v>62</v>
      </c>
      <c r="LW21" s="186">
        <f t="shared" si="223"/>
        <v>117</v>
      </c>
      <c r="LX21" s="186">
        <f t="shared" si="224"/>
        <v>39</v>
      </c>
      <c r="LY21" s="135" t="str">
        <f t="shared" si="158"/>
        <v>E</v>
      </c>
      <c r="LZ21" s="151" t="str">
        <f>VLOOKUP(RANK(LX21,$LX$10:$LX$109),Sheet1!$A$381:$B$480,2,FALSE)</f>
        <v>26th</v>
      </c>
      <c r="MA21" s="186"/>
      <c r="MB21" s="186"/>
      <c r="MC21" s="186">
        <f t="shared" si="159"/>
        <v>0</v>
      </c>
      <c r="MD21" s="186" t="str">
        <f t="shared" si="160"/>
        <v>42</v>
      </c>
      <c r="ME21" s="186" t="str">
        <f t="shared" si="161"/>
        <v>58</v>
      </c>
      <c r="MF21" s="183">
        <f t="shared" si="225"/>
        <v>100</v>
      </c>
      <c r="MG21" s="151">
        <f t="shared" si="226"/>
        <v>33.3333333333333</v>
      </c>
      <c r="MH21" s="135" t="str">
        <f t="shared" si="162"/>
        <v>F</v>
      </c>
      <c r="MI21" s="151" t="str">
        <f>VLOOKUP(RANK(MG21,$MG$10:$MG$109),Sheet1!$A$381:$B$480,2,FALSE)</f>
        <v>14th</v>
      </c>
      <c r="MJ21" s="186"/>
      <c r="MK21" s="186"/>
      <c r="ML21" s="186">
        <f t="shared" si="163"/>
        <v>0</v>
      </c>
      <c r="MM21" s="186" t="str">
        <f t="shared" si="164"/>
        <v>52</v>
      </c>
      <c r="MN21" s="186" t="str">
        <f t="shared" si="165"/>
        <v>48</v>
      </c>
      <c r="MO21" s="186">
        <f t="shared" si="227"/>
        <v>100</v>
      </c>
      <c r="MP21" s="186">
        <f t="shared" si="228"/>
        <v>33.3333333333333</v>
      </c>
      <c r="MQ21" s="135" t="str">
        <f t="shared" si="166"/>
        <v>F</v>
      </c>
      <c r="MR21" s="151" t="str">
        <f>VLOOKUP(RANK(MP21,$MP$10:$MP$109),Sheet1!$A$381:$B$480,2,FALSE)</f>
        <v>22nd</v>
      </c>
      <c r="MS21" s="186"/>
      <c r="MT21" s="186"/>
      <c r="MU21" s="186">
        <f t="shared" si="167"/>
        <v>0</v>
      </c>
      <c r="MV21" s="186" t="str">
        <f t="shared" si="168"/>
        <v>39</v>
      </c>
      <c r="MW21" s="186" t="str">
        <f t="shared" si="169"/>
        <v>70</v>
      </c>
      <c r="MX21" s="186">
        <f t="shared" si="229"/>
        <v>109</v>
      </c>
      <c r="MY21" s="186">
        <f t="shared" si="230"/>
        <v>36.3333333333333</v>
      </c>
      <c r="MZ21" s="135" t="str">
        <f t="shared" si="170"/>
        <v>E</v>
      </c>
      <c r="NA21" s="151" t="str">
        <f>VLOOKUP(RANK(MY21,$MY$10:$MY$109),Sheet1!$A$381:$B$480,2,FALSE)</f>
        <v>38th</v>
      </c>
      <c r="NB21" s="186"/>
      <c r="NC21" s="186"/>
      <c r="ND21" s="186">
        <f t="shared" si="171"/>
        <v>0</v>
      </c>
      <c r="NE21" s="186" t="str">
        <f t="shared" si="172"/>
        <v>37</v>
      </c>
      <c r="NF21" s="186" t="str">
        <f t="shared" si="173"/>
        <v>50</v>
      </c>
      <c r="NG21" s="186">
        <f t="shared" si="231"/>
        <v>87</v>
      </c>
      <c r="NH21" s="186">
        <f t="shared" si="232"/>
        <v>29</v>
      </c>
      <c r="NI21" s="135" t="str">
        <f t="shared" si="174"/>
        <v>F</v>
      </c>
      <c r="NJ21" s="151" t="str">
        <f>VLOOKUP(RANK(NH21,$NH$10:$NH$109),Sheet1!$A$381:$B$480,2,FALSE)</f>
        <v>33rd</v>
      </c>
      <c r="NK21" s="186"/>
      <c r="NL21" s="186"/>
      <c r="NM21" s="186">
        <f t="shared" si="175"/>
        <v>0</v>
      </c>
      <c r="NN21" s="186" t="str">
        <f t="shared" si="176"/>
        <v>56</v>
      </c>
      <c r="NO21" s="186" t="str">
        <f t="shared" si="177"/>
        <v>62</v>
      </c>
      <c r="NP21" s="186">
        <f t="shared" si="233"/>
        <v>118</v>
      </c>
      <c r="NQ21" s="186">
        <f t="shared" si="178"/>
        <v>39.3333333333333</v>
      </c>
      <c r="NR21" s="135" t="str">
        <f t="shared" si="179"/>
        <v>E</v>
      </c>
      <c r="NS21" s="151" t="str">
        <f>VLOOKUP(RANK(NQ21,$NQ$10:$NQ$109),Sheet1!$A$381:$B$480,2,FALSE)</f>
        <v>74th</v>
      </c>
      <c r="NT21" s="186"/>
      <c r="NU21" s="186"/>
      <c r="NV21" s="186">
        <f t="shared" si="180"/>
        <v>0</v>
      </c>
      <c r="NW21" s="186" t="str">
        <f t="shared" si="181"/>
        <v>0</v>
      </c>
      <c r="NX21" s="186" t="str">
        <f t="shared" si="182"/>
        <v>0</v>
      </c>
      <c r="NY21" s="186">
        <f t="shared" si="234"/>
        <v>0</v>
      </c>
      <c r="NZ21" s="186">
        <f t="shared" si="183"/>
        <v>0</v>
      </c>
      <c r="OA21" s="135" t="str">
        <f t="shared" si="184"/>
        <v>F</v>
      </c>
      <c r="OB21" s="151" t="str">
        <f>VLOOKUP(RANK(NZ21,$NZ$10:$NZ$109),Sheet1!$A$381:$B$480,2,FALSE)</f>
        <v>1st</v>
      </c>
      <c r="OC21" s="186"/>
      <c r="OD21" s="186"/>
      <c r="OE21" s="186">
        <f t="shared" si="185"/>
        <v>0</v>
      </c>
      <c r="OF21" s="186" t="str">
        <f t="shared" si="186"/>
        <v>0</v>
      </c>
      <c r="OG21" s="186" t="str">
        <f t="shared" si="187"/>
        <v>0</v>
      </c>
      <c r="OH21" s="186">
        <f t="shared" si="235"/>
        <v>0</v>
      </c>
      <c r="OI21" s="186">
        <f t="shared" si="236"/>
        <v>0</v>
      </c>
      <c r="OJ21" s="135" t="str">
        <f t="shared" si="188"/>
        <v>F</v>
      </c>
      <c r="OK21" s="151" t="str">
        <f>VLOOKUP(RANK(OI21,$OI$10:$OI$109),Sheet1!$A$381:$B$480,2,FALSE)</f>
        <v>1st</v>
      </c>
      <c r="OL21" s="151"/>
      <c r="OM21" s="151"/>
      <c r="ON21" s="151">
        <f t="shared" si="237"/>
        <v>0</v>
      </c>
      <c r="OO21" s="151" t="str">
        <f t="shared" si="238"/>
        <v>0</v>
      </c>
      <c r="OP21" s="151" t="str">
        <f t="shared" si="239"/>
        <v>0</v>
      </c>
      <c r="OQ21" s="151">
        <f t="shared" si="240"/>
        <v>0</v>
      </c>
      <c r="OR21" s="151">
        <f t="shared" si="241"/>
        <v>0</v>
      </c>
      <c r="OS21" s="135" t="str">
        <f t="shared" si="189"/>
        <v>F</v>
      </c>
      <c r="OT21" s="151" t="str">
        <f>VLOOKUP(RANK(OR21,$OI$10:$OI$109),Sheet1!$A$381:$B$480,2,FALSE)</f>
        <v>1st</v>
      </c>
      <c r="OU21" s="151">
        <f t="shared" si="242"/>
        <v>461</v>
      </c>
      <c r="OV21" s="151">
        <f t="shared" si="243"/>
        <v>27.117647058823501</v>
      </c>
      <c r="OW21" s="151" t="str">
        <f>VLOOKUP(RANK(OV21,$OV$10:$OV$109),Sheet1!$A$381:$B$480,2,FALSE)</f>
        <v>21st</v>
      </c>
      <c r="OX21" s="151"/>
      <c r="OY21" s="186"/>
      <c r="OZ21" s="186"/>
      <c r="PA21" s="186"/>
      <c r="PB21" s="186"/>
    </row>
    <row r="22" spans="1:418" s="118" customFormat="1" ht="18.75">
      <c r="A22" s="131">
        <v>13</v>
      </c>
      <c r="B22" s="132" t="s">
        <v>110</v>
      </c>
      <c r="C22" s="133" t="s">
        <v>97</v>
      </c>
      <c r="D22" s="136">
        <v>21</v>
      </c>
      <c r="E22" s="136">
        <v>49</v>
      </c>
      <c r="F22" s="137">
        <f t="shared" si="0"/>
        <v>70</v>
      </c>
      <c r="G22" s="137">
        <f t="shared" si="1"/>
        <v>70</v>
      </c>
      <c r="H22" s="135" t="str">
        <f t="shared" si="190"/>
        <v>B</v>
      </c>
      <c r="I22" s="135" t="str">
        <f>VLOOKUP(RANK(G22,$G$10:$G$109),Sheet1!$A$381:$B$480,2,FALSE)</f>
        <v>36th</v>
      </c>
      <c r="J22" s="136">
        <v>27</v>
      </c>
      <c r="K22" s="136">
        <v>25</v>
      </c>
      <c r="L22" s="137">
        <f t="shared" si="2"/>
        <v>52</v>
      </c>
      <c r="M22" s="137">
        <f t="shared" si="3"/>
        <v>52</v>
      </c>
      <c r="N22" s="135" t="str">
        <f t="shared" si="4"/>
        <v>C</v>
      </c>
      <c r="O22" s="141" t="str">
        <f>VLOOKUP(RANK(M22,$M$10:$M$109),Sheet1!$A$381:$B$480,2,FALSE)</f>
        <v>52nd</v>
      </c>
      <c r="P22" s="142">
        <v>26</v>
      </c>
      <c r="Q22" s="145">
        <v>8</v>
      </c>
      <c r="R22" s="147">
        <f t="shared" si="5"/>
        <v>34</v>
      </c>
      <c r="S22" s="137">
        <f t="shared" si="6"/>
        <v>34</v>
      </c>
      <c r="T22" s="135" t="str">
        <f t="shared" si="7"/>
        <v>F</v>
      </c>
      <c r="U22" s="135" t="str">
        <f>VLOOKUP(RANK(S22,$S$10:$S$109),Sheet1!$A$381:$B$480,2,FALSE)</f>
        <v>74th</v>
      </c>
      <c r="V22" s="136">
        <v>28</v>
      </c>
      <c r="W22" s="136">
        <v>20</v>
      </c>
      <c r="X22" s="137">
        <f t="shared" si="191"/>
        <v>48</v>
      </c>
      <c r="Y22" s="137">
        <f t="shared" si="244"/>
        <v>48</v>
      </c>
      <c r="Z22" s="135" t="str">
        <f t="shared" si="8"/>
        <v>D</v>
      </c>
      <c r="AA22" s="135" t="str">
        <f>VLOOKUP(RANK(Y22,$Y$10:$Y$109),Sheet1!$A$381:$B$480,2,FALSE)</f>
        <v>75th</v>
      </c>
      <c r="AB22" s="136">
        <v>25</v>
      </c>
      <c r="AC22" s="136">
        <v>16</v>
      </c>
      <c r="AD22" s="137">
        <f t="shared" si="9"/>
        <v>41</v>
      </c>
      <c r="AE22" s="137">
        <f t="shared" si="10"/>
        <v>41</v>
      </c>
      <c r="AF22" s="135" t="str">
        <f t="shared" si="11"/>
        <v>D</v>
      </c>
      <c r="AG22" s="135" t="str">
        <f>VLOOKUP(RANK(AE22,$AE$10:$AE$109),Sheet1!$A$381:$B$480,2,FALSE)</f>
        <v>77th</v>
      </c>
      <c r="AH22" s="137"/>
      <c r="AI22" s="137"/>
      <c r="AJ22" s="137">
        <f t="shared" si="12"/>
        <v>0</v>
      </c>
      <c r="AK22" s="137">
        <f t="shared" si="13"/>
        <v>0</v>
      </c>
      <c r="AL22" s="135" t="str">
        <f t="shared" si="14"/>
        <v>F</v>
      </c>
      <c r="AM22" s="135" t="str">
        <f>VLOOKUP(RANK(AK22,$AK$10:$AK$109),Sheet1!$A$381:$B$480,2,FALSE)</f>
        <v>1st</v>
      </c>
      <c r="AN22" s="136"/>
      <c r="AO22" s="136"/>
      <c r="AP22" s="137">
        <f t="shared" si="15"/>
        <v>0</v>
      </c>
      <c r="AQ22" s="137">
        <f t="shared" si="16"/>
        <v>0</v>
      </c>
      <c r="AR22" s="135" t="str">
        <f t="shared" si="17"/>
        <v>F</v>
      </c>
      <c r="AS22" s="135" t="str">
        <f>VLOOKUP(RANK(AQ22,$AQ$10:$AQ$109),Sheet1!$A$381:$B$480,2,FALSE)</f>
        <v>1st</v>
      </c>
      <c r="AT22" s="142">
        <v>24</v>
      </c>
      <c r="AU22" s="145">
        <v>26</v>
      </c>
      <c r="AV22" s="137">
        <f t="shared" si="18"/>
        <v>50</v>
      </c>
      <c r="AW22" s="137">
        <f t="shared" si="19"/>
        <v>50</v>
      </c>
      <c r="AX22" s="135" t="str">
        <f t="shared" si="20"/>
        <v>C</v>
      </c>
      <c r="AY22" s="141" t="str">
        <f>VLOOKUP(RANK(AW22,$AW$10:$AW$109),Sheet1!$A$381:$B$480,2,FALSE)</f>
        <v>58th</v>
      </c>
      <c r="AZ22" s="142">
        <v>36</v>
      </c>
      <c r="BA22" s="145">
        <v>31</v>
      </c>
      <c r="BB22" s="147">
        <f t="shared" si="21"/>
        <v>67</v>
      </c>
      <c r="BC22" s="137">
        <f t="shared" si="22"/>
        <v>67</v>
      </c>
      <c r="BD22" s="135" t="str">
        <f t="shared" si="23"/>
        <v>B</v>
      </c>
      <c r="BE22" s="135" t="str">
        <f>VLOOKUP(RANK(BC22,$BC$10:$BC$109),Sheet1!$A$381:$B$480,2,FALSE)</f>
        <v>15th</v>
      </c>
      <c r="BF22" s="142">
        <v>12</v>
      </c>
      <c r="BG22" s="145">
        <v>18</v>
      </c>
      <c r="BH22" s="137">
        <f t="shared" si="24"/>
        <v>30</v>
      </c>
      <c r="BI22" s="137">
        <f t="shared" si="25"/>
        <v>30</v>
      </c>
      <c r="BJ22" s="135" t="str">
        <f t="shared" si="26"/>
        <v>F</v>
      </c>
      <c r="BK22" s="141" t="str">
        <f>VLOOKUP(RANK(BI22,$BI$10:$BI$109),Sheet1!$A$381:$B$480,2,FALSE)</f>
        <v>67th</v>
      </c>
      <c r="BL22" s="148">
        <v>27</v>
      </c>
      <c r="BM22" s="150">
        <v>24</v>
      </c>
      <c r="BN22" s="147">
        <f t="shared" si="27"/>
        <v>51</v>
      </c>
      <c r="BO22" s="137">
        <f t="shared" si="28"/>
        <v>51</v>
      </c>
      <c r="BP22" s="135" t="str">
        <f t="shared" si="29"/>
        <v>C</v>
      </c>
      <c r="BQ22" s="141" t="str">
        <f>VLOOKUP(RANK(BO22,$BO$10:$BO$109),Sheet1!$A$381:$B$480,2,FALSE)</f>
        <v>69th</v>
      </c>
      <c r="BR22" s="148">
        <v>30</v>
      </c>
      <c r="BS22" s="150">
        <v>14</v>
      </c>
      <c r="BT22" s="147">
        <f t="shared" si="30"/>
        <v>44</v>
      </c>
      <c r="BU22" s="137">
        <f t="shared" si="31"/>
        <v>44</v>
      </c>
      <c r="BV22" s="135" t="str">
        <f t="shared" si="32"/>
        <v>D</v>
      </c>
      <c r="BW22" s="135" t="str">
        <f>VLOOKUP(RANK(BU22,$BU$10:$BU$109),Sheet1!$A$381:$B$480,2,FALSE)</f>
        <v>48th</v>
      </c>
      <c r="BX22" s="148">
        <v>28</v>
      </c>
      <c r="BY22" s="150">
        <v>10</v>
      </c>
      <c r="BZ22" s="137">
        <f t="shared" si="33"/>
        <v>38</v>
      </c>
      <c r="CA22" s="137">
        <f t="shared" si="34"/>
        <v>38</v>
      </c>
      <c r="CB22" s="135" t="str">
        <f t="shared" si="35"/>
        <v>E</v>
      </c>
      <c r="CC22" s="135" t="str">
        <f>VLOOKUP(RANK(CA22,$CA$10:$CA$109),Sheet1!$A$381:$B$480,2,FALSE)</f>
        <v>61st</v>
      </c>
      <c r="CD22" s="148">
        <v>30</v>
      </c>
      <c r="CE22" s="150">
        <v>40</v>
      </c>
      <c r="CF22" s="137">
        <f t="shared" si="36"/>
        <v>70</v>
      </c>
      <c r="CG22" s="137">
        <f t="shared" si="37"/>
        <v>70</v>
      </c>
      <c r="CH22" s="135" t="str">
        <f t="shared" si="38"/>
        <v>B</v>
      </c>
      <c r="CI22" s="135" t="str">
        <f>VLOOKUP(RANK(CG22,$CG$10:$CG$109),Sheet1!$A$381:$B$480,2,FALSE)</f>
        <v>17th</v>
      </c>
      <c r="CJ22" s="137"/>
      <c r="CK22" s="137"/>
      <c r="CL22" s="137">
        <f t="shared" si="39"/>
        <v>0</v>
      </c>
      <c r="CM22" s="137">
        <f t="shared" si="40"/>
        <v>0</v>
      </c>
      <c r="CN22" s="135" t="str">
        <f t="shared" si="41"/>
        <v>F</v>
      </c>
      <c r="CO22" s="135" t="str">
        <f>VLOOKUP(RANK(CM22,$CM$10:$CM$109),Sheet1!$A$381:$B$480,2,FALSE)</f>
        <v>1st</v>
      </c>
      <c r="CP22" s="137"/>
      <c r="CQ22" s="137"/>
      <c r="CR22" s="137">
        <f t="shared" si="42"/>
        <v>0</v>
      </c>
      <c r="CS22" s="137">
        <f t="shared" si="43"/>
        <v>0</v>
      </c>
      <c r="CT22" s="135" t="str">
        <f t="shared" si="44"/>
        <v>F</v>
      </c>
      <c r="CU22" s="135" t="str">
        <f>VLOOKUP(RANK(CS22,$CS$10:$CS$109),Sheet1!$A$381:$B$480,2,FALSE)</f>
        <v>1st</v>
      </c>
      <c r="CV22" s="151"/>
      <c r="CW22" s="135"/>
      <c r="CX22" s="151">
        <f t="shared" si="192"/>
        <v>0</v>
      </c>
      <c r="CY22" s="151">
        <f t="shared" si="193"/>
        <v>0</v>
      </c>
      <c r="CZ22" s="135" t="str">
        <f t="shared" si="45"/>
        <v>F</v>
      </c>
      <c r="DA22" s="135" t="str">
        <f>VLOOKUP(RANK(CY22,$CY$10:$CY$109),Sheet1!$A$381:$B$480,2,FALSE)</f>
        <v>1st</v>
      </c>
      <c r="DB22" s="135"/>
      <c r="DC22" s="151">
        <f t="shared" si="194"/>
        <v>595</v>
      </c>
      <c r="DD22" s="151">
        <f t="shared" si="195"/>
        <v>35</v>
      </c>
      <c r="DE22" s="135" t="str">
        <f>VLOOKUP(RANK(DD22,$DD$10:$DD$109),Sheet1!$A$381:$B$480,2,FALSE)</f>
        <v>59th</v>
      </c>
      <c r="DF22" s="137"/>
      <c r="DG22" s="160">
        <f t="shared" si="46"/>
        <v>630</v>
      </c>
      <c r="DH22" s="119"/>
      <c r="DI22" s="163">
        <v>16</v>
      </c>
      <c r="DJ22" s="163" t="s">
        <v>105</v>
      </c>
      <c r="DK22" s="137">
        <f t="shared" si="47"/>
        <v>16</v>
      </c>
      <c r="DL22" s="137" t="str">
        <f t="shared" si="48"/>
        <v>70</v>
      </c>
      <c r="DM22" s="137">
        <f t="shared" si="49"/>
        <v>86</v>
      </c>
      <c r="DN22" s="137">
        <f t="shared" si="50"/>
        <v>43</v>
      </c>
      <c r="DO22" s="135" t="str">
        <f t="shared" si="51"/>
        <v>D</v>
      </c>
      <c r="DP22" s="135" t="str">
        <f>VLOOKUP(RANK(DN22,$DN$10:$DN$109),Sheet1!$A$381:$B$480,2,FALSE)</f>
        <v>92nd</v>
      </c>
      <c r="DQ22" s="164">
        <v>0</v>
      </c>
      <c r="DR22" s="165">
        <v>0</v>
      </c>
      <c r="DS22" s="137">
        <f t="shared" si="52"/>
        <v>0</v>
      </c>
      <c r="DT22" s="137" t="str">
        <f t="shared" si="53"/>
        <v>52</v>
      </c>
      <c r="DU22" s="137">
        <f t="shared" si="54"/>
        <v>52</v>
      </c>
      <c r="DV22" s="137">
        <f t="shared" si="55"/>
        <v>26</v>
      </c>
      <c r="DW22" s="135" t="str">
        <f t="shared" si="56"/>
        <v>F</v>
      </c>
      <c r="DX22" s="135" t="str">
        <f>VLOOKUP(RANK(DV22,$DV$10:$DV$109),Sheet1!$A$381:$B$480,2,FALSE)</f>
        <v>96th</v>
      </c>
      <c r="DY22" s="167">
        <v>17</v>
      </c>
      <c r="DZ22" s="165">
        <v>0</v>
      </c>
      <c r="EA22" s="137">
        <f t="shared" si="57"/>
        <v>17</v>
      </c>
      <c r="EB22" s="137" t="str">
        <f t="shared" si="58"/>
        <v>34</v>
      </c>
      <c r="EC22" s="137">
        <f t="shared" si="59"/>
        <v>51</v>
      </c>
      <c r="ED22" s="137">
        <f t="shared" si="60"/>
        <v>25.5</v>
      </c>
      <c r="EE22" s="135" t="str">
        <f t="shared" si="61"/>
        <v>F</v>
      </c>
      <c r="EF22" s="135" t="str">
        <f>VLOOKUP(RANK(ED22,$ED$10:$ED$109),Sheet1!$A$381:$B$480,2,FALSE)</f>
        <v>98th</v>
      </c>
      <c r="EG22" s="163">
        <v>21</v>
      </c>
      <c r="EH22" s="163"/>
      <c r="EI22" s="137">
        <f t="shared" si="62"/>
        <v>21</v>
      </c>
      <c r="EJ22" s="137" t="str">
        <f t="shared" si="63"/>
        <v>48</v>
      </c>
      <c r="EK22" s="137">
        <f t="shared" si="64"/>
        <v>69</v>
      </c>
      <c r="EL22" s="137">
        <f t="shared" si="65"/>
        <v>34.5</v>
      </c>
      <c r="EM22" s="135" t="str">
        <f t="shared" si="66"/>
        <v>F</v>
      </c>
      <c r="EN22" s="135" t="str">
        <f>VLOOKUP(RANK(EL22,$EL$10:$EL$109),Sheet1!$A$381:$B$480,2,FALSE)</f>
        <v>93rd</v>
      </c>
      <c r="EO22" s="163">
        <v>28</v>
      </c>
      <c r="EP22" s="163"/>
      <c r="EQ22" s="137">
        <f t="shared" si="67"/>
        <v>28</v>
      </c>
      <c r="ER22" s="137" t="str">
        <f t="shared" si="68"/>
        <v>41</v>
      </c>
      <c r="ES22" s="137">
        <f t="shared" si="69"/>
        <v>69</v>
      </c>
      <c r="ET22" s="137">
        <f t="shared" si="70"/>
        <v>34.5</v>
      </c>
      <c r="EU22" s="135" t="str">
        <f t="shared" si="71"/>
        <v>F</v>
      </c>
      <c r="EV22" s="135" t="str">
        <f>VLOOKUP(RANK(ET22,$ET$10:$ET$109),Sheet1!$A$381:$B$480,2,FALSE)</f>
        <v>88th</v>
      </c>
      <c r="EW22" s="137"/>
      <c r="EX22" s="137"/>
      <c r="EY22" s="137">
        <f t="shared" si="72"/>
        <v>0</v>
      </c>
      <c r="EZ22" s="137" t="str">
        <f t="shared" si="73"/>
        <v>0</v>
      </c>
      <c r="FA22" s="137">
        <f t="shared" si="74"/>
        <v>0</v>
      </c>
      <c r="FB22" s="137">
        <f t="shared" si="75"/>
        <v>0</v>
      </c>
      <c r="FC22" s="135" t="str">
        <f t="shared" si="76"/>
        <v>F</v>
      </c>
      <c r="FD22" s="135" t="str">
        <f>VLOOKUP(RANK(FB22,$FB$10:$FB$109),Sheet1!$A$381:$B$480,2,FALSE)</f>
        <v>1st</v>
      </c>
      <c r="FE22" s="137"/>
      <c r="FF22" s="137"/>
      <c r="FG22" s="137">
        <f t="shared" si="77"/>
        <v>0</v>
      </c>
      <c r="FH22" s="137" t="str">
        <f t="shared" si="78"/>
        <v>0</v>
      </c>
      <c r="FI22" s="137">
        <f t="shared" si="79"/>
        <v>0</v>
      </c>
      <c r="FJ22" s="137">
        <f t="shared" si="80"/>
        <v>0</v>
      </c>
      <c r="FK22" s="135" t="str">
        <f t="shared" si="81"/>
        <v>F</v>
      </c>
      <c r="FL22" s="135" t="str">
        <f>VLOOKUP(RANK(FJ22,$FJ$10:$FJ$109),Sheet1!$A$381:$B$480,2,FALSE)</f>
        <v>1st</v>
      </c>
      <c r="FM22" s="164"/>
      <c r="FN22" s="165"/>
      <c r="FO22" s="137">
        <f t="shared" si="82"/>
        <v>0</v>
      </c>
      <c r="FP22" s="137" t="str">
        <f t="shared" si="83"/>
        <v>50</v>
      </c>
      <c r="FQ22" s="137">
        <f t="shared" si="84"/>
        <v>50</v>
      </c>
      <c r="FR22" s="137">
        <f t="shared" si="85"/>
        <v>25</v>
      </c>
      <c r="FS22" s="135" t="str">
        <f t="shared" si="86"/>
        <v>F</v>
      </c>
      <c r="FT22" s="135" t="str">
        <f>VLOOKUP(RANK(FR22,$FR$10:$FR$109),Sheet1!$A$381:$B$480,2,FALSE)</f>
        <v>98th</v>
      </c>
      <c r="FU22" s="148">
        <v>12</v>
      </c>
      <c r="FV22" s="150">
        <v>0</v>
      </c>
      <c r="FW22" s="137">
        <f t="shared" si="87"/>
        <v>12</v>
      </c>
      <c r="FX22" s="137" t="str">
        <f t="shared" si="88"/>
        <v>67</v>
      </c>
      <c r="FY22" s="137">
        <f t="shared" si="196"/>
        <v>12</v>
      </c>
      <c r="FZ22" s="137">
        <f t="shared" si="89"/>
        <v>6</v>
      </c>
      <c r="GA22" s="135" t="str">
        <f t="shared" si="90"/>
        <v>F</v>
      </c>
      <c r="GB22" s="135" t="str">
        <f>VLOOKUP(RANK(FZ22,$FZ$10:$FZ$109),Sheet1!$A$381:$B$480,2,FALSE)</f>
        <v>96th</v>
      </c>
      <c r="GC22" s="164">
        <v>5</v>
      </c>
      <c r="GD22" s="165">
        <v>0</v>
      </c>
      <c r="GE22" s="137">
        <f t="shared" si="91"/>
        <v>5</v>
      </c>
      <c r="GF22" s="137" t="str">
        <f t="shared" si="92"/>
        <v>30</v>
      </c>
      <c r="GG22" s="135">
        <f t="shared" si="197"/>
        <v>35</v>
      </c>
      <c r="GH22" s="137">
        <f t="shared" si="198"/>
        <v>17.5</v>
      </c>
      <c r="GI22" s="135" t="str">
        <f t="shared" si="93"/>
        <v>F</v>
      </c>
      <c r="GJ22" s="135" t="str">
        <f>VLOOKUP(RANK(GH22,$GH$10:$GH$109),Sheet1!$A$381:$B$480,2,FALSE)</f>
        <v>97th</v>
      </c>
      <c r="GK22" s="164" t="s">
        <v>105</v>
      </c>
      <c r="GL22" s="165" t="s">
        <v>105</v>
      </c>
      <c r="GM22" s="137">
        <f t="shared" si="94"/>
        <v>0</v>
      </c>
      <c r="GN22" s="137" t="str">
        <f t="shared" si="95"/>
        <v>51</v>
      </c>
      <c r="GO22" s="135">
        <f t="shared" si="199"/>
        <v>51</v>
      </c>
      <c r="GP22" s="137">
        <f t="shared" si="96"/>
        <v>25.5</v>
      </c>
      <c r="GQ22" s="135" t="str">
        <f t="shared" si="97"/>
        <v>F</v>
      </c>
      <c r="GR22" s="135" t="str">
        <f>VLOOKUP(RANK(GP22,$GP$10:$GP$109),Sheet1!$A$381:$B$480,2,FALSE)</f>
        <v>97th</v>
      </c>
      <c r="GS22" s="164">
        <v>23</v>
      </c>
      <c r="GT22" s="165">
        <v>0</v>
      </c>
      <c r="GU22" s="137">
        <f t="shared" si="98"/>
        <v>23</v>
      </c>
      <c r="GV22" s="137" t="str">
        <f t="shared" si="99"/>
        <v>44</v>
      </c>
      <c r="GW22" s="137">
        <f t="shared" si="100"/>
        <v>67</v>
      </c>
      <c r="GX22" s="137">
        <f t="shared" si="101"/>
        <v>33.5</v>
      </c>
      <c r="GY22" s="135" t="str">
        <f t="shared" si="102"/>
        <v>F</v>
      </c>
      <c r="GZ22" s="135" t="str">
        <f>VLOOKUP(RANK(GX22,$GX$10:$GX$109),Sheet1!$A$381:$B$480,2,FALSE)</f>
        <v>90th</v>
      </c>
      <c r="HA22" s="164">
        <v>29</v>
      </c>
      <c r="HB22" s="165">
        <v>0</v>
      </c>
      <c r="HC22" s="137">
        <f t="shared" si="103"/>
        <v>29</v>
      </c>
      <c r="HD22" s="137" t="str">
        <f t="shared" si="104"/>
        <v>38</v>
      </c>
      <c r="HE22" s="137">
        <f t="shared" si="105"/>
        <v>67</v>
      </c>
      <c r="HF22" s="137">
        <f t="shared" si="106"/>
        <v>33.5</v>
      </c>
      <c r="HG22" s="135" t="str">
        <f t="shared" si="107"/>
        <v>F</v>
      </c>
      <c r="HH22" s="135" t="str">
        <f>VLOOKUP(RANK(HF22,$HF$10:$HF$109),Sheet1!$A$381:$B$480,2,FALSE)</f>
        <v>98th</v>
      </c>
      <c r="HI22" s="148">
        <v>26</v>
      </c>
      <c r="HJ22" s="150"/>
      <c r="HK22" s="137">
        <f t="shared" si="108"/>
        <v>26</v>
      </c>
      <c r="HL22" s="137" t="str">
        <f t="shared" si="109"/>
        <v>70</v>
      </c>
      <c r="HM22" s="137">
        <f t="shared" si="110"/>
        <v>96</v>
      </c>
      <c r="HN22" s="137">
        <f t="shared" si="111"/>
        <v>48</v>
      </c>
      <c r="HO22" s="135" t="str">
        <f t="shared" si="112"/>
        <v>D</v>
      </c>
      <c r="HP22" s="135" t="str">
        <f>VLOOKUP(RANK(HN22,$HN$10:$HN$109),Sheet1!$A$381:$B$480,2,FALSE)</f>
        <v>95th</v>
      </c>
      <c r="HQ22" s="137"/>
      <c r="HR22" s="137"/>
      <c r="HS22" s="137">
        <f t="shared" si="113"/>
        <v>0</v>
      </c>
      <c r="HT22" s="137" t="str">
        <f t="shared" si="114"/>
        <v>0</v>
      </c>
      <c r="HU22" s="137">
        <f t="shared" si="115"/>
        <v>0</v>
      </c>
      <c r="HV22" s="137">
        <f t="shared" si="116"/>
        <v>0</v>
      </c>
      <c r="HW22" s="135" t="str">
        <f t="shared" si="117"/>
        <v>F</v>
      </c>
      <c r="HX22" s="135" t="str">
        <f>VLOOKUP(RANK(HV22,$HV$10:$HV$109),Sheet1!$A$381:$B$480,2,FALSE)</f>
        <v>1st</v>
      </c>
      <c r="HY22" s="137"/>
      <c r="HZ22" s="137"/>
      <c r="IA22" s="137">
        <f t="shared" si="118"/>
        <v>0</v>
      </c>
      <c r="IB22" s="137" t="str">
        <f t="shared" si="119"/>
        <v>0</v>
      </c>
      <c r="IC22" s="137">
        <f t="shared" si="120"/>
        <v>0</v>
      </c>
      <c r="ID22" s="137">
        <f t="shared" si="121"/>
        <v>0</v>
      </c>
      <c r="IE22" s="135" t="str">
        <f t="shared" si="122"/>
        <v>F</v>
      </c>
      <c r="IF22" s="135" t="str">
        <f>VLOOKUP(RANK(ID22,$ID$10:$ID$109),Sheet1!$A$381:$B$480,2,FALSE)</f>
        <v>1st</v>
      </c>
      <c r="IG22" s="135"/>
      <c r="IH22" s="135"/>
      <c r="II22" s="135">
        <f t="shared" si="200"/>
        <v>0</v>
      </c>
      <c r="IJ22" s="135" t="str">
        <f t="shared" si="201"/>
        <v>0</v>
      </c>
      <c r="IK22" s="135">
        <f t="shared" si="202"/>
        <v>0</v>
      </c>
      <c r="IL22" s="135">
        <f t="shared" si="203"/>
        <v>0</v>
      </c>
      <c r="IM22" s="135" t="str">
        <f t="shared" si="123"/>
        <v>F</v>
      </c>
      <c r="IN22" s="135" t="str">
        <f>VLOOKUP(RANK(IL22,$IL$10:$IL$109),Sheet1!$A$381:$B$480,2,FALSE)</f>
        <v>1st</v>
      </c>
      <c r="IO22" s="135">
        <f t="shared" si="204"/>
        <v>352.5</v>
      </c>
      <c r="IP22" s="177">
        <f t="shared" si="205"/>
        <v>20.735294117647101</v>
      </c>
      <c r="IQ22" s="135" t="str">
        <f>VLOOKUP(RANK(IP22,$IP$10:$IP$109),Sheet1!$A$381:$B$480,2,FALSE)</f>
        <v>97th</v>
      </c>
      <c r="IR22" s="178"/>
      <c r="IS22" s="137"/>
      <c r="IT22" s="137"/>
      <c r="IU22" s="137"/>
      <c r="IV22" s="137"/>
      <c r="IW22" s="181"/>
      <c r="IX22" s="184"/>
      <c r="IY22" s="186"/>
      <c r="IZ22" s="186">
        <f t="shared" si="206"/>
        <v>0</v>
      </c>
      <c r="JA22" s="186" t="str">
        <f t="shared" si="124"/>
        <v>70</v>
      </c>
      <c r="JB22" s="186" t="str">
        <f t="shared" si="125"/>
        <v>16</v>
      </c>
      <c r="JC22" s="186">
        <f t="shared" si="207"/>
        <v>86</v>
      </c>
      <c r="JD22" s="186">
        <f t="shared" si="208"/>
        <v>28.6666666666667</v>
      </c>
      <c r="JE22" s="135" t="str">
        <f t="shared" si="126"/>
        <v>F</v>
      </c>
      <c r="JF22" s="151" t="str">
        <f>VLOOKUP(RANK(JD22,$JD$10:$JD$109),Sheet1!$A$381:$B$480,2,FALSE)</f>
        <v>92nd</v>
      </c>
      <c r="JG22" s="186"/>
      <c r="JH22" s="186"/>
      <c r="JI22" s="186">
        <f t="shared" si="127"/>
        <v>0</v>
      </c>
      <c r="JJ22" s="186" t="str">
        <f t="shared" si="128"/>
        <v>52</v>
      </c>
      <c r="JK22" s="186" t="str">
        <f t="shared" si="129"/>
        <v>0</v>
      </c>
      <c r="JL22" s="186">
        <f t="shared" si="209"/>
        <v>52</v>
      </c>
      <c r="JM22" s="186">
        <f t="shared" si="210"/>
        <v>17.3333333333333</v>
      </c>
      <c r="JN22" s="135" t="str">
        <f t="shared" si="130"/>
        <v>F</v>
      </c>
      <c r="JO22" s="151" t="str">
        <f>VLOOKUP(RANK(JM22,$JM$10:$JM$109),Sheet1!$A$381:$B$480,2,FALSE)</f>
        <v>96th</v>
      </c>
      <c r="JP22" s="186"/>
      <c r="JQ22" s="186"/>
      <c r="JR22" s="186">
        <f t="shared" si="131"/>
        <v>0</v>
      </c>
      <c r="JS22" s="186" t="str">
        <f t="shared" si="132"/>
        <v>34</v>
      </c>
      <c r="JT22" s="186" t="str">
        <f t="shared" si="133"/>
        <v>17</v>
      </c>
      <c r="JU22" s="186">
        <f t="shared" si="211"/>
        <v>51</v>
      </c>
      <c r="JV22" s="186">
        <f t="shared" si="212"/>
        <v>17</v>
      </c>
      <c r="JW22" s="135" t="str">
        <f t="shared" si="134"/>
        <v>F</v>
      </c>
      <c r="JX22" s="151" t="str">
        <f>VLOOKUP(RANK(JV22,$JV$10:$JV$109),Sheet1!$A$381:$B$480,2,FALSE)</f>
        <v>98th</v>
      </c>
      <c r="JY22" s="186"/>
      <c r="JZ22" s="186"/>
      <c r="KA22" s="186">
        <f t="shared" si="135"/>
        <v>0</v>
      </c>
      <c r="KB22" s="186" t="str">
        <f t="shared" si="136"/>
        <v>48</v>
      </c>
      <c r="KC22" s="186" t="str">
        <f t="shared" si="137"/>
        <v>21</v>
      </c>
      <c r="KD22" s="186">
        <f t="shared" si="213"/>
        <v>69</v>
      </c>
      <c r="KE22" s="186">
        <f t="shared" si="214"/>
        <v>23</v>
      </c>
      <c r="KF22" s="135" t="str">
        <f t="shared" si="138"/>
        <v>F</v>
      </c>
      <c r="KG22" s="151" t="str">
        <f>VLOOKUP(RANK(KE22,$KE$10:$KE$109),Sheet1!$A$381:$B$480,2,FALSE)</f>
        <v>93rd</v>
      </c>
      <c r="KH22" s="186"/>
      <c r="KI22" s="186"/>
      <c r="KJ22" s="186">
        <f t="shared" si="139"/>
        <v>0</v>
      </c>
      <c r="KK22" s="186" t="str">
        <f t="shared" si="140"/>
        <v>41</v>
      </c>
      <c r="KL22" s="186" t="str">
        <f t="shared" si="141"/>
        <v>28</v>
      </c>
      <c r="KM22" s="186">
        <f t="shared" si="215"/>
        <v>69</v>
      </c>
      <c r="KN22" s="186">
        <f t="shared" si="216"/>
        <v>23</v>
      </c>
      <c r="KO22" s="135" t="str">
        <f t="shared" si="142"/>
        <v>F</v>
      </c>
      <c r="KP22" s="151" t="str">
        <f>VLOOKUP(RANK(KN22,$KN$10:$KN$109),Sheet1!$A$381:$B$480,2,FALSE)</f>
        <v>88th</v>
      </c>
      <c r="KQ22" s="186"/>
      <c r="KR22" s="186"/>
      <c r="KS22" s="186">
        <f t="shared" si="143"/>
        <v>0</v>
      </c>
      <c r="KT22" s="186" t="str">
        <f t="shared" si="144"/>
        <v>0</v>
      </c>
      <c r="KU22" s="186" t="str">
        <f t="shared" si="145"/>
        <v>0</v>
      </c>
      <c r="KV22" s="186">
        <f t="shared" si="217"/>
        <v>0</v>
      </c>
      <c r="KW22" s="186">
        <f t="shared" si="218"/>
        <v>0</v>
      </c>
      <c r="KX22" s="135" t="str">
        <f t="shared" si="146"/>
        <v>F</v>
      </c>
      <c r="KY22" s="151" t="str">
        <f>VLOOKUP(RANK(KW22,$KW$10:$KW$109),Sheet1!$A$381:$B$480,2,FALSE)</f>
        <v>1st</v>
      </c>
      <c r="KZ22" s="186"/>
      <c r="LA22" s="186"/>
      <c r="LB22" s="186">
        <f t="shared" si="147"/>
        <v>0</v>
      </c>
      <c r="LC22" s="186" t="str">
        <f t="shared" si="148"/>
        <v>0</v>
      </c>
      <c r="LD22" s="186" t="str">
        <f t="shared" si="149"/>
        <v>0</v>
      </c>
      <c r="LE22" s="186">
        <f t="shared" si="219"/>
        <v>0</v>
      </c>
      <c r="LF22" s="186">
        <f t="shared" si="220"/>
        <v>0</v>
      </c>
      <c r="LG22" s="135" t="str">
        <f t="shared" si="150"/>
        <v>F</v>
      </c>
      <c r="LH22" s="151" t="str">
        <f>VLOOKUP(RANK(LF22,$LF$10:$LF$109),Sheet1!$A$381:$B$480,2,FALSE)</f>
        <v>1st</v>
      </c>
      <c r="LI22" s="186"/>
      <c r="LJ22" s="186"/>
      <c r="LK22" s="186">
        <f t="shared" si="151"/>
        <v>0</v>
      </c>
      <c r="LL22" s="186" t="str">
        <f t="shared" si="152"/>
        <v>50</v>
      </c>
      <c r="LM22" s="186" t="str">
        <f t="shared" si="153"/>
        <v>0</v>
      </c>
      <c r="LN22" s="186">
        <f t="shared" si="221"/>
        <v>50</v>
      </c>
      <c r="LO22" s="186">
        <f t="shared" si="222"/>
        <v>16.6666666666667</v>
      </c>
      <c r="LP22" s="135" t="str">
        <f t="shared" si="154"/>
        <v>F</v>
      </c>
      <c r="LQ22" s="151" t="str">
        <f>VLOOKUP(RANK(LO22,$LO$10:$LO$109),Sheet1!$A$381:$B$480,2,FALSE)</f>
        <v>98th</v>
      </c>
      <c r="LR22" s="186"/>
      <c r="LS22" s="186"/>
      <c r="LT22" s="186">
        <f t="shared" si="155"/>
        <v>0</v>
      </c>
      <c r="LU22" s="186" t="str">
        <f t="shared" si="156"/>
        <v>67</v>
      </c>
      <c r="LV22" s="186" t="str">
        <f t="shared" si="157"/>
        <v>12</v>
      </c>
      <c r="LW22" s="186">
        <f t="shared" si="223"/>
        <v>79</v>
      </c>
      <c r="LX22" s="186">
        <f t="shared" si="224"/>
        <v>26.3333333333333</v>
      </c>
      <c r="LY22" s="135" t="str">
        <f t="shared" si="158"/>
        <v>F</v>
      </c>
      <c r="LZ22" s="151" t="str">
        <f>VLOOKUP(RANK(LX22,$LX$10:$LX$109),Sheet1!$A$381:$B$480,2,FALSE)</f>
        <v>84th</v>
      </c>
      <c r="MA22" s="186"/>
      <c r="MB22" s="186"/>
      <c r="MC22" s="186">
        <f t="shared" si="159"/>
        <v>0</v>
      </c>
      <c r="MD22" s="186" t="str">
        <f t="shared" si="160"/>
        <v>30</v>
      </c>
      <c r="ME22" s="186" t="str">
        <f t="shared" si="161"/>
        <v>5</v>
      </c>
      <c r="MF22" s="183">
        <f t="shared" si="225"/>
        <v>35</v>
      </c>
      <c r="MG22" s="151">
        <f t="shared" si="226"/>
        <v>11.6666666666667</v>
      </c>
      <c r="MH22" s="135" t="str">
        <f t="shared" si="162"/>
        <v>F</v>
      </c>
      <c r="MI22" s="151" t="str">
        <f>VLOOKUP(RANK(MG22,$MG$10:$MG$109),Sheet1!$A$381:$B$480,2,FALSE)</f>
        <v>97th</v>
      </c>
      <c r="MJ22" s="186"/>
      <c r="MK22" s="186"/>
      <c r="ML22" s="186">
        <f t="shared" si="163"/>
        <v>0</v>
      </c>
      <c r="MM22" s="186" t="str">
        <f t="shared" si="164"/>
        <v>51</v>
      </c>
      <c r="MN22" s="186" t="str">
        <f t="shared" si="165"/>
        <v>0</v>
      </c>
      <c r="MO22" s="186">
        <f t="shared" si="227"/>
        <v>51</v>
      </c>
      <c r="MP22" s="186">
        <f t="shared" si="228"/>
        <v>17</v>
      </c>
      <c r="MQ22" s="135" t="str">
        <f t="shared" si="166"/>
        <v>F</v>
      </c>
      <c r="MR22" s="151" t="str">
        <f>VLOOKUP(RANK(MP22,$MP$10:$MP$109),Sheet1!$A$381:$B$480,2,FALSE)</f>
        <v>97th</v>
      </c>
      <c r="MS22" s="186"/>
      <c r="MT22" s="186"/>
      <c r="MU22" s="186">
        <f t="shared" si="167"/>
        <v>0</v>
      </c>
      <c r="MV22" s="186" t="str">
        <f t="shared" si="168"/>
        <v>44</v>
      </c>
      <c r="MW22" s="186" t="str">
        <f t="shared" si="169"/>
        <v>23</v>
      </c>
      <c r="MX22" s="186">
        <f t="shared" si="229"/>
        <v>67</v>
      </c>
      <c r="MY22" s="186">
        <f t="shared" si="230"/>
        <v>22.3333333333333</v>
      </c>
      <c r="MZ22" s="135" t="str">
        <f t="shared" si="170"/>
        <v>F</v>
      </c>
      <c r="NA22" s="151" t="str">
        <f>VLOOKUP(RANK(MY22,$MY$10:$MY$109),Sheet1!$A$381:$B$480,2,FALSE)</f>
        <v>90th</v>
      </c>
      <c r="NB22" s="186"/>
      <c r="NC22" s="186"/>
      <c r="ND22" s="186">
        <f t="shared" si="171"/>
        <v>0</v>
      </c>
      <c r="NE22" s="186" t="str">
        <f t="shared" si="172"/>
        <v>38</v>
      </c>
      <c r="NF22" s="186" t="str">
        <f t="shared" si="173"/>
        <v>29</v>
      </c>
      <c r="NG22" s="186">
        <f t="shared" si="231"/>
        <v>67</v>
      </c>
      <c r="NH22" s="186">
        <f t="shared" si="232"/>
        <v>22.3333333333333</v>
      </c>
      <c r="NI22" s="135" t="str">
        <f t="shared" si="174"/>
        <v>F</v>
      </c>
      <c r="NJ22" s="151" t="str">
        <f>VLOOKUP(RANK(NH22,$NH$10:$NH$109),Sheet1!$A$381:$B$480,2,FALSE)</f>
        <v>98th</v>
      </c>
      <c r="NK22" s="186"/>
      <c r="NL22" s="186"/>
      <c r="NM22" s="186">
        <f t="shared" si="175"/>
        <v>0</v>
      </c>
      <c r="NN22" s="186" t="str">
        <f t="shared" si="176"/>
        <v>70</v>
      </c>
      <c r="NO22" s="186" t="str">
        <f t="shared" si="177"/>
        <v>26</v>
      </c>
      <c r="NP22" s="186">
        <f t="shared" si="233"/>
        <v>96</v>
      </c>
      <c r="NQ22" s="186">
        <f t="shared" si="178"/>
        <v>32</v>
      </c>
      <c r="NR22" s="135" t="str">
        <f t="shared" si="179"/>
        <v>F</v>
      </c>
      <c r="NS22" s="151" t="str">
        <f>VLOOKUP(RANK(NQ22,$NQ$10:$NQ$109),Sheet1!$A$381:$B$480,2,FALSE)</f>
        <v>95th</v>
      </c>
      <c r="NT22" s="186"/>
      <c r="NU22" s="186"/>
      <c r="NV22" s="186">
        <f t="shared" si="180"/>
        <v>0</v>
      </c>
      <c r="NW22" s="186" t="str">
        <f t="shared" si="181"/>
        <v>0</v>
      </c>
      <c r="NX22" s="186" t="str">
        <f t="shared" si="182"/>
        <v>0</v>
      </c>
      <c r="NY22" s="186">
        <f t="shared" si="234"/>
        <v>0</v>
      </c>
      <c r="NZ22" s="186">
        <f t="shared" si="183"/>
        <v>0</v>
      </c>
      <c r="OA22" s="135" t="str">
        <f t="shared" si="184"/>
        <v>F</v>
      </c>
      <c r="OB22" s="151" t="str">
        <f>VLOOKUP(RANK(NZ22,$NZ$10:$NZ$109),Sheet1!$A$381:$B$480,2,FALSE)</f>
        <v>1st</v>
      </c>
      <c r="OC22" s="186"/>
      <c r="OD22" s="186"/>
      <c r="OE22" s="186">
        <f t="shared" si="185"/>
        <v>0</v>
      </c>
      <c r="OF22" s="186" t="str">
        <f t="shared" si="186"/>
        <v>0</v>
      </c>
      <c r="OG22" s="186" t="str">
        <f t="shared" si="187"/>
        <v>0</v>
      </c>
      <c r="OH22" s="186">
        <f t="shared" si="235"/>
        <v>0</v>
      </c>
      <c r="OI22" s="186">
        <f t="shared" si="236"/>
        <v>0</v>
      </c>
      <c r="OJ22" s="135" t="str">
        <f t="shared" si="188"/>
        <v>F</v>
      </c>
      <c r="OK22" s="151" t="str">
        <f>VLOOKUP(RANK(OI22,$OI$10:$OI$109),Sheet1!$A$381:$B$480,2,FALSE)</f>
        <v>1st</v>
      </c>
      <c r="OL22" s="151"/>
      <c r="OM22" s="151"/>
      <c r="ON22" s="151">
        <f t="shared" si="237"/>
        <v>0</v>
      </c>
      <c r="OO22" s="151" t="str">
        <f t="shared" si="238"/>
        <v>0</v>
      </c>
      <c r="OP22" s="151" t="str">
        <f t="shared" si="239"/>
        <v>0</v>
      </c>
      <c r="OQ22" s="151">
        <f t="shared" si="240"/>
        <v>0</v>
      </c>
      <c r="OR22" s="151">
        <f t="shared" si="241"/>
        <v>0</v>
      </c>
      <c r="OS22" s="135" t="str">
        <f t="shared" si="189"/>
        <v>F</v>
      </c>
      <c r="OT22" s="151" t="str">
        <f>VLOOKUP(RANK(OR22,$OI$10:$OI$109),Sheet1!$A$381:$B$480,2,FALSE)</f>
        <v>1st</v>
      </c>
      <c r="OU22" s="151">
        <f t="shared" si="242"/>
        <v>257.33333333333297</v>
      </c>
      <c r="OV22" s="151">
        <f t="shared" si="243"/>
        <v>15.1372549019608</v>
      </c>
      <c r="OW22" s="151" t="str">
        <f>VLOOKUP(RANK(OV22,$OV$10:$OV$109),Sheet1!$A$381:$B$480,2,FALSE)</f>
        <v>97th</v>
      </c>
      <c r="OX22" s="151"/>
      <c r="OY22" s="186"/>
      <c r="OZ22" s="186"/>
      <c r="PA22" s="186"/>
      <c r="PB22" s="186"/>
    </row>
    <row r="23" spans="1:418" s="118" customFormat="1" ht="18.75">
      <c r="A23" s="131">
        <v>14</v>
      </c>
      <c r="B23" s="132" t="s">
        <v>111</v>
      </c>
      <c r="C23" s="133" t="s">
        <v>97</v>
      </c>
      <c r="D23" s="134">
        <v>25</v>
      </c>
      <c r="E23" s="134">
        <v>49</v>
      </c>
      <c r="F23" s="137">
        <f t="shared" si="0"/>
        <v>74</v>
      </c>
      <c r="G23" s="137">
        <f t="shared" si="1"/>
        <v>74</v>
      </c>
      <c r="H23" s="135" t="str">
        <f t="shared" si="190"/>
        <v>B</v>
      </c>
      <c r="I23" s="135" t="str">
        <f>VLOOKUP(RANK(G23,$G$10:$G$109),Sheet1!$A$381:$B$480,2,FALSE)</f>
        <v>22nd</v>
      </c>
      <c r="J23" s="134">
        <v>29</v>
      </c>
      <c r="K23" s="134">
        <v>21</v>
      </c>
      <c r="L23" s="137">
        <f t="shared" si="2"/>
        <v>50</v>
      </c>
      <c r="M23" s="137">
        <f t="shared" si="3"/>
        <v>50</v>
      </c>
      <c r="N23" s="135" t="str">
        <f t="shared" si="4"/>
        <v>C</v>
      </c>
      <c r="O23" s="141" t="str">
        <f>VLOOKUP(RANK(M23,$M$10:$M$109),Sheet1!$A$381:$B$480,2,FALSE)</f>
        <v>67th</v>
      </c>
      <c r="P23" s="142">
        <v>30</v>
      </c>
      <c r="Q23" s="145">
        <v>20</v>
      </c>
      <c r="R23" s="147">
        <f t="shared" si="5"/>
        <v>50</v>
      </c>
      <c r="S23" s="137">
        <f t="shared" si="6"/>
        <v>50</v>
      </c>
      <c r="T23" s="135" t="str">
        <f t="shared" si="7"/>
        <v>C</v>
      </c>
      <c r="U23" s="135" t="str">
        <f>VLOOKUP(RANK(S23,$S$10:$S$109),Sheet1!$A$381:$B$480,2,FALSE)</f>
        <v>29th</v>
      </c>
      <c r="V23" s="134">
        <v>27</v>
      </c>
      <c r="W23" s="134">
        <v>25</v>
      </c>
      <c r="X23" s="137">
        <f t="shared" si="191"/>
        <v>52</v>
      </c>
      <c r="Y23" s="137">
        <f t="shared" si="244"/>
        <v>52</v>
      </c>
      <c r="Z23" s="135" t="str">
        <f t="shared" si="8"/>
        <v>C</v>
      </c>
      <c r="AA23" s="135" t="str">
        <f>VLOOKUP(RANK(Y23,$Y$10:$Y$109),Sheet1!$A$381:$B$480,2,FALSE)</f>
        <v>51st</v>
      </c>
      <c r="AB23" s="134">
        <v>33</v>
      </c>
      <c r="AC23" s="134">
        <v>40</v>
      </c>
      <c r="AD23" s="137">
        <f t="shared" si="9"/>
        <v>73</v>
      </c>
      <c r="AE23" s="137">
        <f t="shared" si="10"/>
        <v>73</v>
      </c>
      <c r="AF23" s="135" t="str">
        <f t="shared" si="11"/>
        <v>B</v>
      </c>
      <c r="AG23" s="135" t="str">
        <f>VLOOKUP(RANK(AE23,$AE$10:$AE$109),Sheet1!$A$381:$B$480,2,FALSE)</f>
        <v>28th</v>
      </c>
      <c r="AH23" s="137"/>
      <c r="AI23" s="137"/>
      <c r="AJ23" s="137">
        <f t="shared" si="12"/>
        <v>0</v>
      </c>
      <c r="AK23" s="137">
        <f t="shared" si="13"/>
        <v>0</v>
      </c>
      <c r="AL23" s="135" t="str">
        <f t="shared" si="14"/>
        <v>F</v>
      </c>
      <c r="AM23" s="135" t="str">
        <f>VLOOKUP(RANK(AK23,$AK$10:$AK$109),Sheet1!$A$381:$B$480,2,FALSE)</f>
        <v>1st</v>
      </c>
      <c r="AN23" s="134"/>
      <c r="AO23" s="134"/>
      <c r="AP23" s="137">
        <f t="shared" si="15"/>
        <v>0</v>
      </c>
      <c r="AQ23" s="137">
        <f t="shared" si="16"/>
        <v>0</v>
      </c>
      <c r="AR23" s="135" t="str">
        <f t="shared" si="17"/>
        <v>F</v>
      </c>
      <c r="AS23" s="135" t="str">
        <f>VLOOKUP(RANK(AQ23,$AQ$10:$AQ$109),Sheet1!$A$381:$B$480,2,FALSE)</f>
        <v>1st</v>
      </c>
      <c r="AT23" s="142">
        <v>25</v>
      </c>
      <c r="AU23" s="145">
        <v>25</v>
      </c>
      <c r="AV23" s="137">
        <f t="shared" si="18"/>
        <v>50</v>
      </c>
      <c r="AW23" s="137">
        <f t="shared" si="19"/>
        <v>50</v>
      </c>
      <c r="AX23" s="135" t="str">
        <f t="shared" si="20"/>
        <v>C</v>
      </c>
      <c r="AY23" s="141" t="str">
        <f>VLOOKUP(RANK(AW23,$AW$10:$AW$109),Sheet1!$A$381:$B$480,2,FALSE)</f>
        <v>58th</v>
      </c>
      <c r="AZ23" s="142">
        <v>36</v>
      </c>
      <c r="BA23" s="145">
        <v>33</v>
      </c>
      <c r="BB23" s="147">
        <f t="shared" si="21"/>
        <v>69</v>
      </c>
      <c r="BC23" s="137">
        <f t="shared" si="22"/>
        <v>69</v>
      </c>
      <c r="BD23" s="135" t="str">
        <f t="shared" si="23"/>
        <v>B</v>
      </c>
      <c r="BE23" s="135" t="str">
        <f>VLOOKUP(RANK(BC23,$BC$10:$BC$109),Sheet1!$A$381:$B$480,2,FALSE)</f>
        <v>12th</v>
      </c>
      <c r="BF23" s="142">
        <v>12</v>
      </c>
      <c r="BG23" s="145">
        <v>25</v>
      </c>
      <c r="BH23" s="137">
        <f t="shared" si="24"/>
        <v>37</v>
      </c>
      <c r="BI23" s="137">
        <f t="shared" si="25"/>
        <v>37</v>
      </c>
      <c r="BJ23" s="135" t="str">
        <f t="shared" si="26"/>
        <v>E</v>
      </c>
      <c r="BK23" s="141" t="str">
        <f>VLOOKUP(RANK(BI23,$BI$10:$BI$109),Sheet1!$A$381:$B$480,2,FALSE)</f>
        <v>41st</v>
      </c>
      <c r="BL23" s="148">
        <v>25</v>
      </c>
      <c r="BM23" s="150">
        <v>26</v>
      </c>
      <c r="BN23" s="147">
        <f t="shared" si="27"/>
        <v>51</v>
      </c>
      <c r="BO23" s="137">
        <f t="shared" si="28"/>
        <v>51</v>
      </c>
      <c r="BP23" s="135" t="str">
        <f t="shared" si="29"/>
        <v>C</v>
      </c>
      <c r="BQ23" s="141" t="str">
        <f>VLOOKUP(RANK(BO23,$BO$10:$BO$109),Sheet1!$A$381:$B$480,2,FALSE)</f>
        <v>69th</v>
      </c>
      <c r="BR23" s="148">
        <v>29</v>
      </c>
      <c r="BS23" s="150">
        <v>21</v>
      </c>
      <c r="BT23" s="147">
        <f t="shared" si="30"/>
        <v>50</v>
      </c>
      <c r="BU23" s="137">
        <f t="shared" si="31"/>
        <v>50</v>
      </c>
      <c r="BV23" s="135" t="str">
        <f t="shared" si="32"/>
        <v>C</v>
      </c>
      <c r="BW23" s="135" t="str">
        <f>VLOOKUP(RANK(BU23,$BU$10:$BU$109),Sheet1!$A$381:$B$480,2,FALSE)</f>
        <v>42nd</v>
      </c>
      <c r="BX23" s="148">
        <v>27</v>
      </c>
      <c r="BY23" s="150">
        <v>10</v>
      </c>
      <c r="BZ23" s="137">
        <f t="shared" si="33"/>
        <v>37</v>
      </c>
      <c r="CA23" s="137">
        <f t="shared" si="34"/>
        <v>37</v>
      </c>
      <c r="CB23" s="135" t="str">
        <f t="shared" si="35"/>
        <v>E</v>
      </c>
      <c r="CC23" s="135" t="str">
        <f>VLOOKUP(RANK(CA23,$CA$10:$CA$109),Sheet1!$A$381:$B$480,2,FALSE)</f>
        <v>70th</v>
      </c>
      <c r="CD23" s="148">
        <v>25</v>
      </c>
      <c r="CE23" s="150">
        <v>30</v>
      </c>
      <c r="CF23" s="137">
        <f t="shared" si="36"/>
        <v>55</v>
      </c>
      <c r="CG23" s="137">
        <f t="shared" si="37"/>
        <v>55</v>
      </c>
      <c r="CH23" s="135" t="str">
        <f t="shared" si="38"/>
        <v>C</v>
      </c>
      <c r="CI23" s="135" t="str">
        <f>VLOOKUP(RANK(CG23,$CG$10:$CG$109),Sheet1!$A$381:$B$480,2,FALSE)</f>
        <v>46th</v>
      </c>
      <c r="CJ23" s="137"/>
      <c r="CK23" s="137"/>
      <c r="CL23" s="137">
        <f t="shared" si="39"/>
        <v>0</v>
      </c>
      <c r="CM23" s="137">
        <f t="shared" si="40"/>
        <v>0</v>
      </c>
      <c r="CN23" s="135" t="str">
        <f t="shared" si="41"/>
        <v>F</v>
      </c>
      <c r="CO23" s="135" t="str">
        <f>VLOOKUP(RANK(CM23,$CM$10:$CM$109),Sheet1!$A$381:$B$480,2,FALSE)</f>
        <v>1st</v>
      </c>
      <c r="CP23" s="137"/>
      <c r="CQ23" s="137"/>
      <c r="CR23" s="137">
        <f t="shared" si="42"/>
        <v>0</v>
      </c>
      <c r="CS23" s="137">
        <f t="shared" si="43"/>
        <v>0</v>
      </c>
      <c r="CT23" s="135" t="str">
        <f t="shared" si="44"/>
        <v>F</v>
      </c>
      <c r="CU23" s="135" t="str">
        <f>VLOOKUP(RANK(CS23,$CS$10:$CS$109),Sheet1!$A$381:$B$480,2,FALSE)</f>
        <v>1st</v>
      </c>
      <c r="CV23" s="151"/>
      <c r="CW23" s="135"/>
      <c r="CX23" s="151">
        <f t="shared" si="192"/>
        <v>0</v>
      </c>
      <c r="CY23" s="151">
        <f t="shared" si="193"/>
        <v>0</v>
      </c>
      <c r="CZ23" s="135" t="str">
        <f t="shared" si="45"/>
        <v>F</v>
      </c>
      <c r="DA23" s="135" t="str">
        <f>VLOOKUP(RANK(CY23,$CY$10:$CY$109),Sheet1!$A$381:$B$480,2,FALSE)</f>
        <v>1st</v>
      </c>
      <c r="DB23" s="135"/>
      <c r="DC23" s="151">
        <f t="shared" si="194"/>
        <v>648</v>
      </c>
      <c r="DD23" s="151">
        <f t="shared" si="195"/>
        <v>38.117647058823501</v>
      </c>
      <c r="DE23" s="135" t="str">
        <f>VLOOKUP(RANK(DD23,$DD$10:$DD$109),Sheet1!$A$381:$B$480,2,FALSE)</f>
        <v>37th</v>
      </c>
      <c r="DF23" s="137"/>
      <c r="DG23" s="160">
        <f t="shared" si="46"/>
        <v>686.11764705882399</v>
      </c>
      <c r="DH23" s="119"/>
      <c r="DI23" s="162">
        <v>24</v>
      </c>
      <c r="DJ23" s="162">
        <v>55</v>
      </c>
      <c r="DK23" s="137">
        <f t="shared" si="47"/>
        <v>79</v>
      </c>
      <c r="DL23" s="137" t="str">
        <f t="shared" si="48"/>
        <v>74</v>
      </c>
      <c r="DM23" s="137">
        <f t="shared" si="49"/>
        <v>153</v>
      </c>
      <c r="DN23" s="137">
        <f t="shared" si="50"/>
        <v>76.5</v>
      </c>
      <c r="DO23" s="135" t="str">
        <f t="shared" si="51"/>
        <v>A</v>
      </c>
      <c r="DP23" s="135" t="str">
        <f>VLOOKUP(RANK(DN23,$DN$10:$DN$109),Sheet1!$A$381:$B$480,2,FALSE)</f>
        <v>12th</v>
      </c>
      <c r="DQ23" s="164">
        <v>23</v>
      </c>
      <c r="DR23" s="165">
        <v>24</v>
      </c>
      <c r="DS23" s="137">
        <f t="shared" si="52"/>
        <v>47</v>
      </c>
      <c r="DT23" s="137" t="str">
        <f t="shared" si="53"/>
        <v>50</v>
      </c>
      <c r="DU23" s="137">
        <f t="shared" si="54"/>
        <v>97</v>
      </c>
      <c r="DV23" s="137">
        <f t="shared" si="55"/>
        <v>48.5</v>
      </c>
      <c r="DW23" s="135" t="str">
        <f t="shared" si="56"/>
        <v>D</v>
      </c>
      <c r="DX23" s="135" t="str">
        <f>VLOOKUP(RANK(DV23,$DV$10:$DV$109),Sheet1!$A$381:$B$480,2,FALSE)</f>
        <v>51st</v>
      </c>
      <c r="DY23" s="167">
        <v>37</v>
      </c>
      <c r="DZ23" s="165">
        <v>24</v>
      </c>
      <c r="EA23" s="137">
        <f t="shared" si="57"/>
        <v>61</v>
      </c>
      <c r="EB23" s="137" t="str">
        <f t="shared" si="58"/>
        <v>50</v>
      </c>
      <c r="EC23" s="137">
        <f t="shared" si="59"/>
        <v>111</v>
      </c>
      <c r="ED23" s="137">
        <f t="shared" si="60"/>
        <v>55.5</v>
      </c>
      <c r="EE23" s="135" t="str">
        <f t="shared" si="61"/>
        <v>C</v>
      </c>
      <c r="EF23" s="135" t="str">
        <f>VLOOKUP(RANK(ED23,$ED$10:$ED$109),Sheet1!$A$381:$B$480,2,FALSE)</f>
        <v>24th</v>
      </c>
      <c r="EG23" s="162">
        <v>31</v>
      </c>
      <c r="EH23" s="162">
        <v>37</v>
      </c>
      <c r="EI23" s="137">
        <f t="shared" si="62"/>
        <v>68</v>
      </c>
      <c r="EJ23" s="137" t="str">
        <f t="shared" si="63"/>
        <v>52</v>
      </c>
      <c r="EK23" s="137">
        <f t="shared" si="64"/>
        <v>120</v>
      </c>
      <c r="EL23" s="137">
        <f t="shared" si="65"/>
        <v>60</v>
      </c>
      <c r="EM23" s="135" t="str">
        <f t="shared" si="66"/>
        <v>B</v>
      </c>
      <c r="EN23" s="135" t="str">
        <f>VLOOKUP(RANK(EL23,$EL$10:$EL$109),Sheet1!$A$381:$B$480,2,FALSE)</f>
        <v>36th</v>
      </c>
      <c r="EO23" s="162">
        <v>33</v>
      </c>
      <c r="EP23" s="162">
        <v>33</v>
      </c>
      <c r="EQ23" s="137">
        <f t="shared" si="67"/>
        <v>66</v>
      </c>
      <c r="ER23" s="137" t="str">
        <f t="shared" si="68"/>
        <v>73</v>
      </c>
      <c r="ES23" s="137">
        <f t="shared" si="69"/>
        <v>139</v>
      </c>
      <c r="ET23" s="137">
        <f t="shared" si="70"/>
        <v>69.5</v>
      </c>
      <c r="EU23" s="135" t="str">
        <f t="shared" si="71"/>
        <v>B</v>
      </c>
      <c r="EV23" s="135" t="str">
        <f>VLOOKUP(RANK(ET23,$ET$10:$ET$109),Sheet1!$A$381:$B$480,2,FALSE)</f>
        <v>17th</v>
      </c>
      <c r="EW23" s="137"/>
      <c r="EX23" s="137"/>
      <c r="EY23" s="137">
        <f t="shared" si="72"/>
        <v>0</v>
      </c>
      <c r="EZ23" s="137" t="str">
        <f t="shared" si="73"/>
        <v>0</v>
      </c>
      <c r="FA23" s="137">
        <f t="shared" si="74"/>
        <v>0</v>
      </c>
      <c r="FB23" s="137">
        <f t="shared" si="75"/>
        <v>0</v>
      </c>
      <c r="FC23" s="135" t="str">
        <f t="shared" si="76"/>
        <v>F</v>
      </c>
      <c r="FD23" s="135" t="str">
        <f>VLOOKUP(RANK(FB23,$FB$10:$FB$109),Sheet1!$A$381:$B$480,2,FALSE)</f>
        <v>1st</v>
      </c>
      <c r="FE23" s="137"/>
      <c r="FF23" s="137"/>
      <c r="FG23" s="137">
        <f t="shared" si="77"/>
        <v>0</v>
      </c>
      <c r="FH23" s="137" t="str">
        <f t="shared" si="78"/>
        <v>0</v>
      </c>
      <c r="FI23" s="137">
        <f t="shared" si="79"/>
        <v>0</v>
      </c>
      <c r="FJ23" s="137">
        <f t="shared" si="80"/>
        <v>0</v>
      </c>
      <c r="FK23" s="135" t="str">
        <f t="shared" si="81"/>
        <v>F</v>
      </c>
      <c r="FL23" s="135" t="str">
        <f>VLOOKUP(RANK(FJ23,$FJ$10:$FJ$109),Sheet1!$A$381:$B$480,2,FALSE)</f>
        <v>1st</v>
      </c>
      <c r="FM23" s="164">
        <v>28</v>
      </c>
      <c r="FN23" s="165">
        <v>23</v>
      </c>
      <c r="FO23" s="137">
        <f t="shared" si="82"/>
        <v>51</v>
      </c>
      <c r="FP23" s="137" t="str">
        <f t="shared" si="83"/>
        <v>50</v>
      </c>
      <c r="FQ23" s="137">
        <f t="shared" si="84"/>
        <v>101</v>
      </c>
      <c r="FR23" s="137">
        <f t="shared" si="85"/>
        <v>50.5</v>
      </c>
      <c r="FS23" s="135" t="str">
        <f t="shared" si="86"/>
        <v>C</v>
      </c>
      <c r="FT23" s="135" t="str">
        <f>VLOOKUP(RANK(FR23,$FR$10:$FR$109),Sheet1!$A$381:$B$480,2,FALSE)</f>
        <v>65th</v>
      </c>
      <c r="FU23" s="148">
        <v>38</v>
      </c>
      <c r="FV23" s="150">
        <v>15</v>
      </c>
      <c r="FW23" s="137">
        <f t="shared" si="87"/>
        <v>53</v>
      </c>
      <c r="FX23" s="137" t="str">
        <f t="shared" si="88"/>
        <v>69</v>
      </c>
      <c r="FY23" s="137">
        <f t="shared" si="196"/>
        <v>53</v>
      </c>
      <c r="FZ23" s="137">
        <f t="shared" si="89"/>
        <v>26.5</v>
      </c>
      <c r="GA23" s="135" t="str">
        <f t="shared" si="90"/>
        <v>F</v>
      </c>
      <c r="GB23" s="135" t="str">
        <f>VLOOKUP(RANK(FZ23,$FZ$10:$FZ$109),Sheet1!$A$381:$B$480,2,FALSE)</f>
        <v>43rd</v>
      </c>
      <c r="GC23" s="164">
        <v>22</v>
      </c>
      <c r="GD23" s="165">
        <v>27</v>
      </c>
      <c r="GE23" s="137">
        <f t="shared" si="91"/>
        <v>49</v>
      </c>
      <c r="GF23" s="137" t="str">
        <f t="shared" si="92"/>
        <v>37</v>
      </c>
      <c r="GG23" s="135">
        <f t="shared" si="197"/>
        <v>86</v>
      </c>
      <c r="GH23" s="137">
        <f t="shared" si="198"/>
        <v>43</v>
      </c>
      <c r="GI23" s="135" t="str">
        <f t="shared" si="93"/>
        <v>D</v>
      </c>
      <c r="GJ23" s="135" t="str">
        <f>VLOOKUP(RANK(GH23,$GH$10:$GH$109),Sheet1!$A$381:$B$480,2,FALSE)</f>
        <v>34th</v>
      </c>
      <c r="GK23" s="164">
        <v>25</v>
      </c>
      <c r="GL23" s="165">
        <v>17</v>
      </c>
      <c r="GM23" s="137">
        <f t="shared" si="94"/>
        <v>42</v>
      </c>
      <c r="GN23" s="137" t="str">
        <f t="shared" si="95"/>
        <v>51</v>
      </c>
      <c r="GO23" s="135">
        <f t="shared" si="199"/>
        <v>93</v>
      </c>
      <c r="GP23" s="137">
        <f t="shared" si="96"/>
        <v>46.5</v>
      </c>
      <c r="GQ23" s="135" t="str">
        <f t="shared" si="97"/>
        <v>D</v>
      </c>
      <c r="GR23" s="135" t="str">
        <f>VLOOKUP(RANK(GP23,$GP$10:$GP$109),Sheet1!$A$381:$B$480,2,FALSE)</f>
        <v>74th</v>
      </c>
      <c r="GS23" s="164">
        <v>24</v>
      </c>
      <c r="GT23" s="165">
        <v>40</v>
      </c>
      <c r="GU23" s="137">
        <f t="shared" si="98"/>
        <v>64</v>
      </c>
      <c r="GV23" s="137" t="str">
        <f t="shared" si="99"/>
        <v>50</v>
      </c>
      <c r="GW23" s="137">
        <f t="shared" si="100"/>
        <v>114</v>
      </c>
      <c r="GX23" s="137">
        <f t="shared" si="101"/>
        <v>57</v>
      </c>
      <c r="GY23" s="135" t="str">
        <f t="shared" si="102"/>
        <v>C</v>
      </c>
      <c r="GZ23" s="135" t="str">
        <f>VLOOKUP(RANK(GX23,$GX$10:$GX$109),Sheet1!$A$381:$B$480,2,FALSE)</f>
        <v>29th</v>
      </c>
      <c r="HA23" s="164">
        <v>28</v>
      </c>
      <c r="HB23" s="165">
        <v>17</v>
      </c>
      <c r="HC23" s="137">
        <f t="shared" si="103"/>
        <v>45</v>
      </c>
      <c r="HD23" s="137" t="str">
        <f t="shared" si="104"/>
        <v>37</v>
      </c>
      <c r="HE23" s="137">
        <f t="shared" si="105"/>
        <v>82</v>
      </c>
      <c r="HF23" s="137">
        <f t="shared" si="106"/>
        <v>41</v>
      </c>
      <c r="HG23" s="135" t="str">
        <f t="shared" si="107"/>
        <v>D</v>
      </c>
      <c r="HH23" s="135" t="str">
        <f>VLOOKUP(RANK(HF23,$HF$10:$HF$109),Sheet1!$A$381:$B$480,2,FALSE)</f>
        <v>53rd</v>
      </c>
      <c r="HI23" s="148">
        <v>24</v>
      </c>
      <c r="HJ23" s="150">
        <v>45</v>
      </c>
      <c r="HK23" s="137">
        <f t="shared" si="108"/>
        <v>69</v>
      </c>
      <c r="HL23" s="137" t="str">
        <f t="shared" si="109"/>
        <v>55</v>
      </c>
      <c r="HM23" s="137">
        <f t="shared" si="110"/>
        <v>124</v>
      </c>
      <c r="HN23" s="137">
        <f t="shared" si="111"/>
        <v>62</v>
      </c>
      <c r="HO23" s="135" t="str">
        <f t="shared" si="112"/>
        <v>B</v>
      </c>
      <c r="HP23" s="135" t="str">
        <f>VLOOKUP(RANK(HN23,$HN$10:$HN$109),Sheet1!$A$381:$B$480,2,FALSE)</f>
        <v>60th</v>
      </c>
      <c r="HQ23" s="137"/>
      <c r="HR23" s="137"/>
      <c r="HS23" s="137">
        <f t="shared" si="113"/>
        <v>0</v>
      </c>
      <c r="HT23" s="137" t="str">
        <f t="shared" si="114"/>
        <v>0</v>
      </c>
      <c r="HU23" s="137">
        <f t="shared" si="115"/>
        <v>0</v>
      </c>
      <c r="HV23" s="137">
        <f t="shared" si="116"/>
        <v>0</v>
      </c>
      <c r="HW23" s="135" t="str">
        <f t="shared" si="117"/>
        <v>F</v>
      </c>
      <c r="HX23" s="135" t="str">
        <f>VLOOKUP(RANK(HV23,$HV$10:$HV$109),Sheet1!$A$381:$B$480,2,FALSE)</f>
        <v>1st</v>
      </c>
      <c r="HY23" s="137"/>
      <c r="HZ23" s="137"/>
      <c r="IA23" s="137">
        <f t="shared" si="118"/>
        <v>0</v>
      </c>
      <c r="IB23" s="137" t="str">
        <f t="shared" si="119"/>
        <v>0</v>
      </c>
      <c r="IC23" s="137">
        <f t="shared" si="120"/>
        <v>0</v>
      </c>
      <c r="ID23" s="137">
        <f t="shared" si="121"/>
        <v>0</v>
      </c>
      <c r="IE23" s="135" t="str">
        <f t="shared" si="122"/>
        <v>F</v>
      </c>
      <c r="IF23" s="135" t="str">
        <f>VLOOKUP(RANK(ID23,$ID$10:$ID$109),Sheet1!$A$381:$B$480,2,FALSE)</f>
        <v>1st</v>
      </c>
      <c r="IG23" s="135"/>
      <c r="IH23" s="135"/>
      <c r="II23" s="135">
        <f t="shared" si="200"/>
        <v>0</v>
      </c>
      <c r="IJ23" s="135" t="str">
        <f t="shared" si="201"/>
        <v>0</v>
      </c>
      <c r="IK23" s="135">
        <f t="shared" si="202"/>
        <v>0</v>
      </c>
      <c r="IL23" s="135">
        <f t="shared" si="203"/>
        <v>0</v>
      </c>
      <c r="IM23" s="135" t="str">
        <f t="shared" si="123"/>
        <v>F</v>
      </c>
      <c r="IN23" s="135" t="str">
        <f>VLOOKUP(RANK(IL23,$IL$10:$IL$109),Sheet1!$A$381:$B$480,2,FALSE)</f>
        <v>1st</v>
      </c>
      <c r="IO23" s="135">
        <f t="shared" si="204"/>
        <v>636.5</v>
      </c>
      <c r="IP23" s="177">
        <f t="shared" si="205"/>
        <v>37.441176470588204</v>
      </c>
      <c r="IQ23" s="135" t="str">
        <f>VLOOKUP(RANK(IP23,$IP$10:$IP$109),Sheet1!$A$381:$B$480,2,FALSE)</f>
        <v>34th</v>
      </c>
      <c r="IR23" s="178"/>
      <c r="IS23" s="137"/>
      <c r="IT23" s="137"/>
      <c r="IU23" s="137"/>
      <c r="IV23" s="137"/>
      <c r="IW23" s="181"/>
      <c r="IX23" s="184"/>
      <c r="IY23" s="186"/>
      <c r="IZ23" s="186">
        <f t="shared" si="206"/>
        <v>0</v>
      </c>
      <c r="JA23" s="186" t="str">
        <f t="shared" si="124"/>
        <v>74</v>
      </c>
      <c r="JB23" s="186" t="str">
        <f t="shared" si="125"/>
        <v>79</v>
      </c>
      <c r="JC23" s="186">
        <f t="shared" si="207"/>
        <v>153</v>
      </c>
      <c r="JD23" s="186">
        <f t="shared" si="208"/>
        <v>51</v>
      </c>
      <c r="JE23" s="135" t="str">
        <f t="shared" si="126"/>
        <v>C</v>
      </c>
      <c r="JF23" s="151" t="str">
        <f>VLOOKUP(RANK(JD23,$JD$10:$JD$109),Sheet1!$A$381:$B$480,2,FALSE)</f>
        <v>12th</v>
      </c>
      <c r="JG23" s="186"/>
      <c r="JH23" s="186"/>
      <c r="JI23" s="186">
        <f t="shared" si="127"/>
        <v>0</v>
      </c>
      <c r="JJ23" s="186" t="str">
        <f t="shared" si="128"/>
        <v>50</v>
      </c>
      <c r="JK23" s="186" t="str">
        <f t="shared" si="129"/>
        <v>47</v>
      </c>
      <c r="JL23" s="186">
        <f t="shared" si="209"/>
        <v>97</v>
      </c>
      <c r="JM23" s="186">
        <f t="shared" si="210"/>
        <v>32.3333333333333</v>
      </c>
      <c r="JN23" s="135" t="str">
        <f t="shared" si="130"/>
        <v>F</v>
      </c>
      <c r="JO23" s="151" t="str">
        <f>VLOOKUP(RANK(JM23,$JM$10:$JM$109),Sheet1!$A$381:$B$480,2,FALSE)</f>
        <v>51st</v>
      </c>
      <c r="JP23" s="186"/>
      <c r="JQ23" s="186"/>
      <c r="JR23" s="186">
        <f t="shared" si="131"/>
        <v>0</v>
      </c>
      <c r="JS23" s="186" t="str">
        <f t="shared" si="132"/>
        <v>50</v>
      </c>
      <c r="JT23" s="186" t="str">
        <f t="shared" si="133"/>
        <v>61</v>
      </c>
      <c r="JU23" s="186">
        <f t="shared" si="211"/>
        <v>111</v>
      </c>
      <c r="JV23" s="186">
        <f t="shared" si="212"/>
        <v>37</v>
      </c>
      <c r="JW23" s="135" t="str">
        <f t="shared" si="134"/>
        <v>E</v>
      </c>
      <c r="JX23" s="151" t="str">
        <f>VLOOKUP(RANK(JV23,$JV$10:$JV$109),Sheet1!$A$381:$B$480,2,FALSE)</f>
        <v>24th</v>
      </c>
      <c r="JY23" s="186"/>
      <c r="JZ23" s="186"/>
      <c r="KA23" s="186">
        <f t="shared" si="135"/>
        <v>0</v>
      </c>
      <c r="KB23" s="186" t="str">
        <f t="shared" si="136"/>
        <v>52</v>
      </c>
      <c r="KC23" s="186" t="str">
        <f t="shared" si="137"/>
        <v>68</v>
      </c>
      <c r="KD23" s="186">
        <f t="shared" si="213"/>
        <v>120</v>
      </c>
      <c r="KE23" s="186">
        <f t="shared" si="214"/>
        <v>40</v>
      </c>
      <c r="KF23" s="135" t="str">
        <f t="shared" si="138"/>
        <v>D</v>
      </c>
      <c r="KG23" s="151" t="str">
        <f>VLOOKUP(RANK(KE23,$KE$10:$KE$109),Sheet1!$A$381:$B$480,2,FALSE)</f>
        <v>36th</v>
      </c>
      <c r="KH23" s="186"/>
      <c r="KI23" s="186"/>
      <c r="KJ23" s="186">
        <f t="shared" si="139"/>
        <v>0</v>
      </c>
      <c r="KK23" s="186" t="str">
        <f t="shared" si="140"/>
        <v>73</v>
      </c>
      <c r="KL23" s="186" t="str">
        <f t="shared" si="141"/>
        <v>66</v>
      </c>
      <c r="KM23" s="186">
        <f t="shared" si="215"/>
        <v>139</v>
      </c>
      <c r="KN23" s="186">
        <f t="shared" si="216"/>
        <v>46.3333333333333</v>
      </c>
      <c r="KO23" s="135" t="str">
        <f t="shared" si="142"/>
        <v>D</v>
      </c>
      <c r="KP23" s="151" t="str">
        <f>VLOOKUP(RANK(KN23,$KN$10:$KN$109),Sheet1!$A$381:$B$480,2,FALSE)</f>
        <v>17th</v>
      </c>
      <c r="KQ23" s="186"/>
      <c r="KR23" s="186"/>
      <c r="KS23" s="186">
        <f t="shared" si="143"/>
        <v>0</v>
      </c>
      <c r="KT23" s="186" t="str">
        <f t="shared" si="144"/>
        <v>0</v>
      </c>
      <c r="KU23" s="186" t="str">
        <f t="shared" si="145"/>
        <v>0</v>
      </c>
      <c r="KV23" s="186">
        <f t="shared" si="217"/>
        <v>0</v>
      </c>
      <c r="KW23" s="186">
        <f t="shared" si="218"/>
        <v>0</v>
      </c>
      <c r="KX23" s="135" t="str">
        <f t="shared" si="146"/>
        <v>F</v>
      </c>
      <c r="KY23" s="151" t="str">
        <f>VLOOKUP(RANK(KW23,$KW$10:$KW$109),Sheet1!$A$381:$B$480,2,FALSE)</f>
        <v>1st</v>
      </c>
      <c r="KZ23" s="186"/>
      <c r="LA23" s="186"/>
      <c r="LB23" s="186">
        <f t="shared" si="147"/>
        <v>0</v>
      </c>
      <c r="LC23" s="186" t="str">
        <f t="shared" si="148"/>
        <v>0</v>
      </c>
      <c r="LD23" s="186" t="str">
        <f t="shared" si="149"/>
        <v>0</v>
      </c>
      <c r="LE23" s="186">
        <f t="shared" si="219"/>
        <v>0</v>
      </c>
      <c r="LF23" s="186">
        <f t="shared" si="220"/>
        <v>0</v>
      </c>
      <c r="LG23" s="135" t="str">
        <f t="shared" si="150"/>
        <v>F</v>
      </c>
      <c r="LH23" s="151" t="str">
        <f>VLOOKUP(RANK(LF23,$LF$10:$LF$109),Sheet1!$A$381:$B$480,2,FALSE)</f>
        <v>1st</v>
      </c>
      <c r="LI23" s="186"/>
      <c r="LJ23" s="186"/>
      <c r="LK23" s="186">
        <f t="shared" si="151"/>
        <v>0</v>
      </c>
      <c r="LL23" s="186" t="str">
        <f t="shared" si="152"/>
        <v>50</v>
      </c>
      <c r="LM23" s="186" t="str">
        <f t="shared" si="153"/>
        <v>51</v>
      </c>
      <c r="LN23" s="186">
        <f t="shared" si="221"/>
        <v>101</v>
      </c>
      <c r="LO23" s="186">
        <f t="shared" si="222"/>
        <v>33.6666666666667</v>
      </c>
      <c r="LP23" s="135" t="str">
        <f t="shared" si="154"/>
        <v>F</v>
      </c>
      <c r="LQ23" s="151" t="str">
        <f>VLOOKUP(RANK(LO23,$LO$10:$LO$109),Sheet1!$A$381:$B$480,2,FALSE)</f>
        <v>65th</v>
      </c>
      <c r="LR23" s="186"/>
      <c r="LS23" s="186"/>
      <c r="LT23" s="186">
        <f t="shared" si="155"/>
        <v>0</v>
      </c>
      <c r="LU23" s="186" t="str">
        <f t="shared" si="156"/>
        <v>69</v>
      </c>
      <c r="LV23" s="186" t="str">
        <f t="shared" si="157"/>
        <v>53</v>
      </c>
      <c r="LW23" s="186">
        <f t="shared" si="223"/>
        <v>122</v>
      </c>
      <c r="LX23" s="186">
        <f t="shared" si="224"/>
        <v>40.6666666666667</v>
      </c>
      <c r="LY23" s="135" t="str">
        <f t="shared" si="158"/>
        <v>D</v>
      </c>
      <c r="LZ23" s="151" t="str">
        <f>VLOOKUP(RANK(LX23,$LX$10:$LX$109),Sheet1!$A$381:$B$480,2,FALSE)</f>
        <v>18th</v>
      </c>
      <c r="MA23" s="186"/>
      <c r="MB23" s="186"/>
      <c r="MC23" s="186">
        <f t="shared" si="159"/>
        <v>0</v>
      </c>
      <c r="MD23" s="186" t="str">
        <f t="shared" si="160"/>
        <v>37</v>
      </c>
      <c r="ME23" s="186" t="str">
        <f t="shared" si="161"/>
        <v>49</v>
      </c>
      <c r="MF23" s="183">
        <f t="shared" si="225"/>
        <v>86</v>
      </c>
      <c r="MG23" s="151">
        <f t="shared" si="226"/>
        <v>28.6666666666667</v>
      </c>
      <c r="MH23" s="135" t="str">
        <f t="shared" si="162"/>
        <v>F</v>
      </c>
      <c r="MI23" s="151" t="str">
        <f>VLOOKUP(RANK(MG23,$MG$10:$MG$109),Sheet1!$A$381:$B$480,2,FALSE)</f>
        <v>34th</v>
      </c>
      <c r="MJ23" s="186"/>
      <c r="MK23" s="186"/>
      <c r="ML23" s="186">
        <f t="shared" si="163"/>
        <v>0</v>
      </c>
      <c r="MM23" s="186" t="str">
        <f t="shared" si="164"/>
        <v>51</v>
      </c>
      <c r="MN23" s="186" t="str">
        <f t="shared" si="165"/>
        <v>42</v>
      </c>
      <c r="MO23" s="186">
        <f t="shared" si="227"/>
        <v>93</v>
      </c>
      <c r="MP23" s="186">
        <f t="shared" si="228"/>
        <v>31</v>
      </c>
      <c r="MQ23" s="135" t="str">
        <f t="shared" si="166"/>
        <v>F</v>
      </c>
      <c r="MR23" s="151" t="str">
        <f>VLOOKUP(RANK(MP23,$MP$10:$MP$109),Sheet1!$A$381:$B$480,2,FALSE)</f>
        <v>74th</v>
      </c>
      <c r="MS23" s="186"/>
      <c r="MT23" s="186"/>
      <c r="MU23" s="186">
        <f t="shared" si="167"/>
        <v>0</v>
      </c>
      <c r="MV23" s="186" t="str">
        <f t="shared" si="168"/>
        <v>50</v>
      </c>
      <c r="MW23" s="186" t="str">
        <f t="shared" si="169"/>
        <v>64</v>
      </c>
      <c r="MX23" s="186">
        <f t="shared" si="229"/>
        <v>114</v>
      </c>
      <c r="MY23" s="186">
        <f t="shared" si="230"/>
        <v>38</v>
      </c>
      <c r="MZ23" s="135" t="str">
        <f t="shared" si="170"/>
        <v>E</v>
      </c>
      <c r="NA23" s="151" t="str">
        <f>VLOOKUP(RANK(MY23,$MY$10:$MY$109),Sheet1!$A$381:$B$480,2,FALSE)</f>
        <v>29th</v>
      </c>
      <c r="NB23" s="186"/>
      <c r="NC23" s="186"/>
      <c r="ND23" s="186">
        <f t="shared" si="171"/>
        <v>0</v>
      </c>
      <c r="NE23" s="186" t="str">
        <f t="shared" si="172"/>
        <v>37</v>
      </c>
      <c r="NF23" s="186" t="str">
        <f t="shared" si="173"/>
        <v>45</v>
      </c>
      <c r="NG23" s="186">
        <f t="shared" si="231"/>
        <v>82</v>
      </c>
      <c r="NH23" s="186">
        <f t="shared" si="232"/>
        <v>27.3333333333333</v>
      </c>
      <c r="NI23" s="135" t="str">
        <f t="shared" si="174"/>
        <v>F</v>
      </c>
      <c r="NJ23" s="151" t="str">
        <f>VLOOKUP(RANK(NH23,$NH$10:$NH$109),Sheet1!$A$381:$B$480,2,FALSE)</f>
        <v>53rd</v>
      </c>
      <c r="NK23" s="186"/>
      <c r="NL23" s="186"/>
      <c r="NM23" s="186">
        <f t="shared" si="175"/>
        <v>0</v>
      </c>
      <c r="NN23" s="186" t="str">
        <f t="shared" si="176"/>
        <v>55</v>
      </c>
      <c r="NO23" s="186" t="str">
        <f t="shared" si="177"/>
        <v>69</v>
      </c>
      <c r="NP23" s="186">
        <f t="shared" si="233"/>
        <v>124</v>
      </c>
      <c r="NQ23" s="186">
        <f t="shared" si="178"/>
        <v>41.3333333333333</v>
      </c>
      <c r="NR23" s="135" t="str">
        <f t="shared" si="179"/>
        <v>D</v>
      </c>
      <c r="NS23" s="151" t="str">
        <f>VLOOKUP(RANK(NQ23,$NQ$10:$NQ$109),Sheet1!$A$381:$B$480,2,FALSE)</f>
        <v>60th</v>
      </c>
      <c r="NT23" s="186"/>
      <c r="NU23" s="186"/>
      <c r="NV23" s="186">
        <f t="shared" si="180"/>
        <v>0</v>
      </c>
      <c r="NW23" s="186" t="str">
        <f t="shared" si="181"/>
        <v>0</v>
      </c>
      <c r="NX23" s="186" t="str">
        <f t="shared" si="182"/>
        <v>0</v>
      </c>
      <c r="NY23" s="186">
        <f t="shared" si="234"/>
        <v>0</v>
      </c>
      <c r="NZ23" s="186">
        <f t="shared" si="183"/>
        <v>0</v>
      </c>
      <c r="OA23" s="135" t="str">
        <f t="shared" si="184"/>
        <v>F</v>
      </c>
      <c r="OB23" s="151" t="str">
        <f>VLOOKUP(RANK(NZ23,$NZ$10:$NZ$109),Sheet1!$A$381:$B$480,2,FALSE)</f>
        <v>1st</v>
      </c>
      <c r="OC23" s="186"/>
      <c r="OD23" s="186"/>
      <c r="OE23" s="186">
        <f t="shared" si="185"/>
        <v>0</v>
      </c>
      <c r="OF23" s="186" t="str">
        <f t="shared" si="186"/>
        <v>0</v>
      </c>
      <c r="OG23" s="186" t="str">
        <f t="shared" si="187"/>
        <v>0</v>
      </c>
      <c r="OH23" s="186">
        <f t="shared" si="235"/>
        <v>0</v>
      </c>
      <c r="OI23" s="186">
        <f t="shared" si="236"/>
        <v>0</v>
      </c>
      <c r="OJ23" s="135" t="str">
        <f t="shared" si="188"/>
        <v>F</v>
      </c>
      <c r="OK23" s="151" t="str">
        <f>VLOOKUP(RANK(OI23,$OI$10:$OI$109),Sheet1!$A$381:$B$480,2,FALSE)</f>
        <v>1st</v>
      </c>
      <c r="OL23" s="151"/>
      <c r="OM23" s="151"/>
      <c r="ON23" s="151">
        <f t="shared" si="237"/>
        <v>0</v>
      </c>
      <c r="OO23" s="151" t="str">
        <f t="shared" si="238"/>
        <v>0</v>
      </c>
      <c r="OP23" s="151" t="str">
        <f t="shared" si="239"/>
        <v>0</v>
      </c>
      <c r="OQ23" s="151">
        <f t="shared" si="240"/>
        <v>0</v>
      </c>
      <c r="OR23" s="151">
        <f t="shared" si="241"/>
        <v>0</v>
      </c>
      <c r="OS23" s="135" t="str">
        <f t="shared" si="189"/>
        <v>F</v>
      </c>
      <c r="OT23" s="151" t="str">
        <f>VLOOKUP(RANK(OR23,$OI$10:$OI$109),Sheet1!$A$381:$B$480,2,FALSE)</f>
        <v>1st</v>
      </c>
      <c r="OU23" s="151">
        <f t="shared" si="242"/>
        <v>447.33333333333297</v>
      </c>
      <c r="OV23" s="151">
        <f t="shared" si="243"/>
        <v>26.313725490196099</v>
      </c>
      <c r="OW23" s="151" t="str">
        <f>VLOOKUP(RANK(OV23,$OV$10:$OV$109),Sheet1!$A$381:$B$480,2,FALSE)</f>
        <v>32nd</v>
      </c>
      <c r="OX23" s="151"/>
      <c r="OY23" s="186"/>
      <c r="OZ23" s="186"/>
      <c r="PA23" s="186"/>
      <c r="PB23" s="186"/>
    </row>
    <row r="24" spans="1:418" s="118" customFormat="1" ht="18.75">
      <c r="A24" s="131">
        <v>15</v>
      </c>
      <c r="B24" s="132" t="s">
        <v>112</v>
      </c>
      <c r="C24" s="133" t="s">
        <v>97</v>
      </c>
      <c r="D24" s="134">
        <v>31</v>
      </c>
      <c r="E24" s="134">
        <v>50</v>
      </c>
      <c r="F24" s="137">
        <f t="shared" si="0"/>
        <v>81</v>
      </c>
      <c r="G24" s="137">
        <f t="shared" si="1"/>
        <v>81</v>
      </c>
      <c r="H24" s="135" t="str">
        <f t="shared" si="190"/>
        <v>A</v>
      </c>
      <c r="I24" s="135" t="str">
        <f>VLOOKUP(RANK(G24,$G$10:$G$109),Sheet1!$A$381:$B$480,2,FALSE)</f>
        <v>5th</v>
      </c>
      <c r="J24" s="134">
        <v>31</v>
      </c>
      <c r="K24" s="134">
        <v>20</v>
      </c>
      <c r="L24" s="137">
        <f t="shared" si="2"/>
        <v>51</v>
      </c>
      <c r="M24" s="137">
        <f t="shared" si="3"/>
        <v>51</v>
      </c>
      <c r="N24" s="135" t="str">
        <f t="shared" si="4"/>
        <v>C</v>
      </c>
      <c r="O24" s="141" t="str">
        <f>VLOOKUP(RANK(M24,$M$10:$M$109),Sheet1!$A$381:$B$480,2,FALSE)</f>
        <v>56th</v>
      </c>
      <c r="P24" s="142">
        <v>29</v>
      </c>
      <c r="Q24" s="145">
        <v>5</v>
      </c>
      <c r="R24" s="147">
        <f t="shared" si="5"/>
        <v>34</v>
      </c>
      <c r="S24" s="137">
        <f t="shared" si="6"/>
        <v>34</v>
      </c>
      <c r="T24" s="135" t="str">
        <f t="shared" si="7"/>
        <v>F</v>
      </c>
      <c r="U24" s="135" t="str">
        <f>VLOOKUP(RANK(S24,$S$10:$S$109),Sheet1!$A$381:$B$480,2,FALSE)</f>
        <v>74th</v>
      </c>
      <c r="V24" s="134">
        <v>31</v>
      </c>
      <c r="W24" s="134">
        <v>20</v>
      </c>
      <c r="X24" s="137">
        <f t="shared" si="191"/>
        <v>51</v>
      </c>
      <c r="Y24" s="137">
        <f t="shared" si="244"/>
        <v>51</v>
      </c>
      <c r="Z24" s="135" t="str">
        <f t="shared" si="8"/>
        <v>C</v>
      </c>
      <c r="AA24" s="135" t="str">
        <f>VLOOKUP(RANK(Y24,$Y$10:$Y$109),Sheet1!$A$381:$B$480,2,FALSE)</f>
        <v>54th</v>
      </c>
      <c r="AB24" s="134">
        <v>30</v>
      </c>
      <c r="AC24" s="134">
        <v>27</v>
      </c>
      <c r="AD24" s="137">
        <f t="shared" si="9"/>
        <v>57</v>
      </c>
      <c r="AE24" s="137">
        <f t="shared" si="10"/>
        <v>57</v>
      </c>
      <c r="AF24" s="135" t="str">
        <f t="shared" si="11"/>
        <v>C</v>
      </c>
      <c r="AG24" s="135" t="str">
        <f>VLOOKUP(RANK(AE24,$AE$10:$AE$109),Sheet1!$A$381:$B$480,2,FALSE)</f>
        <v>56th</v>
      </c>
      <c r="AH24" s="137"/>
      <c r="AI24" s="137"/>
      <c r="AJ24" s="137">
        <f t="shared" si="12"/>
        <v>0</v>
      </c>
      <c r="AK24" s="137">
        <f t="shared" si="13"/>
        <v>0</v>
      </c>
      <c r="AL24" s="135" t="str">
        <f t="shared" si="14"/>
        <v>F</v>
      </c>
      <c r="AM24" s="135" t="str">
        <f>VLOOKUP(RANK(AK24,$AK$10:$AK$109),Sheet1!$A$381:$B$480,2,FALSE)</f>
        <v>1st</v>
      </c>
      <c r="AN24" s="134"/>
      <c r="AO24" s="134"/>
      <c r="AP24" s="137">
        <f t="shared" si="15"/>
        <v>0</v>
      </c>
      <c r="AQ24" s="137">
        <f t="shared" si="16"/>
        <v>0</v>
      </c>
      <c r="AR24" s="135" t="str">
        <f t="shared" si="17"/>
        <v>F</v>
      </c>
      <c r="AS24" s="135" t="str">
        <f>VLOOKUP(RANK(AQ24,$AQ$10:$AQ$109),Sheet1!$A$381:$B$480,2,FALSE)</f>
        <v>1st</v>
      </c>
      <c r="AT24" s="142">
        <v>25</v>
      </c>
      <c r="AU24" s="145">
        <v>35</v>
      </c>
      <c r="AV24" s="137">
        <f t="shared" si="18"/>
        <v>60</v>
      </c>
      <c r="AW24" s="137">
        <f t="shared" si="19"/>
        <v>60</v>
      </c>
      <c r="AX24" s="135" t="str">
        <f t="shared" si="20"/>
        <v>B</v>
      </c>
      <c r="AY24" s="141" t="str">
        <f>VLOOKUP(RANK(AW24,$AW$10:$AW$109),Sheet1!$A$381:$B$480,2,FALSE)</f>
        <v>9th</v>
      </c>
      <c r="AZ24" s="142">
        <v>36</v>
      </c>
      <c r="BA24" s="145">
        <v>35</v>
      </c>
      <c r="BB24" s="147">
        <f t="shared" si="21"/>
        <v>71</v>
      </c>
      <c r="BC24" s="137">
        <f t="shared" si="22"/>
        <v>71</v>
      </c>
      <c r="BD24" s="135" t="str">
        <f t="shared" si="23"/>
        <v>B</v>
      </c>
      <c r="BE24" s="135" t="str">
        <f>VLOOKUP(RANK(BC24,$BC$10:$BC$109),Sheet1!$A$381:$B$480,2,FALSE)</f>
        <v>8th</v>
      </c>
      <c r="BF24" s="142">
        <v>11</v>
      </c>
      <c r="BG24" s="145">
        <v>26</v>
      </c>
      <c r="BH24" s="137">
        <f t="shared" si="24"/>
        <v>37</v>
      </c>
      <c r="BI24" s="137">
        <f t="shared" si="25"/>
        <v>37</v>
      </c>
      <c r="BJ24" s="135" t="str">
        <f t="shared" si="26"/>
        <v>E</v>
      </c>
      <c r="BK24" s="141" t="str">
        <f>VLOOKUP(RANK(BI24,$BI$10:$BI$109),Sheet1!$A$381:$B$480,2,FALSE)</f>
        <v>41st</v>
      </c>
      <c r="BL24" s="148">
        <v>25</v>
      </c>
      <c r="BM24" s="150">
        <v>28</v>
      </c>
      <c r="BN24" s="147">
        <f t="shared" si="27"/>
        <v>53</v>
      </c>
      <c r="BO24" s="137">
        <f t="shared" si="28"/>
        <v>53</v>
      </c>
      <c r="BP24" s="135" t="str">
        <f t="shared" si="29"/>
        <v>C</v>
      </c>
      <c r="BQ24" s="141" t="str">
        <f>VLOOKUP(RANK(BO24,$BO$10:$BO$109),Sheet1!$A$381:$B$480,2,FALSE)</f>
        <v>36th</v>
      </c>
      <c r="BR24" s="148">
        <v>27</v>
      </c>
      <c r="BS24" s="150">
        <v>10</v>
      </c>
      <c r="BT24" s="147">
        <f t="shared" si="30"/>
        <v>37</v>
      </c>
      <c r="BU24" s="137">
        <f t="shared" si="31"/>
        <v>37</v>
      </c>
      <c r="BV24" s="135" t="str">
        <f t="shared" si="32"/>
        <v>E</v>
      </c>
      <c r="BW24" s="135" t="str">
        <f>VLOOKUP(RANK(BU24,$BU$10:$BU$109),Sheet1!$A$381:$B$480,2,FALSE)</f>
        <v>71st</v>
      </c>
      <c r="BX24" s="148">
        <v>26</v>
      </c>
      <c r="BY24" s="150">
        <v>13</v>
      </c>
      <c r="BZ24" s="137">
        <f t="shared" si="33"/>
        <v>39</v>
      </c>
      <c r="CA24" s="137">
        <f t="shared" si="34"/>
        <v>39</v>
      </c>
      <c r="CB24" s="135" t="str">
        <f t="shared" si="35"/>
        <v>E</v>
      </c>
      <c r="CC24" s="135" t="str">
        <f>VLOOKUP(RANK(CA24,$CA$10:$CA$109),Sheet1!$A$381:$B$480,2,FALSE)</f>
        <v>53rd</v>
      </c>
      <c r="CD24" s="148">
        <v>20</v>
      </c>
      <c r="CE24" s="150">
        <v>30</v>
      </c>
      <c r="CF24" s="137">
        <f t="shared" si="36"/>
        <v>50</v>
      </c>
      <c r="CG24" s="137">
        <f t="shared" si="37"/>
        <v>50</v>
      </c>
      <c r="CH24" s="135" t="str">
        <f t="shared" si="38"/>
        <v>C</v>
      </c>
      <c r="CI24" s="135" t="str">
        <f>VLOOKUP(RANK(CG24,$CG$10:$CG$109),Sheet1!$A$381:$B$480,2,FALSE)</f>
        <v>71st</v>
      </c>
      <c r="CJ24" s="137"/>
      <c r="CK24" s="137"/>
      <c r="CL24" s="137">
        <f t="shared" si="39"/>
        <v>0</v>
      </c>
      <c r="CM24" s="137">
        <f t="shared" si="40"/>
        <v>0</v>
      </c>
      <c r="CN24" s="135" t="str">
        <f t="shared" si="41"/>
        <v>F</v>
      </c>
      <c r="CO24" s="135" t="str">
        <f>VLOOKUP(RANK(CM24,$CM$10:$CM$109),Sheet1!$A$381:$B$480,2,FALSE)</f>
        <v>1st</v>
      </c>
      <c r="CP24" s="137"/>
      <c r="CQ24" s="137"/>
      <c r="CR24" s="137">
        <f t="shared" si="42"/>
        <v>0</v>
      </c>
      <c r="CS24" s="137">
        <f t="shared" si="43"/>
        <v>0</v>
      </c>
      <c r="CT24" s="135" t="str">
        <f t="shared" si="44"/>
        <v>F</v>
      </c>
      <c r="CU24" s="135" t="str">
        <f>VLOOKUP(RANK(CS24,$CS$10:$CS$109),Sheet1!$A$381:$B$480,2,FALSE)</f>
        <v>1st</v>
      </c>
      <c r="CV24" s="151"/>
      <c r="CW24" s="135"/>
      <c r="CX24" s="151">
        <f t="shared" si="192"/>
        <v>0</v>
      </c>
      <c r="CY24" s="151">
        <f t="shared" si="193"/>
        <v>0</v>
      </c>
      <c r="CZ24" s="135" t="str">
        <f t="shared" si="45"/>
        <v>F</v>
      </c>
      <c r="DA24" s="135" t="str">
        <f>VLOOKUP(RANK(CY24,$CY$10:$CY$109),Sheet1!$A$381:$B$480,2,FALSE)</f>
        <v>1st</v>
      </c>
      <c r="DB24" s="135"/>
      <c r="DC24" s="151">
        <f t="shared" si="194"/>
        <v>621</v>
      </c>
      <c r="DD24" s="151">
        <f t="shared" si="195"/>
        <v>36.529411764705898</v>
      </c>
      <c r="DE24" s="135" t="str">
        <f>VLOOKUP(RANK(DD24,$DD$10:$DD$109),Sheet1!$A$381:$B$480,2,FALSE)</f>
        <v>48th</v>
      </c>
      <c r="DF24" s="137"/>
      <c r="DG24" s="160">
        <f t="shared" si="46"/>
        <v>657.52941176470597</v>
      </c>
      <c r="DH24" s="119"/>
      <c r="DI24" s="162">
        <v>20</v>
      </c>
      <c r="DJ24" s="162">
        <v>46</v>
      </c>
      <c r="DK24" s="137">
        <f t="shared" si="47"/>
        <v>66</v>
      </c>
      <c r="DL24" s="137" t="str">
        <f t="shared" si="48"/>
        <v>81</v>
      </c>
      <c r="DM24" s="137">
        <f t="shared" si="49"/>
        <v>147</v>
      </c>
      <c r="DN24" s="137">
        <f t="shared" si="50"/>
        <v>73.5</v>
      </c>
      <c r="DO24" s="135" t="str">
        <f t="shared" si="51"/>
        <v>B</v>
      </c>
      <c r="DP24" s="135" t="str">
        <f>VLOOKUP(RANK(DN24,$DN$10:$DN$109),Sheet1!$A$381:$B$480,2,FALSE)</f>
        <v>21st</v>
      </c>
      <c r="DQ24" s="164">
        <v>19</v>
      </c>
      <c r="DR24" s="165">
        <v>15</v>
      </c>
      <c r="DS24" s="137">
        <f t="shared" si="52"/>
        <v>34</v>
      </c>
      <c r="DT24" s="137" t="str">
        <f t="shared" si="53"/>
        <v>51</v>
      </c>
      <c r="DU24" s="137">
        <f t="shared" si="54"/>
        <v>85</v>
      </c>
      <c r="DV24" s="137">
        <f t="shared" si="55"/>
        <v>42.5</v>
      </c>
      <c r="DW24" s="135" t="str">
        <f t="shared" si="56"/>
        <v>D</v>
      </c>
      <c r="DX24" s="135" t="str">
        <f>VLOOKUP(RANK(DV24,$DV$10:$DV$109),Sheet1!$A$381:$B$480,2,FALSE)</f>
        <v>82nd</v>
      </c>
      <c r="DY24" s="167">
        <v>22</v>
      </c>
      <c r="DZ24" s="165">
        <v>24</v>
      </c>
      <c r="EA24" s="137">
        <f t="shared" si="57"/>
        <v>46</v>
      </c>
      <c r="EB24" s="137" t="str">
        <f t="shared" si="58"/>
        <v>34</v>
      </c>
      <c r="EC24" s="137">
        <f t="shared" si="59"/>
        <v>80</v>
      </c>
      <c r="ED24" s="137">
        <f t="shared" si="60"/>
        <v>40</v>
      </c>
      <c r="EE24" s="135" t="str">
        <f t="shared" si="61"/>
        <v>D</v>
      </c>
      <c r="EF24" s="135" t="str">
        <f>VLOOKUP(RANK(ED24,$ED$10:$ED$109),Sheet1!$A$381:$B$480,2,FALSE)</f>
        <v>69th</v>
      </c>
      <c r="EG24" s="162">
        <v>15</v>
      </c>
      <c r="EH24" s="162">
        <v>31</v>
      </c>
      <c r="EI24" s="137">
        <f t="shared" si="62"/>
        <v>46</v>
      </c>
      <c r="EJ24" s="137" t="str">
        <f t="shared" si="63"/>
        <v>51</v>
      </c>
      <c r="EK24" s="137">
        <f t="shared" si="64"/>
        <v>97</v>
      </c>
      <c r="EL24" s="137">
        <f t="shared" si="65"/>
        <v>48.5</v>
      </c>
      <c r="EM24" s="135" t="str">
        <f t="shared" si="66"/>
        <v>D</v>
      </c>
      <c r="EN24" s="135" t="str">
        <f>VLOOKUP(RANK(EL24,$EL$10:$EL$109),Sheet1!$A$381:$B$480,2,FALSE)</f>
        <v>67th</v>
      </c>
      <c r="EO24" s="162">
        <v>23</v>
      </c>
      <c r="EP24" s="162">
        <v>11</v>
      </c>
      <c r="EQ24" s="137">
        <f t="shared" si="67"/>
        <v>34</v>
      </c>
      <c r="ER24" s="137" t="str">
        <f t="shared" si="68"/>
        <v>57</v>
      </c>
      <c r="ES24" s="137">
        <f t="shared" si="69"/>
        <v>91</v>
      </c>
      <c r="ET24" s="137">
        <f t="shared" si="70"/>
        <v>45.5</v>
      </c>
      <c r="EU24" s="135" t="str">
        <f t="shared" si="71"/>
        <v>D</v>
      </c>
      <c r="EV24" s="135" t="str">
        <f>VLOOKUP(RANK(ET24,$ET$10:$ET$109),Sheet1!$A$381:$B$480,2,FALSE)</f>
        <v>68th</v>
      </c>
      <c r="EW24" s="137"/>
      <c r="EX24" s="137"/>
      <c r="EY24" s="137">
        <f t="shared" si="72"/>
        <v>0</v>
      </c>
      <c r="EZ24" s="137" t="str">
        <f t="shared" si="73"/>
        <v>0</v>
      </c>
      <c r="FA24" s="137">
        <f t="shared" si="74"/>
        <v>0</v>
      </c>
      <c r="FB24" s="137">
        <f t="shared" si="75"/>
        <v>0</v>
      </c>
      <c r="FC24" s="135" t="str">
        <f t="shared" si="76"/>
        <v>F</v>
      </c>
      <c r="FD24" s="135" t="str">
        <f>VLOOKUP(RANK(FB24,$FB$10:$FB$109),Sheet1!$A$381:$B$480,2,FALSE)</f>
        <v>1st</v>
      </c>
      <c r="FE24" s="137"/>
      <c r="FF24" s="137"/>
      <c r="FG24" s="137">
        <f t="shared" si="77"/>
        <v>0</v>
      </c>
      <c r="FH24" s="137" t="str">
        <f t="shared" si="78"/>
        <v>0</v>
      </c>
      <c r="FI24" s="137">
        <f t="shared" si="79"/>
        <v>0</v>
      </c>
      <c r="FJ24" s="137">
        <f t="shared" si="80"/>
        <v>0</v>
      </c>
      <c r="FK24" s="135" t="str">
        <f t="shared" si="81"/>
        <v>F</v>
      </c>
      <c r="FL24" s="135" t="str">
        <f>VLOOKUP(RANK(FJ24,$FJ$10:$FJ$109),Sheet1!$A$381:$B$480,2,FALSE)</f>
        <v>1st</v>
      </c>
      <c r="FM24" s="164">
        <v>28</v>
      </c>
      <c r="FN24" s="165">
        <v>24</v>
      </c>
      <c r="FO24" s="137">
        <f t="shared" si="82"/>
        <v>52</v>
      </c>
      <c r="FP24" s="137" t="str">
        <f t="shared" si="83"/>
        <v>60</v>
      </c>
      <c r="FQ24" s="137">
        <f t="shared" si="84"/>
        <v>112</v>
      </c>
      <c r="FR24" s="137">
        <f t="shared" si="85"/>
        <v>56</v>
      </c>
      <c r="FS24" s="135" t="str">
        <f t="shared" si="86"/>
        <v>C</v>
      </c>
      <c r="FT24" s="135" t="str">
        <f>VLOOKUP(RANK(FR24,$FR$10:$FR$109),Sheet1!$A$381:$B$480,2,FALSE)</f>
        <v>17th</v>
      </c>
      <c r="FU24" s="148">
        <v>0</v>
      </c>
      <c r="FV24" s="150">
        <v>20</v>
      </c>
      <c r="FW24" s="137">
        <f t="shared" si="87"/>
        <v>20</v>
      </c>
      <c r="FX24" s="137" t="str">
        <f t="shared" si="88"/>
        <v>71</v>
      </c>
      <c r="FY24" s="137">
        <f t="shared" si="196"/>
        <v>20</v>
      </c>
      <c r="FZ24" s="137">
        <f t="shared" si="89"/>
        <v>10</v>
      </c>
      <c r="GA24" s="135" t="str">
        <f t="shared" si="90"/>
        <v>F</v>
      </c>
      <c r="GB24" s="135" t="str">
        <f>VLOOKUP(RANK(FZ24,$FZ$10:$FZ$109),Sheet1!$A$381:$B$480,2,FALSE)</f>
        <v>90th</v>
      </c>
      <c r="GC24" s="164">
        <v>4</v>
      </c>
      <c r="GD24" s="165">
        <v>25</v>
      </c>
      <c r="GE24" s="137">
        <f t="shared" si="91"/>
        <v>29</v>
      </c>
      <c r="GF24" s="137" t="str">
        <f t="shared" si="92"/>
        <v>37</v>
      </c>
      <c r="GG24" s="135">
        <f t="shared" si="197"/>
        <v>66</v>
      </c>
      <c r="GH24" s="137">
        <f t="shared" si="198"/>
        <v>33</v>
      </c>
      <c r="GI24" s="135" t="str">
        <f t="shared" si="93"/>
        <v>F</v>
      </c>
      <c r="GJ24" s="135" t="str">
        <f>VLOOKUP(RANK(GH24,$GH$10:$GH$109),Sheet1!$A$381:$B$480,2,FALSE)</f>
        <v>67th</v>
      </c>
      <c r="GK24" s="164">
        <v>26</v>
      </c>
      <c r="GL24" s="165">
        <v>18</v>
      </c>
      <c r="GM24" s="137">
        <f t="shared" si="94"/>
        <v>44</v>
      </c>
      <c r="GN24" s="137" t="str">
        <f t="shared" si="95"/>
        <v>53</v>
      </c>
      <c r="GO24" s="135">
        <f t="shared" si="199"/>
        <v>97</v>
      </c>
      <c r="GP24" s="137">
        <f t="shared" si="96"/>
        <v>48.5</v>
      </c>
      <c r="GQ24" s="135" t="str">
        <f t="shared" si="97"/>
        <v>D</v>
      </c>
      <c r="GR24" s="135" t="str">
        <f>VLOOKUP(RANK(GP24,$GP$10:$GP$109),Sheet1!$A$381:$B$480,2,FALSE)</f>
        <v>38th</v>
      </c>
      <c r="GS24" s="164">
        <v>16</v>
      </c>
      <c r="GT24" s="165">
        <v>20</v>
      </c>
      <c r="GU24" s="137">
        <f t="shared" si="98"/>
        <v>36</v>
      </c>
      <c r="GV24" s="137" t="str">
        <f t="shared" si="99"/>
        <v>37</v>
      </c>
      <c r="GW24" s="137">
        <f t="shared" si="100"/>
        <v>73</v>
      </c>
      <c r="GX24" s="137">
        <f t="shared" si="101"/>
        <v>36.5</v>
      </c>
      <c r="GY24" s="135" t="str">
        <f t="shared" si="102"/>
        <v>E</v>
      </c>
      <c r="GZ24" s="135" t="str">
        <f>VLOOKUP(RANK(GX24,$GX$10:$GX$109),Sheet1!$A$381:$B$480,2,FALSE)</f>
        <v>83rd</v>
      </c>
      <c r="HA24" s="164">
        <v>30</v>
      </c>
      <c r="HB24" s="165">
        <v>10</v>
      </c>
      <c r="HC24" s="137">
        <f t="shared" si="103"/>
        <v>40</v>
      </c>
      <c r="HD24" s="137" t="str">
        <f t="shared" si="104"/>
        <v>39</v>
      </c>
      <c r="HE24" s="137">
        <f t="shared" si="105"/>
        <v>79</v>
      </c>
      <c r="HF24" s="137">
        <f t="shared" si="106"/>
        <v>39.5</v>
      </c>
      <c r="HG24" s="135" t="str">
        <f t="shared" si="107"/>
        <v>E</v>
      </c>
      <c r="HH24" s="135" t="str">
        <f>VLOOKUP(RANK(HF24,$HF$10:$HF$109),Sheet1!$A$381:$B$480,2,FALSE)</f>
        <v>67th</v>
      </c>
      <c r="HI24" s="148">
        <v>21</v>
      </c>
      <c r="HJ24" s="150">
        <v>50</v>
      </c>
      <c r="HK24" s="137">
        <f t="shared" si="108"/>
        <v>71</v>
      </c>
      <c r="HL24" s="137" t="str">
        <f t="shared" si="109"/>
        <v>50</v>
      </c>
      <c r="HM24" s="137">
        <f t="shared" si="110"/>
        <v>121</v>
      </c>
      <c r="HN24" s="137">
        <f t="shared" si="111"/>
        <v>60.5</v>
      </c>
      <c r="HO24" s="135" t="str">
        <f t="shared" si="112"/>
        <v>B</v>
      </c>
      <c r="HP24" s="135" t="str">
        <f>VLOOKUP(RANK(HN24,$HN$10:$HN$109),Sheet1!$A$381:$B$480,2,FALSE)</f>
        <v>66th</v>
      </c>
      <c r="HQ24" s="137"/>
      <c r="HR24" s="137"/>
      <c r="HS24" s="137">
        <f t="shared" si="113"/>
        <v>0</v>
      </c>
      <c r="HT24" s="137" t="str">
        <f t="shared" si="114"/>
        <v>0</v>
      </c>
      <c r="HU24" s="137">
        <f t="shared" si="115"/>
        <v>0</v>
      </c>
      <c r="HV24" s="137">
        <f t="shared" si="116"/>
        <v>0</v>
      </c>
      <c r="HW24" s="135" t="str">
        <f t="shared" si="117"/>
        <v>F</v>
      </c>
      <c r="HX24" s="135" t="str">
        <f>VLOOKUP(RANK(HV24,$HV$10:$HV$109),Sheet1!$A$381:$B$480,2,FALSE)</f>
        <v>1st</v>
      </c>
      <c r="HY24" s="137"/>
      <c r="HZ24" s="137"/>
      <c r="IA24" s="137">
        <f t="shared" si="118"/>
        <v>0</v>
      </c>
      <c r="IB24" s="137" t="str">
        <f t="shared" si="119"/>
        <v>0</v>
      </c>
      <c r="IC24" s="137">
        <f t="shared" si="120"/>
        <v>0</v>
      </c>
      <c r="ID24" s="137">
        <f t="shared" si="121"/>
        <v>0</v>
      </c>
      <c r="IE24" s="135" t="str">
        <f t="shared" si="122"/>
        <v>F</v>
      </c>
      <c r="IF24" s="135" t="str">
        <f>VLOOKUP(RANK(ID24,$ID$10:$ID$109),Sheet1!$A$381:$B$480,2,FALSE)</f>
        <v>1st</v>
      </c>
      <c r="IG24" s="135"/>
      <c r="IH24" s="135"/>
      <c r="II24" s="135">
        <f t="shared" si="200"/>
        <v>0</v>
      </c>
      <c r="IJ24" s="135" t="str">
        <f t="shared" si="201"/>
        <v>0</v>
      </c>
      <c r="IK24" s="135">
        <f t="shared" si="202"/>
        <v>0</v>
      </c>
      <c r="IL24" s="135">
        <f t="shared" si="203"/>
        <v>0</v>
      </c>
      <c r="IM24" s="135" t="str">
        <f t="shared" si="123"/>
        <v>F</v>
      </c>
      <c r="IN24" s="135" t="str">
        <f>VLOOKUP(RANK(IL24,$IL$10:$IL$109),Sheet1!$A$381:$B$480,2,FALSE)</f>
        <v>1st</v>
      </c>
      <c r="IO24" s="135">
        <f t="shared" si="204"/>
        <v>534</v>
      </c>
      <c r="IP24" s="177">
        <f t="shared" si="205"/>
        <v>31.411764705882401</v>
      </c>
      <c r="IQ24" s="135" t="str">
        <f>VLOOKUP(RANK(IP24,$IP$10:$IP$109),Sheet1!$A$381:$B$480,2,FALSE)</f>
        <v>73rd</v>
      </c>
      <c r="IR24" s="178"/>
      <c r="IS24" s="137"/>
      <c r="IT24" s="137"/>
      <c r="IU24" s="137"/>
      <c r="IV24" s="137"/>
      <c r="IW24" s="181"/>
      <c r="IX24" s="184"/>
      <c r="IY24" s="186"/>
      <c r="IZ24" s="186">
        <f t="shared" si="206"/>
        <v>0</v>
      </c>
      <c r="JA24" s="186" t="str">
        <f t="shared" si="124"/>
        <v>81</v>
      </c>
      <c r="JB24" s="186" t="str">
        <f t="shared" si="125"/>
        <v>66</v>
      </c>
      <c r="JC24" s="186">
        <f t="shared" si="207"/>
        <v>147</v>
      </c>
      <c r="JD24" s="186">
        <f t="shared" si="208"/>
        <v>49</v>
      </c>
      <c r="JE24" s="135" t="str">
        <f t="shared" si="126"/>
        <v>D</v>
      </c>
      <c r="JF24" s="151" t="str">
        <f>VLOOKUP(RANK(JD24,$JD$10:$JD$109),Sheet1!$A$381:$B$480,2,FALSE)</f>
        <v>21st</v>
      </c>
      <c r="JG24" s="186"/>
      <c r="JH24" s="186"/>
      <c r="JI24" s="186">
        <f t="shared" si="127"/>
        <v>0</v>
      </c>
      <c r="JJ24" s="186" t="str">
        <f t="shared" si="128"/>
        <v>51</v>
      </c>
      <c r="JK24" s="186" t="str">
        <f t="shared" si="129"/>
        <v>34</v>
      </c>
      <c r="JL24" s="186">
        <f t="shared" si="209"/>
        <v>85</v>
      </c>
      <c r="JM24" s="186">
        <f t="shared" si="210"/>
        <v>28.3333333333333</v>
      </c>
      <c r="JN24" s="135" t="str">
        <f t="shared" si="130"/>
        <v>F</v>
      </c>
      <c r="JO24" s="151" t="str">
        <f>VLOOKUP(RANK(JM24,$JM$10:$JM$109),Sheet1!$A$381:$B$480,2,FALSE)</f>
        <v>82nd</v>
      </c>
      <c r="JP24" s="186"/>
      <c r="JQ24" s="186"/>
      <c r="JR24" s="186">
        <f t="shared" si="131"/>
        <v>0</v>
      </c>
      <c r="JS24" s="186" t="str">
        <f t="shared" si="132"/>
        <v>34</v>
      </c>
      <c r="JT24" s="186" t="str">
        <f t="shared" si="133"/>
        <v>46</v>
      </c>
      <c r="JU24" s="186">
        <f t="shared" si="211"/>
        <v>80</v>
      </c>
      <c r="JV24" s="186">
        <f t="shared" si="212"/>
        <v>26.6666666666667</v>
      </c>
      <c r="JW24" s="135" t="str">
        <f t="shared" si="134"/>
        <v>F</v>
      </c>
      <c r="JX24" s="151" t="str">
        <f>VLOOKUP(RANK(JV24,$JV$10:$JV$109),Sheet1!$A$381:$B$480,2,FALSE)</f>
        <v>69th</v>
      </c>
      <c r="JY24" s="186"/>
      <c r="JZ24" s="186"/>
      <c r="KA24" s="186">
        <f t="shared" si="135"/>
        <v>0</v>
      </c>
      <c r="KB24" s="186" t="str">
        <f t="shared" si="136"/>
        <v>51</v>
      </c>
      <c r="KC24" s="186" t="str">
        <f t="shared" si="137"/>
        <v>46</v>
      </c>
      <c r="KD24" s="186">
        <f t="shared" si="213"/>
        <v>97</v>
      </c>
      <c r="KE24" s="186">
        <f t="shared" si="214"/>
        <v>32.3333333333333</v>
      </c>
      <c r="KF24" s="135" t="str">
        <f t="shared" si="138"/>
        <v>F</v>
      </c>
      <c r="KG24" s="151" t="str">
        <f>VLOOKUP(RANK(KE24,$KE$10:$KE$109),Sheet1!$A$381:$B$480,2,FALSE)</f>
        <v>67th</v>
      </c>
      <c r="KH24" s="186"/>
      <c r="KI24" s="186"/>
      <c r="KJ24" s="186">
        <f t="shared" si="139"/>
        <v>0</v>
      </c>
      <c r="KK24" s="186" t="str">
        <f t="shared" si="140"/>
        <v>57</v>
      </c>
      <c r="KL24" s="186" t="str">
        <f t="shared" si="141"/>
        <v>34</v>
      </c>
      <c r="KM24" s="186">
        <f t="shared" si="215"/>
        <v>91</v>
      </c>
      <c r="KN24" s="186">
        <f t="shared" si="216"/>
        <v>30.3333333333333</v>
      </c>
      <c r="KO24" s="135" t="str">
        <f t="shared" si="142"/>
        <v>F</v>
      </c>
      <c r="KP24" s="151" t="str">
        <f>VLOOKUP(RANK(KN24,$KN$10:$KN$109),Sheet1!$A$381:$B$480,2,FALSE)</f>
        <v>68th</v>
      </c>
      <c r="KQ24" s="186"/>
      <c r="KR24" s="186"/>
      <c r="KS24" s="186">
        <f t="shared" si="143"/>
        <v>0</v>
      </c>
      <c r="KT24" s="186" t="str">
        <f t="shared" si="144"/>
        <v>0</v>
      </c>
      <c r="KU24" s="186" t="str">
        <f t="shared" si="145"/>
        <v>0</v>
      </c>
      <c r="KV24" s="186">
        <f t="shared" si="217"/>
        <v>0</v>
      </c>
      <c r="KW24" s="186">
        <f t="shared" si="218"/>
        <v>0</v>
      </c>
      <c r="KX24" s="135" t="str">
        <f t="shared" si="146"/>
        <v>F</v>
      </c>
      <c r="KY24" s="151" t="str">
        <f>VLOOKUP(RANK(KW24,$KW$10:$KW$109),Sheet1!$A$381:$B$480,2,FALSE)</f>
        <v>1st</v>
      </c>
      <c r="KZ24" s="186"/>
      <c r="LA24" s="186"/>
      <c r="LB24" s="186">
        <f t="shared" si="147"/>
        <v>0</v>
      </c>
      <c r="LC24" s="186" t="str">
        <f t="shared" si="148"/>
        <v>0</v>
      </c>
      <c r="LD24" s="186" t="str">
        <f t="shared" si="149"/>
        <v>0</v>
      </c>
      <c r="LE24" s="186">
        <f t="shared" si="219"/>
        <v>0</v>
      </c>
      <c r="LF24" s="186">
        <f t="shared" si="220"/>
        <v>0</v>
      </c>
      <c r="LG24" s="135" t="str">
        <f t="shared" si="150"/>
        <v>F</v>
      </c>
      <c r="LH24" s="151" t="str">
        <f>VLOOKUP(RANK(LF24,$LF$10:$LF$109),Sheet1!$A$381:$B$480,2,FALSE)</f>
        <v>1st</v>
      </c>
      <c r="LI24" s="186"/>
      <c r="LJ24" s="186"/>
      <c r="LK24" s="186">
        <f t="shared" si="151"/>
        <v>0</v>
      </c>
      <c r="LL24" s="186" t="str">
        <f t="shared" si="152"/>
        <v>60</v>
      </c>
      <c r="LM24" s="186" t="str">
        <f t="shared" si="153"/>
        <v>52</v>
      </c>
      <c r="LN24" s="186">
        <f t="shared" si="221"/>
        <v>112</v>
      </c>
      <c r="LO24" s="186">
        <f t="shared" si="222"/>
        <v>37.3333333333333</v>
      </c>
      <c r="LP24" s="135" t="str">
        <f t="shared" si="154"/>
        <v>E</v>
      </c>
      <c r="LQ24" s="151" t="str">
        <f>VLOOKUP(RANK(LO24,$LO$10:$LO$109),Sheet1!$A$381:$B$480,2,FALSE)</f>
        <v>17th</v>
      </c>
      <c r="LR24" s="186"/>
      <c r="LS24" s="186"/>
      <c r="LT24" s="186">
        <f t="shared" si="155"/>
        <v>0</v>
      </c>
      <c r="LU24" s="186" t="str">
        <f t="shared" si="156"/>
        <v>71</v>
      </c>
      <c r="LV24" s="186" t="str">
        <f t="shared" si="157"/>
        <v>20</v>
      </c>
      <c r="LW24" s="186">
        <f t="shared" si="223"/>
        <v>91</v>
      </c>
      <c r="LX24" s="186">
        <f t="shared" si="224"/>
        <v>30.3333333333333</v>
      </c>
      <c r="LY24" s="135" t="str">
        <f t="shared" si="158"/>
        <v>F</v>
      </c>
      <c r="LZ24" s="151" t="str">
        <f>VLOOKUP(RANK(LX24,$LX$10:$LX$109),Sheet1!$A$381:$B$480,2,FALSE)</f>
        <v>76th</v>
      </c>
      <c r="MA24" s="186"/>
      <c r="MB24" s="186"/>
      <c r="MC24" s="186">
        <f t="shared" si="159"/>
        <v>0</v>
      </c>
      <c r="MD24" s="186" t="str">
        <f t="shared" si="160"/>
        <v>37</v>
      </c>
      <c r="ME24" s="186" t="str">
        <f t="shared" si="161"/>
        <v>29</v>
      </c>
      <c r="MF24" s="183">
        <f t="shared" si="225"/>
        <v>66</v>
      </c>
      <c r="MG24" s="151">
        <f t="shared" si="226"/>
        <v>22</v>
      </c>
      <c r="MH24" s="135" t="str">
        <f t="shared" si="162"/>
        <v>F</v>
      </c>
      <c r="MI24" s="151" t="str">
        <f>VLOOKUP(RANK(MG24,$MG$10:$MG$109),Sheet1!$A$381:$B$480,2,FALSE)</f>
        <v>67th</v>
      </c>
      <c r="MJ24" s="186"/>
      <c r="MK24" s="186"/>
      <c r="ML24" s="186">
        <f t="shared" si="163"/>
        <v>0</v>
      </c>
      <c r="MM24" s="186" t="str">
        <f t="shared" si="164"/>
        <v>53</v>
      </c>
      <c r="MN24" s="186" t="str">
        <f t="shared" si="165"/>
        <v>44</v>
      </c>
      <c r="MO24" s="186">
        <f t="shared" si="227"/>
        <v>97</v>
      </c>
      <c r="MP24" s="186">
        <f t="shared" si="228"/>
        <v>32.3333333333333</v>
      </c>
      <c r="MQ24" s="135" t="str">
        <f t="shared" si="166"/>
        <v>F</v>
      </c>
      <c r="MR24" s="151" t="str">
        <f>VLOOKUP(RANK(MP24,$MP$10:$MP$109),Sheet1!$A$381:$B$480,2,FALSE)</f>
        <v>38th</v>
      </c>
      <c r="MS24" s="186"/>
      <c r="MT24" s="186"/>
      <c r="MU24" s="186">
        <f t="shared" si="167"/>
        <v>0</v>
      </c>
      <c r="MV24" s="186" t="str">
        <f t="shared" si="168"/>
        <v>37</v>
      </c>
      <c r="MW24" s="186" t="str">
        <f t="shared" si="169"/>
        <v>36</v>
      </c>
      <c r="MX24" s="186">
        <f t="shared" si="229"/>
        <v>73</v>
      </c>
      <c r="MY24" s="186">
        <f t="shared" si="230"/>
        <v>24.3333333333333</v>
      </c>
      <c r="MZ24" s="135" t="str">
        <f t="shared" si="170"/>
        <v>F</v>
      </c>
      <c r="NA24" s="151" t="str">
        <f>VLOOKUP(RANK(MY24,$MY$10:$MY$109),Sheet1!$A$381:$B$480,2,FALSE)</f>
        <v>83rd</v>
      </c>
      <c r="NB24" s="186"/>
      <c r="NC24" s="186"/>
      <c r="ND24" s="186">
        <f t="shared" si="171"/>
        <v>0</v>
      </c>
      <c r="NE24" s="186" t="str">
        <f t="shared" si="172"/>
        <v>39</v>
      </c>
      <c r="NF24" s="186" t="str">
        <f t="shared" si="173"/>
        <v>40</v>
      </c>
      <c r="NG24" s="186">
        <f t="shared" si="231"/>
        <v>79</v>
      </c>
      <c r="NH24" s="186">
        <f t="shared" si="232"/>
        <v>26.3333333333333</v>
      </c>
      <c r="NI24" s="135" t="str">
        <f t="shared" si="174"/>
        <v>F</v>
      </c>
      <c r="NJ24" s="151" t="str">
        <f>VLOOKUP(RANK(NH24,$NH$10:$NH$109),Sheet1!$A$381:$B$480,2,FALSE)</f>
        <v>67th</v>
      </c>
      <c r="NK24" s="186"/>
      <c r="NL24" s="186"/>
      <c r="NM24" s="186">
        <f t="shared" si="175"/>
        <v>0</v>
      </c>
      <c r="NN24" s="186" t="str">
        <f t="shared" si="176"/>
        <v>50</v>
      </c>
      <c r="NO24" s="186" t="str">
        <f t="shared" si="177"/>
        <v>71</v>
      </c>
      <c r="NP24" s="186">
        <f t="shared" si="233"/>
        <v>121</v>
      </c>
      <c r="NQ24" s="186">
        <f t="shared" si="178"/>
        <v>40.3333333333333</v>
      </c>
      <c r="NR24" s="135" t="str">
        <f t="shared" si="179"/>
        <v>D</v>
      </c>
      <c r="NS24" s="151" t="str">
        <f>VLOOKUP(RANK(NQ24,$NQ$10:$NQ$109),Sheet1!$A$381:$B$480,2,FALSE)</f>
        <v>66th</v>
      </c>
      <c r="NT24" s="186"/>
      <c r="NU24" s="186"/>
      <c r="NV24" s="186">
        <f t="shared" si="180"/>
        <v>0</v>
      </c>
      <c r="NW24" s="186" t="str">
        <f t="shared" si="181"/>
        <v>0</v>
      </c>
      <c r="NX24" s="186" t="str">
        <f t="shared" si="182"/>
        <v>0</v>
      </c>
      <c r="NY24" s="186">
        <f t="shared" si="234"/>
        <v>0</v>
      </c>
      <c r="NZ24" s="186">
        <f t="shared" si="183"/>
        <v>0</v>
      </c>
      <c r="OA24" s="135" t="str">
        <f t="shared" si="184"/>
        <v>F</v>
      </c>
      <c r="OB24" s="151" t="str">
        <f>VLOOKUP(RANK(NZ24,$NZ$10:$NZ$109),Sheet1!$A$381:$B$480,2,FALSE)</f>
        <v>1st</v>
      </c>
      <c r="OC24" s="186"/>
      <c r="OD24" s="186"/>
      <c r="OE24" s="186">
        <f t="shared" si="185"/>
        <v>0</v>
      </c>
      <c r="OF24" s="186" t="str">
        <f t="shared" si="186"/>
        <v>0</v>
      </c>
      <c r="OG24" s="186" t="str">
        <f t="shared" si="187"/>
        <v>0</v>
      </c>
      <c r="OH24" s="186">
        <f t="shared" si="235"/>
        <v>0</v>
      </c>
      <c r="OI24" s="186">
        <f t="shared" si="236"/>
        <v>0</v>
      </c>
      <c r="OJ24" s="135" t="str">
        <f t="shared" si="188"/>
        <v>F</v>
      </c>
      <c r="OK24" s="151" t="str">
        <f>VLOOKUP(RANK(OI24,$OI$10:$OI$109),Sheet1!$A$381:$B$480,2,FALSE)</f>
        <v>1st</v>
      </c>
      <c r="OL24" s="151"/>
      <c r="OM24" s="151"/>
      <c r="ON24" s="151">
        <f t="shared" si="237"/>
        <v>0</v>
      </c>
      <c r="OO24" s="151" t="str">
        <f t="shared" si="238"/>
        <v>0</v>
      </c>
      <c r="OP24" s="151" t="str">
        <f t="shared" si="239"/>
        <v>0</v>
      </c>
      <c r="OQ24" s="151">
        <f t="shared" si="240"/>
        <v>0</v>
      </c>
      <c r="OR24" s="151">
        <f t="shared" si="241"/>
        <v>0</v>
      </c>
      <c r="OS24" s="135" t="str">
        <f t="shared" si="189"/>
        <v>F</v>
      </c>
      <c r="OT24" s="151" t="str">
        <f>VLOOKUP(RANK(OR24,$OI$10:$OI$109),Sheet1!$A$381:$B$480,2,FALSE)</f>
        <v>1st</v>
      </c>
      <c r="OU24" s="151">
        <f t="shared" si="242"/>
        <v>379.66666666666703</v>
      </c>
      <c r="OV24" s="151">
        <f t="shared" si="243"/>
        <v>22.3333333333333</v>
      </c>
      <c r="OW24" s="151" t="str">
        <f>VLOOKUP(RANK(OV24,$OV$10:$OV$109),Sheet1!$A$381:$B$480,2,FALSE)</f>
        <v>67th</v>
      </c>
      <c r="OX24" s="151"/>
      <c r="OY24" s="186"/>
      <c r="OZ24" s="186"/>
      <c r="PA24" s="186"/>
      <c r="PB24" s="186"/>
    </row>
    <row r="25" spans="1:418" s="118" customFormat="1" ht="18.75">
      <c r="A25" s="131">
        <v>16</v>
      </c>
      <c r="B25" s="132" t="s">
        <v>113</v>
      </c>
      <c r="C25" s="133" t="s">
        <v>97</v>
      </c>
      <c r="D25" s="134">
        <v>13</v>
      </c>
      <c r="E25" s="134">
        <v>49</v>
      </c>
      <c r="F25" s="137">
        <f t="shared" si="0"/>
        <v>62</v>
      </c>
      <c r="G25" s="137">
        <f t="shared" si="1"/>
        <v>62</v>
      </c>
      <c r="H25" s="135" t="str">
        <f t="shared" si="190"/>
        <v>B</v>
      </c>
      <c r="I25" s="135" t="str">
        <f>VLOOKUP(RANK(G25,$G$10:$G$109),Sheet1!$A$381:$B$480,2,FALSE)</f>
        <v>76th</v>
      </c>
      <c r="J25" s="134">
        <v>30</v>
      </c>
      <c r="K25" s="134">
        <v>26</v>
      </c>
      <c r="L25" s="137">
        <f t="shared" si="2"/>
        <v>56</v>
      </c>
      <c r="M25" s="137">
        <f t="shared" si="3"/>
        <v>56</v>
      </c>
      <c r="N25" s="135" t="str">
        <f t="shared" si="4"/>
        <v>C</v>
      </c>
      <c r="O25" s="141" t="str">
        <f>VLOOKUP(RANK(M25,$M$10:$M$109),Sheet1!$A$381:$B$480,2,FALSE)</f>
        <v>32nd</v>
      </c>
      <c r="P25" s="142">
        <v>35</v>
      </c>
      <c r="Q25" s="145">
        <v>30</v>
      </c>
      <c r="R25" s="147">
        <f t="shared" si="5"/>
        <v>65</v>
      </c>
      <c r="S25" s="137">
        <f t="shared" si="6"/>
        <v>65</v>
      </c>
      <c r="T25" s="135" t="str">
        <f t="shared" si="7"/>
        <v>B</v>
      </c>
      <c r="U25" s="135" t="str">
        <f>VLOOKUP(RANK(S25,$S$10:$S$109),Sheet1!$A$381:$B$480,2,FALSE)</f>
        <v>6th</v>
      </c>
      <c r="V25" s="134">
        <v>28</v>
      </c>
      <c r="W25" s="134">
        <v>22</v>
      </c>
      <c r="X25" s="137">
        <f t="shared" si="191"/>
        <v>50</v>
      </c>
      <c r="Y25" s="137">
        <f t="shared" si="244"/>
        <v>50</v>
      </c>
      <c r="Z25" s="135" t="str">
        <f t="shared" si="8"/>
        <v>C</v>
      </c>
      <c r="AA25" s="135" t="str">
        <f>VLOOKUP(RANK(Y25,$Y$10:$Y$109),Sheet1!$A$381:$B$480,2,FALSE)</f>
        <v>67th</v>
      </c>
      <c r="AB25" s="134">
        <v>29</v>
      </c>
      <c r="AC25" s="134">
        <v>28</v>
      </c>
      <c r="AD25" s="137">
        <f t="shared" si="9"/>
        <v>57</v>
      </c>
      <c r="AE25" s="137">
        <f t="shared" si="10"/>
        <v>57</v>
      </c>
      <c r="AF25" s="135" t="str">
        <f t="shared" si="11"/>
        <v>C</v>
      </c>
      <c r="AG25" s="135" t="str">
        <f>VLOOKUP(RANK(AE25,$AE$10:$AE$109),Sheet1!$A$381:$B$480,2,FALSE)</f>
        <v>56th</v>
      </c>
      <c r="AH25" s="137"/>
      <c r="AI25" s="137"/>
      <c r="AJ25" s="137">
        <f t="shared" si="12"/>
        <v>0</v>
      </c>
      <c r="AK25" s="137">
        <f t="shared" si="13"/>
        <v>0</v>
      </c>
      <c r="AL25" s="135" t="str">
        <f t="shared" si="14"/>
        <v>F</v>
      </c>
      <c r="AM25" s="135" t="str">
        <f>VLOOKUP(RANK(AK25,$AK$10:$AK$109),Sheet1!$A$381:$B$480,2,FALSE)</f>
        <v>1st</v>
      </c>
      <c r="AN25" s="134"/>
      <c r="AO25" s="134"/>
      <c r="AP25" s="137">
        <f t="shared" si="15"/>
        <v>0</v>
      </c>
      <c r="AQ25" s="137">
        <f t="shared" si="16"/>
        <v>0</v>
      </c>
      <c r="AR25" s="135" t="str">
        <f t="shared" si="17"/>
        <v>F</v>
      </c>
      <c r="AS25" s="135" t="str">
        <f>VLOOKUP(RANK(AQ25,$AQ$10:$AQ$109),Sheet1!$A$381:$B$480,2,FALSE)</f>
        <v>1st</v>
      </c>
      <c r="AT25" s="142">
        <v>25</v>
      </c>
      <c r="AU25" s="145">
        <v>25</v>
      </c>
      <c r="AV25" s="137">
        <f t="shared" si="18"/>
        <v>50</v>
      </c>
      <c r="AW25" s="137">
        <f t="shared" si="19"/>
        <v>50</v>
      </c>
      <c r="AX25" s="135" t="str">
        <f t="shared" si="20"/>
        <v>C</v>
      </c>
      <c r="AY25" s="141" t="str">
        <f>VLOOKUP(RANK(AW25,$AW$10:$AW$109),Sheet1!$A$381:$B$480,2,FALSE)</f>
        <v>58th</v>
      </c>
      <c r="AZ25" s="142">
        <v>36</v>
      </c>
      <c r="BA25" s="145">
        <v>33</v>
      </c>
      <c r="BB25" s="147">
        <f t="shared" si="21"/>
        <v>69</v>
      </c>
      <c r="BC25" s="137">
        <f t="shared" si="22"/>
        <v>69</v>
      </c>
      <c r="BD25" s="135" t="str">
        <f t="shared" si="23"/>
        <v>B</v>
      </c>
      <c r="BE25" s="135" t="str">
        <f>VLOOKUP(RANK(BC25,$BC$10:$BC$109),Sheet1!$A$381:$B$480,2,FALSE)</f>
        <v>12th</v>
      </c>
      <c r="BF25" s="142">
        <v>12</v>
      </c>
      <c r="BG25" s="145">
        <v>17</v>
      </c>
      <c r="BH25" s="137">
        <f t="shared" si="24"/>
        <v>29</v>
      </c>
      <c r="BI25" s="137">
        <f t="shared" si="25"/>
        <v>29</v>
      </c>
      <c r="BJ25" s="135" t="str">
        <f t="shared" si="26"/>
        <v>F</v>
      </c>
      <c r="BK25" s="141" t="str">
        <f>VLOOKUP(RANK(BI25,$BI$10:$BI$109),Sheet1!$A$381:$B$480,2,FALSE)</f>
        <v>69th</v>
      </c>
      <c r="BL25" s="148">
        <v>26</v>
      </c>
      <c r="BM25" s="150">
        <v>24</v>
      </c>
      <c r="BN25" s="147">
        <f t="shared" si="27"/>
        <v>50</v>
      </c>
      <c r="BO25" s="137">
        <f t="shared" si="28"/>
        <v>50</v>
      </c>
      <c r="BP25" s="135" t="str">
        <f t="shared" si="29"/>
        <v>C</v>
      </c>
      <c r="BQ25" s="141" t="str">
        <f>VLOOKUP(RANK(BO25,$BO$10:$BO$109),Sheet1!$A$381:$B$480,2,FALSE)</f>
        <v>85th</v>
      </c>
      <c r="BR25" s="148">
        <v>28</v>
      </c>
      <c r="BS25" s="150">
        <v>29</v>
      </c>
      <c r="BT25" s="147">
        <f t="shared" si="30"/>
        <v>57</v>
      </c>
      <c r="BU25" s="137">
        <f t="shared" si="31"/>
        <v>57</v>
      </c>
      <c r="BV25" s="135" t="str">
        <f t="shared" si="32"/>
        <v>C</v>
      </c>
      <c r="BW25" s="135" t="str">
        <f>VLOOKUP(RANK(BU25,$BU$10:$BU$109),Sheet1!$A$381:$B$480,2,FALSE)</f>
        <v>31st</v>
      </c>
      <c r="BX25" s="148">
        <v>27</v>
      </c>
      <c r="BY25" s="150">
        <v>11</v>
      </c>
      <c r="BZ25" s="137">
        <f t="shared" si="33"/>
        <v>38</v>
      </c>
      <c r="CA25" s="137">
        <f t="shared" si="34"/>
        <v>38</v>
      </c>
      <c r="CB25" s="135" t="str">
        <f t="shared" si="35"/>
        <v>E</v>
      </c>
      <c r="CC25" s="135" t="str">
        <f>VLOOKUP(RANK(CA25,$CA$10:$CA$109),Sheet1!$A$381:$B$480,2,FALSE)</f>
        <v>61st</v>
      </c>
      <c r="CD25" s="148">
        <v>30</v>
      </c>
      <c r="CE25" s="150">
        <v>40</v>
      </c>
      <c r="CF25" s="137">
        <f t="shared" si="36"/>
        <v>70</v>
      </c>
      <c r="CG25" s="137">
        <f t="shared" si="37"/>
        <v>70</v>
      </c>
      <c r="CH25" s="135" t="str">
        <f t="shared" si="38"/>
        <v>B</v>
      </c>
      <c r="CI25" s="135" t="str">
        <f>VLOOKUP(RANK(CG25,$CG$10:$CG$109),Sheet1!$A$381:$B$480,2,FALSE)</f>
        <v>17th</v>
      </c>
      <c r="CJ25" s="137"/>
      <c r="CK25" s="137"/>
      <c r="CL25" s="137">
        <f t="shared" si="39"/>
        <v>0</v>
      </c>
      <c r="CM25" s="137">
        <f t="shared" si="40"/>
        <v>0</v>
      </c>
      <c r="CN25" s="135" t="str">
        <f t="shared" si="41"/>
        <v>F</v>
      </c>
      <c r="CO25" s="135" t="str">
        <f>VLOOKUP(RANK(CM25,$CM$10:$CM$109),Sheet1!$A$381:$B$480,2,FALSE)</f>
        <v>1st</v>
      </c>
      <c r="CP25" s="137"/>
      <c r="CQ25" s="137"/>
      <c r="CR25" s="137">
        <f t="shared" si="42"/>
        <v>0</v>
      </c>
      <c r="CS25" s="137">
        <f t="shared" si="43"/>
        <v>0</v>
      </c>
      <c r="CT25" s="135" t="str">
        <f t="shared" si="44"/>
        <v>F</v>
      </c>
      <c r="CU25" s="135" t="str">
        <f>VLOOKUP(RANK(CS25,$CS$10:$CS$109),Sheet1!$A$381:$B$480,2,FALSE)</f>
        <v>1st</v>
      </c>
      <c r="CV25" s="151"/>
      <c r="CW25" s="135"/>
      <c r="CX25" s="151">
        <f t="shared" si="192"/>
        <v>0</v>
      </c>
      <c r="CY25" s="151">
        <f t="shared" si="193"/>
        <v>0</v>
      </c>
      <c r="CZ25" s="135" t="str">
        <f t="shared" si="45"/>
        <v>F</v>
      </c>
      <c r="DA25" s="135" t="str">
        <f>VLOOKUP(RANK(CY25,$CY$10:$CY$109),Sheet1!$A$381:$B$480,2,FALSE)</f>
        <v>1st</v>
      </c>
      <c r="DB25" s="135"/>
      <c r="DC25" s="151">
        <f t="shared" si="194"/>
        <v>653</v>
      </c>
      <c r="DD25" s="151">
        <f t="shared" si="195"/>
        <v>38.411764705882398</v>
      </c>
      <c r="DE25" s="135" t="str">
        <f>VLOOKUP(RANK(DD25,$DD$10:$DD$109),Sheet1!$A$381:$B$480,2,FALSE)</f>
        <v>35th</v>
      </c>
      <c r="DF25" s="137"/>
      <c r="DG25" s="160">
        <f t="shared" si="46"/>
        <v>691.41176470588198</v>
      </c>
      <c r="DH25" s="119"/>
      <c r="DI25" s="162">
        <v>29</v>
      </c>
      <c r="DJ25" s="162">
        <v>46</v>
      </c>
      <c r="DK25" s="137">
        <f t="shared" si="47"/>
        <v>75</v>
      </c>
      <c r="DL25" s="137" t="str">
        <f t="shared" si="48"/>
        <v>62</v>
      </c>
      <c r="DM25" s="137">
        <f t="shared" si="49"/>
        <v>137</v>
      </c>
      <c r="DN25" s="137">
        <f t="shared" si="50"/>
        <v>68.5</v>
      </c>
      <c r="DO25" s="135" t="str">
        <f t="shared" si="51"/>
        <v>B</v>
      </c>
      <c r="DP25" s="135" t="str">
        <f>VLOOKUP(RANK(DN25,$DN$10:$DN$109),Sheet1!$A$381:$B$480,2,FALSE)</f>
        <v>45th</v>
      </c>
      <c r="DQ25" s="164">
        <v>23</v>
      </c>
      <c r="DR25" s="165">
        <v>17</v>
      </c>
      <c r="DS25" s="137">
        <f t="shared" si="52"/>
        <v>40</v>
      </c>
      <c r="DT25" s="137" t="str">
        <f t="shared" si="53"/>
        <v>56</v>
      </c>
      <c r="DU25" s="137">
        <f t="shared" si="54"/>
        <v>96</v>
      </c>
      <c r="DV25" s="137">
        <f t="shared" si="55"/>
        <v>48</v>
      </c>
      <c r="DW25" s="135" t="str">
        <f t="shared" si="56"/>
        <v>D</v>
      </c>
      <c r="DX25" s="135" t="str">
        <f>VLOOKUP(RANK(DV25,$DV$10:$DV$109),Sheet1!$A$381:$B$480,2,FALSE)</f>
        <v>57th</v>
      </c>
      <c r="DY25" s="167">
        <v>34</v>
      </c>
      <c r="DZ25" s="165">
        <v>31</v>
      </c>
      <c r="EA25" s="137">
        <f t="shared" si="57"/>
        <v>65</v>
      </c>
      <c r="EB25" s="137" t="str">
        <f t="shared" si="58"/>
        <v>65</v>
      </c>
      <c r="EC25" s="137">
        <f t="shared" si="59"/>
        <v>130</v>
      </c>
      <c r="ED25" s="137">
        <f t="shared" si="60"/>
        <v>65</v>
      </c>
      <c r="EE25" s="135" t="str">
        <f t="shared" si="61"/>
        <v>B</v>
      </c>
      <c r="EF25" s="135" t="str">
        <f>VLOOKUP(RANK(ED25,$ED$10:$ED$109),Sheet1!$A$381:$B$480,2,FALSE)</f>
        <v>4th</v>
      </c>
      <c r="EG25" s="162">
        <v>13</v>
      </c>
      <c r="EH25" s="162">
        <v>40</v>
      </c>
      <c r="EI25" s="137">
        <f t="shared" si="62"/>
        <v>53</v>
      </c>
      <c r="EJ25" s="137" t="str">
        <f t="shared" si="63"/>
        <v>50</v>
      </c>
      <c r="EK25" s="137">
        <f t="shared" si="64"/>
        <v>103</v>
      </c>
      <c r="EL25" s="137">
        <f t="shared" si="65"/>
        <v>51.5</v>
      </c>
      <c r="EM25" s="135" t="str">
        <f t="shared" si="66"/>
        <v>C</v>
      </c>
      <c r="EN25" s="135" t="str">
        <f>VLOOKUP(RANK(EL25,$EL$10:$EL$109),Sheet1!$A$381:$B$480,2,FALSE)</f>
        <v>57th</v>
      </c>
      <c r="EO25" s="162">
        <v>30</v>
      </c>
      <c r="EP25" s="162">
        <v>13</v>
      </c>
      <c r="EQ25" s="137">
        <f t="shared" si="67"/>
        <v>43</v>
      </c>
      <c r="ER25" s="137" t="str">
        <f t="shared" si="68"/>
        <v>57</v>
      </c>
      <c r="ES25" s="137">
        <f t="shared" si="69"/>
        <v>100</v>
      </c>
      <c r="ET25" s="137">
        <f t="shared" si="70"/>
        <v>50</v>
      </c>
      <c r="EU25" s="135" t="str">
        <f t="shared" si="71"/>
        <v>C</v>
      </c>
      <c r="EV25" s="135" t="str">
        <f>VLOOKUP(RANK(ET25,$ET$10:$ET$109),Sheet1!$A$381:$B$480,2,FALSE)</f>
        <v>60th</v>
      </c>
      <c r="EW25" s="137"/>
      <c r="EX25" s="137"/>
      <c r="EY25" s="137">
        <f t="shared" si="72"/>
        <v>0</v>
      </c>
      <c r="EZ25" s="137" t="str">
        <f t="shared" si="73"/>
        <v>0</v>
      </c>
      <c r="FA25" s="137">
        <f t="shared" si="74"/>
        <v>0</v>
      </c>
      <c r="FB25" s="137">
        <f t="shared" si="75"/>
        <v>0</v>
      </c>
      <c r="FC25" s="135" t="str">
        <f t="shared" si="76"/>
        <v>F</v>
      </c>
      <c r="FD25" s="135" t="str">
        <f>VLOOKUP(RANK(FB25,$FB$10:$FB$109),Sheet1!$A$381:$B$480,2,FALSE)</f>
        <v>1st</v>
      </c>
      <c r="FE25" s="137"/>
      <c r="FF25" s="137"/>
      <c r="FG25" s="137">
        <f t="shared" si="77"/>
        <v>0</v>
      </c>
      <c r="FH25" s="137" t="str">
        <f t="shared" si="78"/>
        <v>0</v>
      </c>
      <c r="FI25" s="137">
        <f t="shared" si="79"/>
        <v>0</v>
      </c>
      <c r="FJ25" s="137">
        <f t="shared" si="80"/>
        <v>0</v>
      </c>
      <c r="FK25" s="135" t="str">
        <f t="shared" si="81"/>
        <v>F</v>
      </c>
      <c r="FL25" s="135" t="str">
        <f>VLOOKUP(RANK(FJ25,$FJ$10:$FJ$109),Sheet1!$A$381:$B$480,2,FALSE)</f>
        <v>1st</v>
      </c>
      <c r="FM25" s="164">
        <v>28</v>
      </c>
      <c r="FN25" s="165">
        <v>27</v>
      </c>
      <c r="FO25" s="137">
        <f t="shared" si="82"/>
        <v>55</v>
      </c>
      <c r="FP25" s="137" t="str">
        <f t="shared" si="83"/>
        <v>50</v>
      </c>
      <c r="FQ25" s="137">
        <f t="shared" si="84"/>
        <v>105</v>
      </c>
      <c r="FR25" s="137">
        <f t="shared" si="85"/>
        <v>52.5</v>
      </c>
      <c r="FS25" s="135" t="str">
        <f t="shared" si="86"/>
        <v>C</v>
      </c>
      <c r="FT25" s="135" t="str">
        <f>VLOOKUP(RANK(FR25,$FR$10:$FR$109),Sheet1!$A$381:$B$480,2,FALSE)</f>
        <v>40th</v>
      </c>
      <c r="FU25" s="148">
        <v>36</v>
      </c>
      <c r="FV25" s="150">
        <v>26</v>
      </c>
      <c r="FW25" s="137">
        <f t="shared" si="87"/>
        <v>62</v>
      </c>
      <c r="FX25" s="137" t="str">
        <f t="shared" si="88"/>
        <v>69</v>
      </c>
      <c r="FY25" s="137">
        <f t="shared" si="196"/>
        <v>62</v>
      </c>
      <c r="FZ25" s="137">
        <f t="shared" si="89"/>
        <v>31</v>
      </c>
      <c r="GA25" s="135" t="str">
        <f t="shared" si="90"/>
        <v>F</v>
      </c>
      <c r="GB25" s="135" t="str">
        <f>VLOOKUP(RANK(FZ25,$FZ$10:$FZ$109),Sheet1!$A$381:$B$480,2,FALSE)</f>
        <v>16th</v>
      </c>
      <c r="GC25" s="164">
        <v>32</v>
      </c>
      <c r="GD25" s="165">
        <v>23</v>
      </c>
      <c r="GE25" s="137">
        <f t="shared" si="91"/>
        <v>55</v>
      </c>
      <c r="GF25" s="137" t="str">
        <f t="shared" si="92"/>
        <v>29</v>
      </c>
      <c r="GG25" s="135">
        <f t="shared" si="197"/>
        <v>84</v>
      </c>
      <c r="GH25" s="137">
        <f t="shared" si="198"/>
        <v>42</v>
      </c>
      <c r="GI25" s="135" t="str">
        <f t="shared" si="93"/>
        <v>D</v>
      </c>
      <c r="GJ25" s="135" t="str">
        <f>VLOOKUP(RANK(GH25,$GH$10:$GH$109),Sheet1!$A$381:$B$480,2,FALSE)</f>
        <v>39th</v>
      </c>
      <c r="GK25" s="164">
        <v>24</v>
      </c>
      <c r="GL25" s="165">
        <v>16</v>
      </c>
      <c r="GM25" s="137">
        <f t="shared" si="94"/>
        <v>40</v>
      </c>
      <c r="GN25" s="137" t="str">
        <f t="shared" si="95"/>
        <v>50</v>
      </c>
      <c r="GO25" s="135">
        <f t="shared" si="199"/>
        <v>90</v>
      </c>
      <c r="GP25" s="137">
        <f t="shared" si="96"/>
        <v>45</v>
      </c>
      <c r="GQ25" s="135" t="str">
        <f t="shared" si="97"/>
        <v>D</v>
      </c>
      <c r="GR25" s="135" t="str">
        <f>VLOOKUP(RANK(GP25,$GP$10:$GP$109),Sheet1!$A$381:$B$480,2,FALSE)</f>
        <v>92nd</v>
      </c>
      <c r="GS25" s="164">
        <v>32</v>
      </c>
      <c r="GT25" s="165">
        <v>25</v>
      </c>
      <c r="GU25" s="137">
        <f t="shared" si="98"/>
        <v>57</v>
      </c>
      <c r="GV25" s="137" t="str">
        <f t="shared" si="99"/>
        <v>57</v>
      </c>
      <c r="GW25" s="137">
        <f t="shared" si="100"/>
        <v>114</v>
      </c>
      <c r="GX25" s="137">
        <f t="shared" si="101"/>
        <v>57</v>
      </c>
      <c r="GY25" s="135" t="str">
        <f t="shared" si="102"/>
        <v>C</v>
      </c>
      <c r="GZ25" s="135" t="str">
        <f>VLOOKUP(RANK(GX25,$GX$10:$GX$109),Sheet1!$A$381:$B$480,2,FALSE)</f>
        <v>29th</v>
      </c>
      <c r="HA25" s="164">
        <v>20</v>
      </c>
      <c r="HB25" s="165">
        <v>11</v>
      </c>
      <c r="HC25" s="137">
        <f t="shared" si="103"/>
        <v>31</v>
      </c>
      <c r="HD25" s="137" t="str">
        <f t="shared" si="104"/>
        <v>38</v>
      </c>
      <c r="HE25" s="137">
        <f t="shared" si="105"/>
        <v>69</v>
      </c>
      <c r="HF25" s="137">
        <f t="shared" si="106"/>
        <v>34.5</v>
      </c>
      <c r="HG25" s="135" t="str">
        <f t="shared" si="107"/>
        <v>F</v>
      </c>
      <c r="HH25" s="135" t="str">
        <f>VLOOKUP(RANK(HF25,$HF$10:$HF$109),Sheet1!$A$381:$B$480,2,FALSE)</f>
        <v>96th</v>
      </c>
      <c r="HI25" s="148">
        <v>25</v>
      </c>
      <c r="HJ25" s="150">
        <v>50</v>
      </c>
      <c r="HK25" s="137">
        <f t="shared" si="108"/>
        <v>75</v>
      </c>
      <c r="HL25" s="137" t="str">
        <f t="shared" si="109"/>
        <v>70</v>
      </c>
      <c r="HM25" s="137">
        <f t="shared" si="110"/>
        <v>145</v>
      </c>
      <c r="HN25" s="137">
        <f t="shared" si="111"/>
        <v>72.5</v>
      </c>
      <c r="HO25" s="135" t="str">
        <f t="shared" si="112"/>
        <v>B</v>
      </c>
      <c r="HP25" s="135" t="str">
        <f>VLOOKUP(RANK(HN25,$HN$10:$HN$109),Sheet1!$A$381:$B$480,2,FALSE)</f>
        <v>20th</v>
      </c>
      <c r="HQ25" s="137"/>
      <c r="HR25" s="137"/>
      <c r="HS25" s="137">
        <f t="shared" si="113"/>
        <v>0</v>
      </c>
      <c r="HT25" s="137" t="str">
        <f t="shared" si="114"/>
        <v>0</v>
      </c>
      <c r="HU25" s="137">
        <f t="shared" si="115"/>
        <v>0</v>
      </c>
      <c r="HV25" s="137">
        <f t="shared" si="116"/>
        <v>0</v>
      </c>
      <c r="HW25" s="135" t="str">
        <f t="shared" si="117"/>
        <v>F</v>
      </c>
      <c r="HX25" s="135" t="str">
        <f>VLOOKUP(RANK(HV25,$HV$10:$HV$109),Sheet1!$A$381:$B$480,2,FALSE)</f>
        <v>1st</v>
      </c>
      <c r="HY25" s="137"/>
      <c r="HZ25" s="137"/>
      <c r="IA25" s="137">
        <f t="shared" si="118"/>
        <v>0</v>
      </c>
      <c r="IB25" s="137" t="str">
        <f t="shared" si="119"/>
        <v>0</v>
      </c>
      <c r="IC25" s="137">
        <f t="shared" si="120"/>
        <v>0</v>
      </c>
      <c r="ID25" s="137">
        <f t="shared" si="121"/>
        <v>0</v>
      </c>
      <c r="IE25" s="135" t="str">
        <f t="shared" si="122"/>
        <v>F</v>
      </c>
      <c r="IF25" s="135" t="str">
        <f>VLOOKUP(RANK(ID25,$ID$10:$ID$109),Sheet1!$A$381:$B$480,2,FALSE)</f>
        <v>1st</v>
      </c>
      <c r="IG25" s="135"/>
      <c r="IH25" s="135"/>
      <c r="II25" s="135">
        <f t="shared" si="200"/>
        <v>0</v>
      </c>
      <c r="IJ25" s="135" t="str">
        <f t="shared" si="201"/>
        <v>0</v>
      </c>
      <c r="IK25" s="135">
        <f t="shared" si="202"/>
        <v>0</v>
      </c>
      <c r="IL25" s="135">
        <f t="shared" si="203"/>
        <v>0</v>
      </c>
      <c r="IM25" s="135" t="str">
        <f t="shared" si="123"/>
        <v>F</v>
      </c>
      <c r="IN25" s="135" t="str">
        <f>VLOOKUP(RANK(IL25,$IL$10:$IL$109),Sheet1!$A$381:$B$480,2,FALSE)</f>
        <v>1st</v>
      </c>
      <c r="IO25" s="135">
        <f t="shared" si="204"/>
        <v>617.5</v>
      </c>
      <c r="IP25" s="177">
        <f t="shared" si="205"/>
        <v>36.323529411764703</v>
      </c>
      <c r="IQ25" s="135" t="str">
        <f>VLOOKUP(RANK(IP25,$IP$10:$IP$109),Sheet1!$A$381:$B$480,2,FALSE)</f>
        <v>41st</v>
      </c>
      <c r="IR25" s="178"/>
      <c r="IS25" s="137"/>
      <c r="IT25" s="137"/>
      <c r="IU25" s="137"/>
      <c r="IV25" s="137"/>
      <c r="IW25" s="181"/>
      <c r="IX25" s="184"/>
      <c r="IY25" s="186"/>
      <c r="IZ25" s="186">
        <f t="shared" si="206"/>
        <v>0</v>
      </c>
      <c r="JA25" s="186" t="str">
        <f t="shared" si="124"/>
        <v>62</v>
      </c>
      <c r="JB25" s="186" t="str">
        <f t="shared" si="125"/>
        <v>75</v>
      </c>
      <c r="JC25" s="186">
        <f t="shared" si="207"/>
        <v>137</v>
      </c>
      <c r="JD25" s="186">
        <f t="shared" si="208"/>
        <v>45.6666666666667</v>
      </c>
      <c r="JE25" s="135" t="str">
        <f t="shared" si="126"/>
        <v>D</v>
      </c>
      <c r="JF25" s="151" t="str">
        <f>VLOOKUP(RANK(JD25,$JD$10:$JD$109),Sheet1!$A$381:$B$480,2,FALSE)</f>
        <v>45th</v>
      </c>
      <c r="JG25" s="186"/>
      <c r="JH25" s="186"/>
      <c r="JI25" s="186">
        <f t="shared" si="127"/>
        <v>0</v>
      </c>
      <c r="JJ25" s="186" t="str">
        <f t="shared" si="128"/>
        <v>56</v>
      </c>
      <c r="JK25" s="186" t="str">
        <f t="shared" si="129"/>
        <v>40</v>
      </c>
      <c r="JL25" s="186">
        <f t="shared" si="209"/>
        <v>96</v>
      </c>
      <c r="JM25" s="186">
        <f t="shared" si="210"/>
        <v>32</v>
      </c>
      <c r="JN25" s="135" t="str">
        <f t="shared" si="130"/>
        <v>F</v>
      </c>
      <c r="JO25" s="151" t="str">
        <f>VLOOKUP(RANK(JM25,$JM$10:$JM$109),Sheet1!$A$381:$B$480,2,FALSE)</f>
        <v>57th</v>
      </c>
      <c r="JP25" s="186"/>
      <c r="JQ25" s="186"/>
      <c r="JR25" s="186">
        <f t="shared" si="131"/>
        <v>0</v>
      </c>
      <c r="JS25" s="186" t="str">
        <f t="shared" si="132"/>
        <v>65</v>
      </c>
      <c r="JT25" s="186" t="str">
        <f t="shared" si="133"/>
        <v>65</v>
      </c>
      <c r="JU25" s="186">
        <f t="shared" si="211"/>
        <v>130</v>
      </c>
      <c r="JV25" s="186">
        <f t="shared" si="212"/>
        <v>43.3333333333333</v>
      </c>
      <c r="JW25" s="135" t="str">
        <f t="shared" si="134"/>
        <v>D</v>
      </c>
      <c r="JX25" s="151" t="str">
        <f>VLOOKUP(RANK(JV25,$JV$10:$JV$109),Sheet1!$A$381:$B$480,2,FALSE)</f>
        <v>4th</v>
      </c>
      <c r="JY25" s="186"/>
      <c r="JZ25" s="186"/>
      <c r="KA25" s="186">
        <f t="shared" si="135"/>
        <v>0</v>
      </c>
      <c r="KB25" s="186" t="str">
        <f t="shared" si="136"/>
        <v>50</v>
      </c>
      <c r="KC25" s="186" t="str">
        <f t="shared" si="137"/>
        <v>53</v>
      </c>
      <c r="KD25" s="186">
        <f t="shared" si="213"/>
        <v>103</v>
      </c>
      <c r="KE25" s="186">
        <f t="shared" si="214"/>
        <v>34.3333333333333</v>
      </c>
      <c r="KF25" s="135" t="str">
        <f t="shared" si="138"/>
        <v>F</v>
      </c>
      <c r="KG25" s="151" t="str">
        <f>VLOOKUP(RANK(KE25,$KE$10:$KE$109),Sheet1!$A$381:$B$480,2,FALSE)</f>
        <v>57th</v>
      </c>
      <c r="KH25" s="186"/>
      <c r="KI25" s="186"/>
      <c r="KJ25" s="186">
        <f t="shared" si="139"/>
        <v>0</v>
      </c>
      <c r="KK25" s="186" t="str">
        <f t="shared" si="140"/>
        <v>57</v>
      </c>
      <c r="KL25" s="186" t="str">
        <f t="shared" si="141"/>
        <v>43</v>
      </c>
      <c r="KM25" s="186">
        <f t="shared" si="215"/>
        <v>100</v>
      </c>
      <c r="KN25" s="186">
        <f t="shared" si="216"/>
        <v>33.3333333333333</v>
      </c>
      <c r="KO25" s="135" t="str">
        <f t="shared" si="142"/>
        <v>F</v>
      </c>
      <c r="KP25" s="151" t="str">
        <f>VLOOKUP(RANK(KN25,$KN$10:$KN$109),Sheet1!$A$381:$B$480,2,FALSE)</f>
        <v>60th</v>
      </c>
      <c r="KQ25" s="186"/>
      <c r="KR25" s="186"/>
      <c r="KS25" s="186">
        <f t="shared" si="143"/>
        <v>0</v>
      </c>
      <c r="KT25" s="186" t="str">
        <f t="shared" si="144"/>
        <v>0</v>
      </c>
      <c r="KU25" s="186" t="str">
        <f t="shared" si="145"/>
        <v>0</v>
      </c>
      <c r="KV25" s="186">
        <f t="shared" si="217"/>
        <v>0</v>
      </c>
      <c r="KW25" s="186">
        <f t="shared" si="218"/>
        <v>0</v>
      </c>
      <c r="KX25" s="135" t="str">
        <f t="shared" si="146"/>
        <v>F</v>
      </c>
      <c r="KY25" s="151" t="str">
        <f>VLOOKUP(RANK(KW25,$KW$10:$KW$109),Sheet1!$A$381:$B$480,2,FALSE)</f>
        <v>1st</v>
      </c>
      <c r="KZ25" s="186"/>
      <c r="LA25" s="186"/>
      <c r="LB25" s="186">
        <f t="shared" si="147"/>
        <v>0</v>
      </c>
      <c r="LC25" s="186" t="str">
        <f t="shared" si="148"/>
        <v>0</v>
      </c>
      <c r="LD25" s="186" t="str">
        <f t="shared" si="149"/>
        <v>0</v>
      </c>
      <c r="LE25" s="186">
        <f t="shared" si="219"/>
        <v>0</v>
      </c>
      <c r="LF25" s="186">
        <f t="shared" si="220"/>
        <v>0</v>
      </c>
      <c r="LG25" s="135" t="str">
        <f t="shared" si="150"/>
        <v>F</v>
      </c>
      <c r="LH25" s="151" t="str">
        <f>VLOOKUP(RANK(LF25,$LF$10:$LF$109),Sheet1!$A$381:$B$480,2,FALSE)</f>
        <v>1st</v>
      </c>
      <c r="LI25" s="186"/>
      <c r="LJ25" s="186"/>
      <c r="LK25" s="186">
        <f t="shared" si="151"/>
        <v>0</v>
      </c>
      <c r="LL25" s="186" t="str">
        <f t="shared" si="152"/>
        <v>50</v>
      </c>
      <c r="LM25" s="186" t="str">
        <f t="shared" si="153"/>
        <v>55</v>
      </c>
      <c r="LN25" s="186">
        <f t="shared" si="221"/>
        <v>105</v>
      </c>
      <c r="LO25" s="186">
        <f t="shared" si="222"/>
        <v>35</v>
      </c>
      <c r="LP25" s="135" t="str">
        <f t="shared" si="154"/>
        <v>E</v>
      </c>
      <c r="LQ25" s="151" t="str">
        <f>VLOOKUP(RANK(LO25,$LO$10:$LO$109),Sheet1!$A$381:$B$480,2,FALSE)</f>
        <v>40th</v>
      </c>
      <c r="LR25" s="186"/>
      <c r="LS25" s="186"/>
      <c r="LT25" s="186">
        <f t="shared" si="155"/>
        <v>0</v>
      </c>
      <c r="LU25" s="186" t="str">
        <f t="shared" si="156"/>
        <v>69</v>
      </c>
      <c r="LV25" s="186" t="str">
        <f t="shared" si="157"/>
        <v>62</v>
      </c>
      <c r="LW25" s="186">
        <f t="shared" si="223"/>
        <v>131</v>
      </c>
      <c r="LX25" s="186">
        <f t="shared" si="224"/>
        <v>43.6666666666667</v>
      </c>
      <c r="LY25" s="135" t="str">
        <f t="shared" si="158"/>
        <v>D</v>
      </c>
      <c r="LZ25" s="151" t="str">
        <f>VLOOKUP(RANK(LX25,$LX$10:$LX$109),Sheet1!$A$381:$B$480,2,FALSE)</f>
        <v>6th</v>
      </c>
      <c r="MA25" s="186"/>
      <c r="MB25" s="186"/>
      <c r="MC25" s="186">
        <f t="shared" si="159"/>
        <v>0</v>
      </c>
      <c r="MD25" s="186" t="str">
        <f t="shared" si="160"/>
        <v>29</v>
      </c>
      <c r="ME25" s="186" t="str">
        <f t="shared" si="161"/>
        <v>55</v>
      </c>
      <c r="MF25" s="183">
        <f t="shared" si="225"/>
        <v>84</v>
      </c>
      <c r="MG25" s="151">
        <f t="shared" si="226"/>
        <v>28</v>
      </c>
      <c r="MH25" s="135" t="str">
        <f t="shared" si="162"/>
        <v>F</v>
      </c>
      <c r="MI25" s="151" t="str">
        <f>VLOOKUP(RANK(MG25,$MG$10:$MG$109),Sheet1!$A$381:$B$480,2,FALSE)</f>
        <v>39th</v>
      </c>
      <c r="MJ25" s="186"/>
      <c r="MK25" s="186"/>
      <c r="ML25" s="186">
        <f t="shared" si="163"/>
        <v>0</v>
      </c>
      <c r="MM25" s="186" t="str">
        <f t="shared" si="164"/>
        <v>50</v>
      </c>
      <c r="MN25" s="186" t="str">
        <f t="shared" si="165"/>
        <v>40</v>
      </c>
      <c r="MO25" s="186">
        <f t="shared" si="227"/>
        <v>90</v>
      </c>
      <c r="MP25" s="186">
        <f t="shared" si="228"/>
        <v>30</v>
      </c>
      <c r="MQ25" s="135" t="str">
        <f t="shared" si="166"/>
        <v>F</v>
      </c>
      <c r="MR25" s="151" t="str">
        <f>VLOOKUP(RANK(MP25,$MP$10:$MP$109),Sheet1!$A$381:$B$480,2,FALSE)</f>
        <v>92nd</v>
      </c>
      <c r="MS25" s="186"/>
      <c r="MT25" s="186"/>
      <c r="MU25" s="186">
        <f t="shared" si="167"/>
        <v>0</v>
      </c>
      <c r="MV25" s="186" t="str">
        <f t="shared" si="168"/>
        <v>57</v>
      </c>
      <c r="MW25" s="186" t="str">
        <f t="shared" si="169"/>
        <v>57</v>
      </c>
      <c r="MX25" s="186">
        <f t="shared" si="229"/>
        <v>114</v>
      </c>
      <c r="MY25" s="186">
        <f t="shared" si="230"/>
        <v>38</v>
      </c>
      <c r="MZ25" s="135" t="str">
        <f t="shared" si="170"/>
        <v>E</v>
      </c>
      <c r="NA25" s="151" t="str">
        <f>VLOOKUP(RANK(MY25,$MY$10:$MY$109),Sheet1!$A$381:$B$480,2,FALSE)</f>
        <v>29th</v>
      </c>
      <c r="NB25" s="186"/>
      <c r="NC25" s="186"/>
      <c r="ND25" s="186">
        <f t="shared" si="171"/>
        <v>0</v>
      </c>
      <c r="NE25" s="186" t="str">
        <f t="shared" si="172"/>
        <v>38</v>
      </c>
      <c r="NF25" s="186" t="str">
        <f t="shared" si="173"/>
        <v>31</v>
      </c>
      <c r="NG25" s="186">
        <f t="shared" si="231"/>
        <v>69</v>
      </c>
      <c r="NH25" s="186">
        <f t="shared" si="232"/>
        <v>23</v>
      </c>
      <c r="NI25" s="135" t="str">
        <f t="shared" si="174"/>
        <v>F</v>
      </c>
      <c r="NJ25" s="151" t="str">
        <f>VLOOKUP(RANK(NH25,$NH$10:$NH$109),Sheet1!$A$381:$B$480,2,FALSE)</f>
        <v>96th</v>
      </c>
      <c r="NK25" s="186"/>
      <c r="NL25" s="186"/>
      <c r="NM25" s="186">
        <f t="shared" si="175"/>
        <v>0</v>
      </c>
      <c r="NN25" s="186" t="str">
        <f t="shared" si="176"/>
        <v>70</v>
      </c>
      <c r="NO25" s="186" t="str">
        <f t="shared" si="177"/>
        <v>75</v>
      </c>
      <c r="NP25" s="186">
        <f t="shared" si="233"/>
        <v>145</v>
      </c>
      <c r="NQ25" s="186">
        <f t="shared" si="178"/>
        <v>48.3333333333333</v>
      </c>
      <c r="NR25" s="135" t="str">
        <f t="shared" si="179"/>
        <v>D</v>
      </c>
      <c r="NS25" s="151" t="str">
        <f>VLOOKUP(RANK(NQ25,$NQ$10:$NQ$109),Sheet1!$A$381:$B$480,2,FALSE)</f>
        <v>20th</v>
      </c>
      <c r="NT25" s="186"/>
      <c r="NU25" s="186"/>
      <c r="NV25" s="186">
        <f t="shared" si="180"/>
        <v>0</v>
      </c>
      <c r="NW25" s="186" t="str">
        <f t="shared" si="181"/>
        <v>0</v>
      </c>
      <c r="NX25" s="186" t="str">
        <f t="shared" si="182"/>
        <v>0</v>
      </c>
      <c r="NY25" s="186">
        <f t="shared" si="234"/>
        <v>0</v>
      </c>
      <c r="NZ25" s="186">
        <f t="shared" si="183"/>
        <v>0</v>
      </c>
      <c r="OA25" s="135" t="str">
        <f t="shared" si="184"/>
        <v>F</v>
      </c>
      <c r="OB25" s="151" t="str">
        <f>VLOOKUP(RANK(NZ25,$NZ$10:$NZ$109),Sheet1!$A$381:$B$480,2,FALSE)</f>
        <v>1st</v>
      </c>
      <c r="OC25" s="186"/>
      <c r="OD25" s="186"/>
      <c r="OE25" s="186">
        <f t="shared" si="185"/>
        <v>0</v>
      </c>
      <c r="OF25" s="186" t="str">
        <f t="shared" si="186"/>
        <v>0</v>
      </c>
      <c r="OG25" s="186" t="str">
        <f t="shared" si="187"/>
        <v>0</v>
      </c>
      <c r="OH25" s="186">
        <f t="shared" si="235"/>
        <v>0</v>
      </c>
      <c r="OI25" s="186">
        <f t="shared" si="236"/>
        <v>0</v>
      </c>
      <c r="OJ25" s="135" t="str">
        <f t="shared" si="188"/>
        <v>F</v>
      </c>
      <c r="OK25" s="151" t="str">
        <f>VLOOKUP(RANK(OI25,$OI$10:$OI$109),Sheet1!$A$381:$B$480,2,FALSE)</f>
        <v>1st</v>
      </c>
      <c r="OL25" s="151"/>
      <c r="OM25" s="151"/>
      <c r="ON25" s="151">
        <f t="shared" si="237"/>
        <v>0</v>
      </c>
      <c r="OO25" s="151" t="str">
        <f t="shared" si="238"/>
        <v>0</v>
      </c>
      <c r="OP25" s="151" t="str">
        <f t="shared" si="239"/>
        <v>0</v>
      </c>
      <c r="OQ25" s="151">
        <f t="shared" si="240"/>
        <v>0</v>
      </c>
      <c r="OR25" s="151">
        <f t="shared" si="241"/>
        <v>0</v>
      </c>
      <c r="OS25" s="135" t="str">
        <f t="shared" si="189"/>
        <v>F</v>
      </c>
      <c r="OT25" s="151" t="str">
        <f>VLOOKUP(RANK(OR25,$OI$10:$OI$109),Sheet1!$A$381:$B$480,2,FALSE)</f>
        <v>1st</v>
      </c>
      <c r="OU25" s="151">
        <f t="shared" si="242"/>
        <v>434.66666666666703</v>
      </c>
      <c r="OV25" s="151">
        <f t="shared" si="243"/>
        <v>25.568627450980401</v>
      </c>
      <c r="OW25" s="151" t="str">
        <f>VLOOKUP(RANK(OV25,$OV$10:$OV$109),Sheet1!$A$381:$B$480,2,FALSE)</f>
        <v>37th</v>
      </c>
      <c r="OX25" s="151"/>
      <c r="OY25" s="186"/>
      <c r="OZ25" s="186"/>
      <c r="PA25" s="186"/>
      <c r="PB25" s="186"/>
    </row>
    <row r="26" spans="1:418" s="118" customFormat="1" ht="18.75">
      <c r="A26" s="131">
        <v>17</v>
      </c>
      <c r="B26" s="132" t="s">
        <v>114</v>
      </c>
      <c r="C26" s="133" t="s">
        <v>97</v>
      </c>
      <c r="D26" s="134">
        <v>31</v>
      </c>
      <c r="E26" s="134">
        <v>33</v>
      </c>
      <c r="F26" s="137">
        <f t="shared" si="0"/>
        <v>64</v>
      </c>
      <c r="G26" s="137">
        <f t="shared" si="1"/>
        <v>64</v>
      </c>
      <c r="H26" s="135" t="str">
        <f t="shared" si="190"/>
        <v>B</v>
      </c>
      <c r="I26" s="135" t="str">
        <f>VLOOKUP(RANK(G26,$G$10:$G$109),Sheet1!$A$381:$B$480,2,FALSE)</f>
        <v>67th</v>
      </c>
      <c r="J26" s="134">
        <v>29</v>
      </c>
      <c r="K26" s="134">
        <v>25</v>
      </c>
      <c r="L26" s="137">
        <f t="shared" si="2"/>
        <v>54</v>
      </c>
      <c r="M26" s="137">
        <f t="shared" si="3"/>
        <v>54</v>
      </c>
      <c r="N26" s="135" t="str">
        <f t="shared" si="4"/>
        <v>C</v>
      </c>
      <c r="O26" s="141" t="str">
        <f>VLOOKUP(RANK(M26,$M$10:$M$109),Sheet1!$A$381:$B$480,2,FALSE)</f>
        <v>42nd</v>
      </c>
      <c r="P26" s="143"/>
      <c r="Q26" s="143"/>
      <c r="R26" s="147">
        <f t="shared" si="5"/>
        <v>0</v>
      </c>
      <c r="S26" s="137">
        <f t="shared" si="6"/>
        <v>0</v>
      </c>
      <c r="T26" s="135" t="str">
        <f t="shared" si="7"/>
        <v>F</v>
      </c>
      <c r="U26" s="135" t="str">
        <f>VLOOKUP(RANK(S26,$S$10:$S$109),Sheet1!$A$381:$B$480,2,FALSE)</f>
        <v>100th</v>
      </c>
      <c r="V26" s="134">
        <v>24</v>
      </c>
      <c r="W26" s="134">
        <v>27</v>
      </c>
      <c r="X26" s="137">
        <f t="shared" si="191"/>
        <v>51</v>
      </c>
      <c r="Y26" s="137">
        <f t="shared" si="244"/>
        <v>51</v>
      </c>
      <c r="Z26" s="135" t="str">
        <f t="shared" si="8"/>
        <v>C</v>
      </c>
      <c r="AA26" s="135" t="str">
        <f>VLOOKUP(RANK(Y26,$Y$10:$Y$109),Sheet1!$A$381:$B$480,2,FALSE)</f>
        <v>54th</v>
      </c>
      <c r="AB26" s="134">
        <v>30</v>
      </c>
      <c r="AC26" s="134">
        <v>35</v>
      </c>
      <c r="AD26" s="137">
        <f t="shared" si="9"/>
        <v>65</v>
      </c>
      <c r="AE26" s="137">
        <f t="shared" si="10"/>
        <v>65</v>
      </c>
      <c r="AF26" s="135" t="str">
        <f t="shared" si="11"/>
        <v>B</v>
      </c>
      <c r="AG26" s="135" t="str">
        <f>VLOOKUP(RANK(AE26,$AE$10:$AE$109),Sheet1!$A$381:$B$480,2,FALSE)</f>
        <v>39th</v>
      </c>
      <c r="AH26" s="137"/>
      <c r="AI26" s="137"/>
      <c r="AJ26" s="137">
        <f t="shared" si="12"/>
        <v>0</v>
      </c>
      <c r="AK26" s="137">
        <f t="shared" si="13"/>
        <v>0</v>
      </c>
      <c r="AL26" s="135" t="str">
        <f t="shared" si="14"/>
        <v>F</v>
      </c>
      <c r="AM26" s="135" t="str">
        <f>VLOOKUP(RANK(AK26,$AK$10:$AK$109),Sheet1!$A$381:$B$480,2,FALSE)</f>
        <v>1st</v>
      </c>
      <c r="AN26" s="134"/>
      <c r="AO26" s="134"/>
      <c r="AP26" s="137">
        <f t="shared" si="15"/>
        <v>0</v>
      </c>
      <c r="AQ26" s="137">
        <f t="shared" si="16"/>
        <v>0</v>
      </c>
      <c r="AR26" s="135" t="str">
        <f t="shared" si="17"/>
        <v>F</v>
      </c>
      <c r="AS26" s="135" t="str">
        <f>VLOOKUP(RANK(AQ26,$AQ$10:$AQ$109),Sheet1!$A$381:$B$480,2,FALSE)</f>
        <v>1st</v>
      </c>
      <c r="AT26" s="142">
        <v>25</v>
      </c>
      <c r="AU26" s="145">
        <v>35</v>
      </c>
      <c r="AV26" s="137">
        <f t="shared" si="18"/>
        <v>60</v>
      </c>
      <c r="AW26" s="137">
        <f t="shared" si="19"/>
        <v>60</v>
      </c>
      <c r="AX26" s="135" t="str">
        <f t="shared" si="20"/>
        <v>B</v>
      </c>
      <c r="AY26" s="141" t="str">
        <f>VLOOKUP(RANK(AW26,$AW$10:$AW$109),Sheet1!$A$381:$B$480,2,FALSE)</f>
        <v>9th</v>
      </c>
      <c r="AZ26" s="142">
        <v>33</v>
      </c>
      <c r="BA26" s="145">
        <v>25</v>
      </c>
      <c r="BB26" s="147">
        <f t="shared" si="21"/>
        <v>58</v>
      </c>
      <c r="BC26" s="137">
        <f t="shared" si="22"/>
        <v>58</v>
      </c>
      <c r="BD26" s="135" t="str">
        <f t="shared" si="23"/>
        <v>C</v>
      </c>
      <c r="BE26" s="135" t="str">
        <f>VLOOKUP(RANK(BC26,$BC$10:$BC$109),Sheet1!$A$381:$B$480,2,FALSE)</f>
        <v>33rd</v>
      </c>
      <c r="BF26" s="142">
        <v>14</v>
      </c>
      <c r="BG26" s="145">
        <v>35</v>
      </c>
      <c r="BH26" s="137">
        <f t="shared" si="24"/>
        <v>49</v>
      </c>
      <c r="BI26" s="137">
        <f t="shared" si="25"/>
        <v>49</v>
      </c>
      <c r="BJ26" s="135" t="str">
        <f t="shared" si="26"/>
        <v>D</v>
      </c>
      <c r="BK26" s="141" t="str">
        <f>VLOOKUP(RANK(BI26,$BI$10:$BI$109),Sheet1!$A$381:$B$480,2,FALSE)</f>
        <v>17th</v>
      </c>
      <c r="BL26" s="148">
        <v>28</v>
      </c>
      <c r="BM26" s="150">
        <v>25</v>
      </c>
      <c r="BN26" s="147">
        <f t="shared" si="27"/>
        <v>53</v>
      </c>
      <c r="BO26" s="137">
        <f t="shared" si="28"/>
        <v>53</v>
      </c>
      <c r="BP26" s="135" t="str">
        <f t="shared" si="29"/>
        <v>C</v>
      </c>
      <c r="BQ26" s="141" t="str">
        <f>VLOOKUP(RANK(BO26,$BO$10:$BO$109),Sheet1!$A$381:$B$480,2,FALSE)</f>
        <v>36th</v>
      </c>
      <c r="BR26" s="148">
        <v>28</v>
      </c>
      <c r="BS26" s="150">
        <v>13</v>
      </c>
      <c r="BT26" s="147">
        <f t="shared" si="30"/>
        <v>41</v>
      </c>
      <c r="BU26" s="137">
        <f t="shared" si="31"/>
        <v>41</v>
      </c>
      <c r="BV26" s="135" t="str">
        <f t="shared" si="32"/>
        <v>D</v>
      </c>
      <c r="BW26" s="135" t="str">
        <f>VLOOKUP(RANK(BU26,$BU$10:$BU$109),Sheet1!$A$381:$B$480,2,FALSE)</f>
        <v>60th</v>
      </c>
      <c r="BX26" s="148">
        <v>26</v>
      </c>
      <c r="BY26" s="150">
        <v>10</v>
      </c>
      <c r="BZ26" s="137">
        <f t="shared" si="33"/>
        <v>36</v>
      </c>
      <c r="CA26" s="137">
        <f t="shared" si="34"/>
        <v>36</v>
      </c>
      <c r="CB26" s="135" t="str">
        <f t="shared" si="35"/>
        <v>E</v>
      </c>
      <c r="CC26" s="135" t="str">
        <f>VLOOKUP(RANK(CA26,$CA$10:$CA$109),Sheet1!$A$381:$B$480,2,FALSE)</f>
        <v>91st</v>
      </c>
      <c r="CD26" s="148">
        <v>22</v>
      </c>
      <c r="CE26" s="150">
        <v>23</v>
      </c>
      <c r="CF26" s="137">
        <f t="shared" si="36"/>
        <v>45</v>
      </c>
      <c r="CG26" s="137">
        <f t="shared" si="37"/>
        <v>45</v>
      </c>
      <c r="CH26" s="135" t="str">
        <f t="shared" si="38"/>
        <v>D</v>
      </c>
      <c r="CI26" s="135" t="str">
        <f>VLOOKUP(RANK(CG26,$CG$10:$CG$109),Sheet1!$A$381:$B$480,2,FALSE)</f>
        <v>82nd</v>
      </c>
      <c r="CJ26" s="137"/>
      <c r="CK26" s="137"/>
      <c r="CL26" s="137">
        <f t="shared" si="39"/>
        <v>0</v>
      </c>
      <c r="CM26" s="137">
        <f t="shared" si="40"/>
        <v>0</v>
      </c>
      <c r="CN26" s="135" t="str">
        <f t="shared" si="41"/>
        <v>F</v>
      </c>
      <c r="CO26" s="135" t="str">
        <f>VLOOKUP(RANK(CM26,$CM$10:$CM$109),Sheet1!$A$381:$B$480,2,FALSE)</f>
        <v>1st</v>
      </c>
      <c r="CP26" s="137"/>
      <c r="CQ26" s="137"/>
      <c r="CR26" s="137">
        <f t="shared" si="42"/>
        <v>0</v>
      </c>
      <c r="CS26" s="137">
        <f t="shared" si="43"/>
        <v>0</v>
      </c>
      <c r="CT26" s="135" t="str">
        <f t="shared" si="44"/>
        <v>F</v>
      </c>
      <c r="CU26" s="135" t="str">
        <f>VLOOKUP(RANK(CS26,$CS$10:$CS$109),Sheet1!$A$381:$B$480,2,FALSE)</f>
        <v>1st</v>
      </c>
      <c r="CV26" s="151"/>
      <c r="CW26" s="135"/>
      <c r="CX26" s="151">
        <f t="shared" si="192"/>
        <v>0</v>
      </c>
      <c r="CY26" s="151">
        <f t="shared" si="193"/>
        <v>0</v>
      </c>
      <c r="CZ26" s="135" t="str">
        <f t="shared" si="45"/>
        <v>F</v>
      </c>
      <c r="DA26" s="135" t="str">
        <f>VLOOKUP(RANK(CY26,$CY$10:$CY$109),Sheet1!$A$381:$B$480,2,FALSE)</f>
        <v>1st</v>
      </c>
      <c r="DB26" s="135"/>
      <c r="DC26" s="151">
        <f t="shared" si="194"/>
        <v>576</v>
      </c>
      <c r="DD26" s="151">
        <f t="shared" si="195"/>
        <v>33.882352941176499</v>
      </c>
      <c r="DE26" s="135" t="str">
        <f>VLOOKUP(RANK(DD26,$DD$10:$DD$109),Sheet1!$A$381:$B$480,2,FALSE)</f>
        <v>65th</v>
      </c>
      <c r="DF26" s="137"/>
      <c r="DG26" s="160">
        <f t="shared" si="46"/>
        <v>609.88235294117601</v>
      </c>
      <c r="DH26" s="119"/>
      <c r="DI26" s="162">
        <v>19</v>
      </c>
      <c r="DJ26" s="162">
        <v>48</v>
      </c>
      <c r="DK26" s="137">
        <f t="shared" si="47"/>
        <v>67</v>
      </c>
      <c r="DL26" s="137" t="str">
        <f t="shared" si="48"/>
        <v>64</v>
      </c>
      <c r="DM26" s="137">
        <f t="shared" si="49"/>
        <v>131</v>
      </c>
      <c r="DN26" s="137">
        <f t="shared" si="50"/>
        <v>65.5</v>
      </c>
      <c r="DO26" s="135" t="str">
        <f t="shared" si="51"/>
        <v>B</v>
      </c>
      <c r="DP26" s="135" t="str">
        <f>VLOOKUP(RANK(DN26,$DN$10:$DN$109),Sheet1!$A$381:$B$480,2,FALSE)</f>
        <v>55th</v>
      </c>
      <c r="DQ26" s="164">
        <v>22</v>
      </c>
      <c r="DR26" s="165">
        <v>22</v>
      </c>
      <c r="DS26" s="137">
        <f t="shared" si="52"/>
        <v>44</v>
      </c>
      <c r="DT26" s="137" t="str">
        <f t="shared" si="53"/>
        <v>54</v>
      </c>
      <c r="DU26" s="137">
        <f t="shared" si="54"/>
        <v>98</v>
      </c>
      <c r="DV26" s="137">
        <f t="shared" si="55"/>
        <v>49</v>
      </c>
      <c r="DW26" s="135" t="str">
        <f t="shared" si="56"/>
        <v>D</v>
      </c>
      <c r="DX26" s="135" t="str">
        <f>VLOOKUP(RANK(DV26,$DV$10:$DV$109),Sheet1!$A$381:$B$480,2,FALSE)</f>
        <v>49th</v>
      </c>
      <c r="DY26" s="167">
        <v>34</v>
      </c>
      <c r="DZ26" s="165">
        <v>18</v>
      </c>
      <c r="EA26" s="137">
        <f t="shared" si="57"/>
        <v>52</v>
      </c>
      <c r="EB26" s="137" t="str">
        <f t="shared" si="58"/>
        <v>0</v>
      </c>
      <c r="EC26" s="137">
        <f t="shared" si="59"/>
        <v>52</v>
      </c>
      <c r="ED26" s="137">
        <f t="shared" si="60"/>
        <v>26</v>
      </c>
      <c r="EE26" s="135" t="str">
        <f t="shared" si="61"/>
        <v>F</v>
      </c>
      <c r="EF26" s="135" t="str">
        <f>VLOOKUP(RANK(ED26,$ED$10:$ED$109),Sheet1!$A$381:$B$480,2,FALSE)</f>
        <v>97th</v>
      </c>
      <c r="EG26" s="162">
        <v>11</v>
      </c>
      <c r="EH26" s="162">
        <v>28</v>
      </c>
      <c r="EI26" s="137">
        <f t="shared" si="62"/>
        <v>39</v>
      </c>
      <c r="EJ26" s="137" t="str">
        <f t="shared" si="63"/>
        <v>51</v>
      </c>
      <c r="EK26" s="137">
        <f t="shared" si="64"/>
        <v>90</v>
      </c>
      <c r="EL26" s="137">
        <f t="shared" si="65"/>
        <v>45</v>
      </c>
      <c r="EM26" s="135" t="str">
        <f t="shared" si="66"/>
        <v>D</v>
      </c>
      <c r="EN26" s="135" t="str">
        <f>VLOOKUP(RANK(EL26,$EL$10:$EL$109),Sheet1!$A$381:$B$480,2,FALSE)</f>
        <v>79th</v>
      </c>
      <c r="EO26" s="162">
        <v>27</v>
      </c>
      <c r="EP26" s="162">
        <v>19</v>
      </c>
      <c r="EQ26" s="137">
        <f t="shared" si="67"/>
        <v>46</v>
      </c>
      <c r="ER26" s="137" t="str">
        <f t="shared" si="68"/>
        <v>65</v>
      </c>
      <c r="ES26" s="137">
        <f t="shared" si="69"/>
        <v>111</v>
      </c>
      <c r="ET26" s="137">
        <f t="shared" si="70"/>
        <v>55.5</v>
      </c>
      <c r="EU26" s="135" t="str">
        <f t="shared" si="71"/>
        <v>C</v>
      </c>
      <c r="EV26" s="135" t="str">
        <f>VLOOKUP(RANK(ET26,$ET$10:$ET$109),Sheet1!$A$381:$B$480,2,FALSE)</f>
        <v>48th</v>
      </c>
      <c r="EW26" s="137"/>
      <c r="EX26" s="137"/>
      <c r="EY26" s="137">
        <f t="shared" si="72"/>
        <v>0</v>
      </c>
      <c r="EZ26" s="137" t="str">
        <f t="shared" si="73"/>
        <v>0</v>
      </c>
      <c r="FA26" s="137">
        <f t="shared" si="74"/>
        <v>0</v>
      </c>
      <c r="FB26" s="137">
        <f t="shared" si="75"/>
        <v>0</v>
      </c>
      <c r="FC26" s="135" t="str">
        <f t="shared" si="76"/>
        <v>F</v>
      </c>
      <c r="FD26" s="135" t="str">
        <f>VLOOKUP(RANK(FB26,$FB$10:$FB$109),Sheet1!$A$381:$B$480,2,FALSE)</f>
        <v>1st</v>
      </c>
      <c r="FE26" s="137"/>
      <c r="FF26" s="137"/>
      <c r="FG26" s="137">
        <f t="shared" si="77"/>
        <v>0</v>
      </c>
      <c r="FH26" s="137" t="str">
        <f t="shared" si="78"/>
        <v>0</v>
      </c>
      <c r="FI26" s="137">
        <f t="shared" si="79"/>
        <v>0</v>
      </c>
      <c r="FJ26" s="137">
        <f t="shared" si="80"/>
        <v>0</v>
      </c>
      <c r="FK26" s="135" t="str">
        <f t="shared" si="81"/>
        <v>F</v>
      </c>
      <c r="FL26" s="135" t="str">
        <f>VLOOKUP(RANK(FJ26,$FJ$10:$FJ$109),Sheet1!$A$381:$B$480,2,FALSE)</f>
        <v>1st</v>
      </c>
      <c r="FM26" s="164">
        <v>29</v>
      </c>
      <c r="FN26" s="165">
        <v>21</v>
      </c>
      <c r="FO26" s="137">
        <f t="shared" si="82"/>
        <v>50</v>
      </c>
      <c r="FP26" s="137" t="str">
        <f t="shared" si="83"/>
        <v>60</v>
      </c>
      <c r="FQ26" s="137">
        <f t="shared" si="84"/>
        <v>110</v>
      </c>
      <c r="FR26" s="137">
        <f t="shared" si="85"/>
        <v>55</v>
      </c>
      <c r="FS26" s="135" t="str">
        <f t="shared" si="86"/>
        <v>C</v>
      </c>
      <c r="FT26" s="135" t="str">
        <f>VLOOKUP(RANK(FR26,$FR$10:$FR$109),Sheet1!$A$381:$B$480,2,FALSE)</f>
        <v>23rd</v>
      </c>
      <c r="FU26" s="148">
        <v>26</v>
      </c>
      <c r="FV26" s="150">
        <v>25</v>
      </c>
      <c r="FW26" s="137">
        <f t="shared" si="87"/>
        <v>51</v>
      </c>
      <c r="FX26" s="137" t="str">
        <f t="shared" si="88"/>
        <v>58</v>
      </c>
      <c r="FY26" s="137">
        <f t="shared" si="196"/>
        <v>51</v>
      </c>
      <c r="FZ26" s="137">
        <f t="shared" si="89"/>
        <v>25.5</v>
      </c>
      <c r="GA26" s="135" t="str">
        <f t="shared" si="90"/>
        <v>F</v>
      </c>
      <c r="GB26" s="135" t="str">
        <f>VLOOKUP(RANK(FZ26,$FZ$10:$FZ$109),Sheet1!$A$381:$B$480,2,FALSE)</f>
        <v>51st</v>
      </c>
      <c r="GC26" s="164">
        <v>10</v>
      </c>
      <c r="GD26" s="165">
        <v>30</v>
      </c>
      <c r="GE26" s="137">
        <f t="shared" si="91"/>
        <v>40</v>
      </c>
      <c r="GF26" s="137" t="str">
        <f t="shared" si="92"/>
        <v>49</v>
      </c>
      <c r="GG26" s="135">
        <f t="shared" si="197"/>
        <v>89</v>
      </c>
      <c r="GH26" s="137">
        <f t="shared" si="198"/>
        <v>44.5</v>
      </c>
      <c r="GI26" s="135" t="str">
        <f t="shared" si="93"/>
        <v>D</v>
      </c>
      <c r="GJ26" s="135" t="str">
        <f>VLOOKUP(RANK(GH26,$GH$10:$GH$109),Sheet1!$A$381:$B$480,2,FALSE)</f>
        <v>29th</v>
      </c>
      <c r="GK26" s="164">
        <v>27</v>
      </c>
      <c r="GL26" s="165">
        <v>13</v>
      </c>
      <c r="GM26" s="137">
        <f t="shared" si="94"/>
        <v>40</v>
      </c>
      <c r="GN26" s="137" t="str">
        <f t="shared" si="95"/>
        <v>53</v>
      </c>
      <c r="GO26" s="135">
        <f t="shared" si="199"/>
        <v>93</v>
      </c>
      <c r="GP26" s="137">
        <f t="shared" si="96"/>
        <v>46.5</v>
      </c>
      <c r="GQ26" s="135" t="str">
        <f t="shared" si="97"/>
        <v>D</v>
      </c>
      <c r="GR26" s="135" t="str">
        <f>VLOOKUP(RANK(GP26,$GP$10:$GP$109),Sheet1!$A$381:$B$480,2,FALSE)</f>
        <v>74th</v>
      </c>
      <c r="GS26" s="164">
        <v>36</v>
      </c>
      <c r="GT26" s="165">
        <v>22</v>
      </c>
      <c r="GU26" s="137">
        <f t="shared" si="98"/>
        <v>58</v>
      </c>
      <c r="GV26" s="137" t="str">
        <f t="shared" si="99"/>
        <v>41</v>
      </c>
      <c r="GW26" s="137">
        <f t="shared" si="100"/>
        <v>99</v>
      </c>
      <c r="GX26" s="137">
        <f t="shared" si="101"/>
        <v>49.5</v>
      </c>
      <c r="GY26" s="135" t="str">
        <f t="shared" si="102"/>
        <v>D</v>
      </c>
      <c r="GZ26" s="135" t="str">
        <f>VLOOKUP(RANK(GX26,$GX$10:$GX$109),Sheet1!$A$381:$B$480,2,FALSE)</f>
        <v>50th</v>
      </c>
      <c r="HA26" s="164">
        <v>31</v>
      </c>
      <c r="HB26" s="165">
        <v>15</v>
      </c>
      <c r="HC26" s="137">
        <f t="shared" si="103"/>
        <v>46</v>
      </c>
      <c r="HD26" s="137" t="str">
        <f t="shared" si="104"/>
        <v>36</v>
      </c>
      <c r="HE26" s="137">
        <f t="shared" si="105"/>
        <v>82</v>
      </c>
      <c r="HF26" s="137">
        <f t="shared" si="106"/>
        <v>41</v>
      </c>
      <c r="HG26" s="135" t="str">
        <f t="shared" si="107"/>
        <v>D</v>
      </c>
      <c r="HH26" s="135" t="str">
        <f>VLOOKUP(RANK(HF26,$HF$10:$HF$109),Sheet1!$A$381:$B$480,2,FALSE)</f>
        <v>53rd</v>
      </c>
      <c r="HI26" s="148">
        <v>26</v>
      </c>
      <c r="HJ26" s="150">
        <v>37</v>
      </c>
      <c r="HK26" s="137">
        <f t="shared" si="108"/>
        <v>63</v>
      </c>
      <c r="HL26" s="137" t="str">
        <f t="shared" si="109"/>
        <v>45</v>
      </c>
      <c r="HM26" s="137">
        <f t="shared" si="110"/>
        <v>108</v>
      </c>
      <c r="HN26" s="137">
        <f t="shared" si="111"/>
        <v>54</v>
      </c>
      <c r="HO26" s="135" t="str">
        <f t="shared" si="112"/>
        <v>C</v>
      </c>
      <c r="HP26" s="135" t="str">
        <f>VLOOKUP(RANK(HN26,$HN$10:$HN$109),Sheet1!$A$381:$B$480,2,FALSE)</f>
        <v>88th</v>
      </c>
      <c r="HQ26" s="137"/>
      <c r="HR26" s="137"/>
      <c r="HS26" s="137">
        <f t="shared" si="113"/>
        <v>0</v>
      </c>
      <c r="HT26" s="137" t="str">
        <f t="shared" si="114"/>
        <v>0</v>
      </c>
      <c r="HU26" s="137">
        <f t="shared" si="115"/>
        <v>0</v>
      </c>
      <c r="HV26" s="137">
        <f t="shared" si="116"/>
        <v>0</v>
      </c>
      <c r="HW26" s="135" t="str">
        <f t="shared" si="117"/>
        <v>F</v>
      </c>
      <c r="HX26" s="135" t="str">
        <f>VLOOKUP(RANK(HV26,$HV$10:$HV$109),Sheet1!$A$381:$B$480,2,FALSE)</f>
        <v>1st</v>
      </c>
      <c r="HY26" s="137"/>
      <c r="HZ26" s="137"/>
      <c r="IA26" s="137">
        <f t="shared" si="118"/>
        <v>0</v>
      </c>
      <c r="IB26" s="137" t="str">
        <f t="shared" si="119"/>
        <v>0</v>
      </c>
      <c r="IC26" s="137">
        <f t="shared" si="120"/>
        <v>0</v>
      </c>
      <c r="ID26" s="137">
        <f t="shared" si="121"/>
        <v>0</v>
      </c>
      <c r="IE26" s="135" t="str">
        <f t="shared" si="122"/>
        <v>F</v>
      </c>
      <c r="IF26" s="135" t="str">
        <f>VLOOKUP(RANK(ID26,$ID$10:$ID$109),Sheet1!$A$381:$B$480,2,FALSE)</f>
        <v>1st</v>
      </c>
      <c r="IG26" s="135"/>
      <c r="IH26" s="135"/>
      <c r="II26" s="135">
        <f t="shared" si="200"/>
        <v>0</v>
      </c>
      <c r="IJ26" s="135" t="str">
        <f t="shared" si="201"/>
        <v>0</v>
      </c>
      <c r="IK26" s="135">
        <f t="shared" si="202"/>
        <v>0</v>
      </c>
      <c r="IL26" s="135">
        <f t="shared" si="203"/>
        <v>0</v>
      </c>
      <c r="IM26" s="135" t="str">
        <f t="shared" si="123"/>
        <v>F</v>
      </c>
      <c r="IN26" s="135" t="str">
        <f>VLOOKUP(RANK(IL26,$IL$10:$IL$109),Sheet1!$A$381:$B$480,2,FALSE)</f>
        <v>1st</v>
      </c>
      <c r="IO26" s="135">
        <f t="shared" si="204"/>
        <v>557</v>
      </c>
      <c r="IP26" s="177">
        <f t="shared" si="205"/>
        <v>32.764705882352899</v>
      </c>
      <c r="IQ26" s="135" t="str">
        <f>VLOOKUP(RANK(IP26,$IP$10:$IP$109),Sheet1!$A$381:$B$480,2,FALSE)</f>
        <v>58th</v>
      </c>
      <c r="IR26" s="178"/>
      <c r="IS26" s="137"/>
      <c r="IT26" s="137"/>
      <c r="IU26" s="137"/>
      <c r="IV26" s="137"/>
      <c r="IW26" s="181"/>
      <c r="IX26" s="184"/>
      <c r="IY26" s="186"/>
      <c r="IZ26" s="186">
        <f t="shared" si="206"/>
        <v>0</v>
      </c>
      <c r="JA26" s="186" t="str">
        <f t="shared" si="124"/>
        <v>64</v>
      </c>
      <c r="JB26" s="186" t="str">
        <f t="shared" si="125"/>
        <v>67</v>
      </c>
      <c r="JC26" s="186">
        <f t="shared" si="207"/>
        <v>131</v>
      </c>
      <c r="JD26" s="186">
        <f t="shared" si="208"/>
        <v>43.6666666666667</v>
      </c>
      <c r="JE26" s="135" t="str">
        <f t="shared" si="126"/>
        <v>D</v>
      </c>
      <c r="JF26" s="151" t="str">
        <f>VLOOKUP(RANK(JD26,$JD$10:$JD$109),Sheet1!$A$381:$B$480,2,FALSE)</f>
        <v>55th</v>
      </c>
      <c r="JG26" s="186"/>
      <c r="JH26" s="186"/>
      <c r="JI26" s="186">
        <f t="shared" si="127"/>
        <v>0</v>
      </c>
      <c r="JJ26" s="186" t="str">
        <f t="shared" si="128"/>
        <v>54</v>
      </c>
      <c r="JK26" s="186" t="str">
        <f t="shared" si="129"/>
        <v>44</v>
      </c>
      <c r="JL26" s="186">
        <f t="shared" si="209"/>
        <v>98</v>
      </c>
      <c r="JM26" s="186">
        <f t="shared" si="210"/>
        <v>32.6666666666667</v>
      </c>
      <c r="JN26" s="135" t="str">
        <f t="shared" si="130"/>
        <v>F</v>
      </c>
      <c r="JO26" s="151" t="str">
        <f>VLOOKUP(RANK(JM26,$JM$10:$JM$109),Sheet1!$A$381:$B$480,2,FALSE)</f>
        <v>49th</v>
      </c>
      <c r="JP26" s="186"/>
      <c r="JQ26" s="186"/>
      <c r="JR26" s="186">
        <f t="shared" si="131"/>
        <v>0</v>
      </c>
      <c r="JS26" s="186" t="str">
        <f t="shared" si="132"/>
        <v>0</v>
      </c>
      <c r="JT26" s="186" t="str">
        <f t="shared" si="133"/>
        <v>52</v>
      </c>
      <c r="JU26" s="186">
        <f t="shared" si="211"/>
        <v>52</v>
      </c>
      <c r="JV26" s="186">
        <f t="shared" si="212"/>
        <v>17.3333333333333</v>
      </c>
      <c r="JW26" s="135" t="str">
        <f t="shared" si="134"/>
        <v>F</v>
      </c>
      <c r="JX26" s="151" t="str">
        <f>VLOOKUP(RANK(JV26,$JV$10:$JV$109),Sheet1!$A$381:$B$480,2,FALSE)</f>
        <v>97th</v>
      </c>
      <c r="JY26" s="186"/>
      <c r="JZ26" s="186"/>
      <c r="KA26" s="186">
        <f t="shared" si="135"/>
        <v>0</v>
      </c>
      <c r="KB26" s="186" t="str">
        <f t="shared" si="136"/>
        <v>51</v>
      </c>
      <c r="KC26" s="186" t="str">
        <f t="shared" si="137"/>
        <v>39</v>
      </c>
      <c r="KD26" s="186">
        <f t="shared" si="213"/>
        <v>90</v>
      </c>
      <c r="KE26" s="186">
        <f t="shared" si="214"/>
        <v>30</v>
      </c>
      <c r="KF26" s="135" t="str">
        <f t="shared" si="138"/>
        <v>F</v>
      </c>
      <c r="KG26" s="151" t="str">
        <f>VLOOKUP(RANK(KE26,$KE$10:$KE$109),Sheet1!$A$381:$B$480,2,FALSE)</f>
        <v>79th</v>
      </c>
      <c r="KH26" s="186"/>
      <c r="KI26" s="186"/>
      <c r="KJ26" s="186">
        <f t="shared" si="139"/>
        <v>0</v>
      </c>
      <c r="KK26" s="186" t="str">
        <f t="shared" si="140"/>
        <v>65</v>
      </c>
      <c r="KL26" s="186" t="str">
        <f t="shared" si="141"/>
        <v>46</v>
      </c>
      <c r="KM26" s="186">
        <f t="shared" si="215"/>
        <v>111</v>
      </c>
      <c r="KN26" s="186">
        <f t="shared" si="216"/>
        <v>37</v>
      </c>
      <c r="KO26" s="135" t="str">
        <f t="shared" si="142"/>
        <v>E</v>
      </c>
      <c r="KP26" s="151" t="str">
        <f>VLOOKUP(RANK(KN26,$KN$10:$KN$109),Sheet1!$A$381:$B$480,2,FALSE)</f>
        <v>48th</v>
      </c>
      <c r="KQ26" s="186"/>
      <c r="KR26" s="186"/>
      <c r="KS26" s="186">
        <f t="shared" si="143"/>
        <v>0</v>
      </c>
      <c r="KT26" s="186" t="str">
        <f t="shared" si="144"/>
        <v>0</v>
      </c>
      <c r="KU26" s="186" t="str">
        <f t="shared" si="145"/>
        <v>0</v>
      </c>
      <c r="KV26" s="186">
        <f t="shared" si="217"/>
        <v>0</v>
      </c>
      <c r="KW26" s="186">
        <f t="shared" si="218"/>
        <v>0</v>
      </c>
      <c r="KX26" s="135" t="str">
        <f t="shared" si="146"/>
        <v>F</v>
      </c>
      <c r="KY26" s="151" t="str">
        <f>VLOOKUP(RANK(KW26,$KW$10:$KW$109),Sheet1!$A$381:$B$480,2,FALSE)</f>
        <v>1st</v>
      </c>
      <c r="KZ26" s="186"/>
      <c r="LA26" s="186"/>
      <c r="LB26" s="186">
        <f t="shared" si="147"/>
        <v>0</v>
      </c>
      <c r="LC26" s="186" t="str">
        <f t="shared" si="148"/>
        <v>0</v>
      </c>
      <c r="LD26" s="186" t="str">
        <f t="shared" si="149"/>
        <v>0</v>
      </c>
      <c r="LE26" s="186">
        <f t="shared" si="219"/>
        <v>0</v>
      </c>
      <c r="LF26" s="186">
        <f t="shared" si="220"/>
        <v>0</v>
      </c>
      <c r="LG26" s="135" t="str">
        <f t="shared" si="150"/>
        <v>F</v>
      </c>
      <c r="LH26" s="151" t="str">
        <f>VLOOKUP(RANK(LF26,$LF$10:$LF$109),Sheet1!$A$381:$B$480,2,FALSE)</f>
        <v>1st</v>
      </c>
      <c r="LI26" s="186"/>
      <c r="LJ26" s="186"/>
      <c r="LK26" s="186">
        <f t="shared" si="151"/>
        <v>0</v>
      </c>
      <c r="LL26" s="186" t="str">
        <f t="shared" si="152"/>
        <v>60</v>
      </c>
      <c r="LM26" s="186" t="str">
        <f t="shared" si="153"/>
        <v>50</v>
      </c>
      <c r="LN26" s="186">
        <f t="shared" si="221"/>
        <v>110</v>
      </c>
      <c r="LO26" s="186">
        <f t="shared" si="222"/>
        <v>36.6666666666667</v>
      </c>
      <c r="LP26" s="135" t="str">
        <f t="shared" si="154"/>
        <v>E</v>
      </c>
      <c r="LQ26" s="151" t="str">
        <f>VLOOKUP(RANK(LO26,$LO$10:$LO$109),Sheet1!$A$381:$B$480,2,FALSE)</f>
        <v>23rd</v>
      </c>
      <c r="LR26" s="186"/>
      <c r="LS26" s="186"/>
      <c r="LT26" s="186">
        <f t="shared" si="155"/>
        <v>0</v>
      </c>
      <c r="LU26" s="186" t="str">
        <f t="shared" si="156"/>
        <v>58</v>
      </c>
      <c r="LV26" s="186" t="str">
        <f t="shared" si="157"/>
        <v>51</v>
      </c>
      <c r="LW26" s="186">
        <f t="shared" si="223"/>
        <v>109</v>
      </c>
      <c r="LX26" s="186">
        <f t="shared" si="224"/>
        <v>36.3333333333333</v>
      </c>
      <c r="LY26" s="135" t="str">
        <f t="shared" si="158"/>
        <v>E</v>
      </c>
      <c r="LZ26" s="151" t="str">
        <f>VLOOKUP(RANK(LX26,$LX$10:$LX$109),Sheet1!$A$381:$B$480,2,FALSE)</f>
        <v>39th</v>
      </c>
      <c r="MA26" s="186"/>
      <c r="MB26" s="186"/>
      <c r="MC26" s="186">
        <f t="shared" si="159"/>
        <v>0</v>
      </c>
      <c r="MD26" s="186" t="str">
        <f t="shared" si="160"/>
        <v>49</v>
      </c>
      <c r="ME26" s="186" t="str">
        <f t="shared" si="161"/>
        <v>40</v>
      </c>
      <c r="MF26" s="183">
        <f t="shared" si="225"/>
        <v>89</v>
      </c>
      <c r="MG26" s="151">
        <f t="shared" si="226"/>
        <v>29.6666666666667</v>
      </c>
      <c r="MH26" s="135" t="str">
        <f t="shared" si="162"/>
        <v>F</v>
      </c>
      <c r="MI26" s="151" t="str">
        <f>VLOOKUP(RANK(MG26,$MG$10:$MG$109),Sheet1!$A$381:$B$480,2,FALSE)</f>
        <v>29th</v>
      </c>
      <c r="MJ26" s="186"/>
      <c r="MK26" s="186"/>
      <c r="ML26" s="186">
        <f t="shared" si="163"/>
        <v>0</v>
      </c>
      <c r="MM26" s="186" t="str">
        <f t="shared" si="164"/>
        <v>53</v>
      </c>
      <c r="MN26" s="186" t="str">
        <f t="shared" si="165"/>
        <v>40</v>
      </c>
      <c r="MO26" s="186">
        <f t="shared" si="227"/>
        <v>93</v>
      </c>
      <c r="MP26" s="186">
        <f t="shared" si="228"/>
        <v>31</v>
      </c>
      <c r="MQ26" s="135" t="str">
        <f t="shared" si="166"/>
        <v>F</v>
      </c>
      <c r="MR26" s="151" t="str">
        <f>VLOOKUP(RANK(MP26,$MP$10:$MP$109),Sheet1!$A$381:$B$480,2,FALSE)</f>
        <v>74th</v>
      </c>
      <c r="MS26" s="186"/>
      <c r="MT26" s="186"/>
      <c r="MU26" s="186">
        <f t="shared" si="167"/>
        <v>0</v>
      </c>
      <c r="MV26" s="186" t="str">
        <f t="shared" si="168"/>
        <v>41</v>
      </c>
      <c r="MW26" s="186" t="str">
        <f t="shared" si="169"/>
        <v>58</v>
      </c>
      <c r="MX26" s="186">
        <f t="shared" si="229"/>
        <v>99</v>
      </c>
      <c r="MY26" s="186">
        <f t="shared" si="230"/>
        <v>33</v>
      </c>
      <c r="MZ26" s="135" t="str">
        <f t="shared" si="170"/>
        <v>F</v>
      </c>
      <c r="NA26" s="151" t="str">
        <f>VLOOKUP(RANK(MY26,$MY$10:$MY$109),Sheet1!$A$381:$B$480,2,FALSE)</f>
        <v>50th</v>
      </c>
      <c r="NB26" s="186"/>
      <c r="NC26" s="186"/>
      <c r="ND26" s="186">
        <f t="shared" si="171"/>
        <v>0</v>
      </c>
      <c r="NE26" s="186" t="str">
        <f t="shared" si="172"/>
        <v>36</v>
      </c>
      <c r="NF26" s="186" t="str">
        <f t="shared" si="173"/>
        <v>46</v>
      </c>
      <c r="NG26" s="186">
        <f t="shared" si="231"/>
        <v>82</v>
      </c>
      <c r="NH26" s="186">
        <f t="shared" si="232"/>
        <v>27.3333333333333</v>
      </c>
      <c r="NI26" s="135" t="str">
        <f t="shared" si="174"/>
        <v>F</v>
      </c>
      <c r="NJ26" s="151" t="str">
        <f>VLOOKUP(RANK(NH26,$NH$10:$NH$109),Sheet1!$A$381:$B$480,2,FALSE)</f>
        <v>53rd</v>
      </c>
      <c r="NK26" s="186"/>
      <c r="NL26" s="186"/>
      <c r="NM26" s="186">
        <f t="shared" si="175"/>
        <v>0</v>
      </c>
      <c r="NN26" s="186" t="str">
        <f t="shared" si="176"/>
        <v>45</v>
      </c>
      <c r="NO26" s="186" t="str">
        <f t="shared" si="177"/>
        <v>63</v>
      </c>
      <c r="NP26" s="186">
        <f t="shared" si="233"/>
        <v>108</v>
      </c>
      <c r="NQ26" s="186">
        <f t="shared" si="178"/>
        <v>36</v>
      </c>
      <c r="NR26" s="135" t="str">
        <f t="shared" si="179"/>
        <v>E</v>
      </c>
      <c r="NS26" s="151" t="str">
        <f>VLOOKUP(RANK(NQ26,$NQ$10:$NQ$109),Sheet1!$A$381:$B$480,2,FALSE)</f>
        <v>88th</v>
      </c>
      <c r="NT26" s="186"/>
      <c r="NU26" s="186"/>
      <c r="NV26" s="186">
        <f t="shared" si="180"/>
        <v>0</v>
      </c>
      <c r="NW26" s="186" t="str">
        <f t="shared" si="181"/>
        <v>0</v>
      </c>
      <c r="NX26" s="186" t="str">
        <f t="shared" si="182"/>
        <v>0</v>
      </c>
      <c r="NY26" s="186">
        <f t="shared" si="234"/>
        <v>0</v>
      </c>
      <c r="NZ26" s="186">
        <f t="shared" si="183"/>
        <v>0</v>
      </c>
      <c r="OA26" s="135" t="str">
        <f t="shared" si="184"/>
        <v>F</v>
      </c>
      <c r="OB26" s="151" t="str">
        <f>VLOOKUP(RANK(NZ26,$NZ$10:$NZ$109),Sheet1!$A$381:$B$480,2,FALSE)</f>
        <v>1st</v>
      </c>
      <c r="OC26" s="186"/>
      <c r="OD26" s="186"/>
      <c r="OE26" s="186">
        <f t="shared" si="185"/>
        <v>0</v>
      </c>
      <c r="OF26" s="186" t="str">
        <f t="shared" si="186"/>
        <v>0</v>
      </c>
      <c r="OG26" s="186" t="str">
        <f t="shared" si="187"/>
        <v>0</v>
      </c>
      <c r="OH26" s="186">
        <f t="shared" si="235"/>
        <v>0</v>
      </c>
      <c r="OI26" s="186">
        <f t="shared" si="236"/>
        <v>0</v>
      </c>
      <c r="OJ26" s="135" t="str">
        <f t="shared" si="188"/>
        <v>F</v>
      </c>
      <c r="OK26" s="151" t="str">
        <f>VLOOKUP(RANK(OI26,$OI$10:$OI$109),Sheet1!$A$381:$B$480,2,FALSE)</f>
        <v>1st</v>
      </c>
      <c r="OL26" s="151"/>
      <c r="OM26" s="151"/>
      <c r="ON26" s="151">
        <f t="shared" si="237"/>
        <v>0</v>
      </c>
      <c r="OO26" s="151" t="str">
        <f t="shared" si="238"/>
        <v>0</v>
      </c>
      <c r="OP26" s="151" t="str">
        <f t="shared" si="239"/>
        <v>0</v>
      </c>
      <c r="OQ26" s="151">
        <f t="shared" si="240"/>
        <v>0</v>
      </c>
      <c r="OR26" s="151">
        <f t="shared" si="241"/>
        <v>0</v>
      </c>
      <c r="OS26" s="135" t="str">
        <f t="shared" si="189"/>
        <v>F</v>
      </c>
      <c r="OT26" s="151" t="str">
        <f>VLOOKUP(RANK(OR26,$OI$10:$OI$109),Sheet1!$A$381:$B$480,2,FALSE)</f>
        <v>1st</v>
      </c>
      <c r="OU26" s="151">
        <f t="shared" si="242"/>
        <v>390.66666666666703</v>
      </c>
      <c r="OV26" s="151">
        <f t="shared" si="243"/>
        <v>22.980392156862699</v>
      </c>
      <c r="OW26" s="151" t="str">
        <f>VLOOKUP(RANK(OV26,$OV$10:$OV$109),Sheet1!$A$381:$B$480,2,FALSE)</f>
        <v>59th</v>
      </c>
      <c r="OX26" s="151"/>
      <c r="OY26" s="186"/>
      <c r="OZ26" s="186"/>
      <c r="PA26" s="186"/>
      <c r="PB26" s="186"/>
    </row>
    <row r="27" spans="1:418" s="118" customFormat="1" ht="18.75">
      <c r="A27" s="131">
        <v>18</v>
      </c>
      <c r="B27" s="132" t="s">
        <v>115</v>
      </c>
      <c r="C27" s="133" t="s">
        <v>97</v>
      </c>
      <c r="D27" s="134">
        <v>31</v>
      </c>
      <c r="E27" s="134">
        <v>33</v>
      </c>
      <c r="F27" s="137">
        <f t="shared" si="0"/>
        <v>64</v>
      </c>
      <c r="G27" s="137">
        <f t="shared" si="1"/>
        <v>64</v>
      </c>
      <c r="H27" s="135" t="str">
        <f t="shared" si="190"/>
        <v>B</v>
      </c>
      <c r="I27" s="135" t="str">
        <f>VLOOKUP(RANK(G27,$G$10:$G$109),Sheet1!$A$381:$B$480,2,FALSE)</f>
        <v>67th</v>
      </c>
      <c r="J27" s="134">
        <v>28</v>
      </c>
      <c r="K27" s="134">
        <v>25</v>
      </c>
      <c r="L27" s="137">
        <f t="shared" si="2"/>
        <v>53</v>
      </c>
      <c r="M27" s="137">
        <f t="shared" si="3"/>
        <v>53</v>
      </c>
      <c r="N27" s="135" t="str">
        <f t="shared" si="4"/>
        <v>C</v>
      </c>
      <c r="O27" s="141" t="str">
        <f>VLOOKUP(RANK(M27,$M$10:$M$109),Sheet1!$A$381:$B$480,2,FALSE)</f>
        <v>45th</v>
      </c>
      <c r="P27" s="142">
        <v>28</v>
      </c>
      <c r="Q27" s="145">
        <v>2</v>
      </c>
      <c r="R27" s="147">
        <f t="shared" si="5"/>
        <v>30</v>
      </c>
      <c r="S27" s="137">
        <f t="shared" si="6"/>
        <v>30</v>
      </c>
      <c r="T27" s="135" t="str">
        <f t="shared" si="7"/>
        <v>F</v>
      </c>
      <c r="U27" s="135" t="str">
        <f>VLOOKUP(RANK(S27,$S$10:$S$109),Sheet1!$A$381:$B$480,2,FALSE)</f>
        <v>80th</v>
      </c>
      <c r="V27" s="134">
        <v>31</v>
      </c>
      <c r="W27" s="134">
        <v>20</v>
      </c>
      <c r="X27" s="137">
        <f t="shared" si="191"/>
        <v>51</v>
      </c>
      <c r="Y27" s="137">
        <f t="shared" si="244"/>
        <v>51</v>
      </c>
      <c r="Z27" s="135" t="str">
        <f t="shared" si="8"/>
        <v>C</v>
      </c>
      <c r="AA27" s="135" t="str">
        <f>VLOOKUP(RANK(Y27,$Y$10:$Y$109),Sheet1!$A$381:$B$480,2,FALSE)</f>
        <v>54th</v>
      </c>
      <c r="AB27" s="134">
        <v>29</v>
      </c>
      <c r="AC27" s="134">
        <v>23</v>
      </c>
      <c r="AD27" s="137">
        <f t="shared" si="9"/>
        <v>52</v>
      </c>
      <c r="AE27" s="137">
        <f t="shared" si="10"/>
        <v>52</v>
      </c>
      <c r="AF27" s="135" t="str">
        <f t="shared" si="11"/>
        <v>C</v>
      </c>
      <c r="AG27" s="135" t="str">
        <f>VLOOKUP(RANK(AE27,$AE$10:$AE$109),Sheet1!$A$381:$B$480,2,FALSE)</f>
        <v>64th</v>
      </c>
      <c r="AH27" s="137"/>
      <c r="AI27" s="137"/>
      <c r="AJ27" s="137">
        <f t="shared" si="12"/>
        <v>0</v>
      </c>
      <c r="AK27" s="137">
        <f t="shared" si="13"/>
        <v>0</v>
      </c>
      <c r="AL27" s="135" t="str">
        <f t="shared" si="14"/>
        <v>F</v>
      </c>
      <c r="AM27" s="135" t="str">
        <f>VLOOKUP(RANK(AK27,$AK$10:$AK$109),Sheet1!$A$381:$B$480,2,FALSE)</f>
        <v>1st</v>
      </c>
      <c r="AN27" s="134"/>
      <c r="AO27" s="134"/>
      <c r="AP27" s="137">
        <f t="shared" si="15"/>
        <v>0</v>
      </c>
      <c r="AQ27" s="137">
        <f t="shared" si="16"/>
        <v>0</v>
      </c>
      <c r="AR27" s="135" t="str">
        <f t="shared" si="17"/>
        <v>F</v>
      </c>
      <c r="AS27" s="135" t="str">
        <f>VLOOKUP(RANK(AQ27,$AQ$10:$AQ$109),Sheet1!$A$381:$B$480,2,FALSE)</f>
        <v>1st</v>
      </c>
      <c r="AT27" s="142">
        <v>24</v>
      </c>
      <c r="AU27" s="145">
        <v>26</v>
      </c>
      <c r="AV27" s="137">
        <f t="shared" si="18"/>
        <v>50</v>
      </c>
      <c r="AW27" s="137">
        <f t="shared" si="19"/>
        <v>50</v>
      </c>
      <c r="AX27" s="135" t="str">
        <f t="shared" si="20"/>
        <v>C</v>
      </c>
      <c r="AY27" s="141" t="str">
        <f>VLOOKUP(RANK(AW27,$AW$10:$AW$109),Sheet1!$A$381:$B$480,2,FALSE)</f>
        <v>58th</v>
      </c>
      <c r="AZ27" s="142">
        <v>34</v>
      </c>
      <c r="BA27" s="145">
        <v>28</v>
      </c>
      <c r="BB27" s="147">
        <f t="shared" si="21"/>
        <v>62</v>
      </c>
      <c r="BC27" s="137">
        <f t="shared" si="22"/>
        <v>62</v>
      </c>
      <c r="BD27" s="135" t="str">
        <f t="shared" si="23"/>
        <v>B</v>
      </c>
      <c r="BE27" s="135" t="str">
        <f>VLOOKUP(RANK(BC27,$BC$10:$BC$109),Sheet1!$A$381:$B$480,2,FALSE)</f>
        <v>25th</v>
      </c>
      <c r="BF27" s="142">
        <v>12</v>
      </c>
      <c r="BG27" s="145">
        <v>24</v>
      </c>
      <c r="BH27" s="137">
        <f t="shared" si="24"/>
        <v>36</v>
      </c>
      <c r="BI27" s="137">
        <f t="shared" si="25"/>
        <v>36</v>
      </c>
      <c r="BJ27" s="135" t="str">
        <f t="shared" si="26"/>
        <v>E</v>
      </c>
      <c r="BK27" s="141" t="str">
        <f>VLOOKUP(RANK(BI27,$BI$10:$BI$109),Sheet1!$A$381:$B$480,2,FALSE)</f>
        <v>45th</v>
      </c>
      <c r="BL27" s="148">
        <v>27</v>
      </c>
      <c r="BM27" s="150">
        <v>23</v>
      </c>
      <c r="BN27" s="147">
        <f t="shared" si="27"/>
        <v>50</v>
      </c>
      <c r="BO27" s="137">
        <f t="shared" si="28"/>
        <v>50</v>
      </c>
      <c r="BP27" s="135" t="str">
        <f t="shared" si="29"/>
        <v>C</v>
      </c>
      <c r="BQ27" s="141" t="str">
        <f>VLOOKUP(RANK(BO27,$BO$10:$BO$109),Sheet1!$A$381:$B$480,2,FALSE)</f>
        <v>85th</v>
      </c>
      <c r="BR27" s="148">
        <v>28</v>
      </c>
      <c r="BS27" s="150">
        <v>36</v>
      </c>
      <c r="BT27" s="147">
        <f t="shared" si="30"/>
        <v>64</v>
      </c>
      <c r="BU27" s="137">
        <f t="shared" si="31"/>
        <v>64</v>
      </c>
      <c r="BV27" s="135" t="str">
        <f t="shared" si="32"/>
        <v>B</v>
      </c>
      <c r="BW27" s="135" t="str">
        <f>VLOOKUP(RANK(BU27,$BU$10:$BU$109),Sheet1!$A$381:$B$480,2,FALSE)</f>
        <v>19th</v>
      </c>
      <c r="BX27" s="148">
        <v>32</v>
      </c>
      <c r="BY27" s="150">
        <v>10</v>
      </c>
      <c r="BZ27" s="137">
        <f t="shared" si="33"/>
        <v>42</v>
      </c>
      <c r="CA27" s="137">
        <f t="shared" si="34"/>
        <v>42</v>
      </c>
      <c r="CB27" s="135" t="str">
        <f t="shared" si="35"/>
        <v>D</v>
      </c>
      <c r="CC27" s="135" t="str">
        <f>VLOOKUP(RANK(CA27,$CA$10:$CA$109),Sheet1!$A$381:$B$480,2,FALSE)</f>
        <v>32nd</v>
      </c>
      <c r="CD27" s="148">
        <v>25</v>
      </c>
      <c r="CE27" s="150">
        <v>30</v>
      </c>
      <c r="CF27" s="137">
        <f t="shared" si="36"/>
        <v>55</v>
      </c>
      <c r="CG27" s="137">
        <f t="shared" si="37"/>
        <v>55</v>
      </c>
      <c r="CH27" s="135" t="str">
        <f t="shared" si="38"/>
        <v>C</v>
      </c>
      <c r="CI27" s="135" t="str">
        <f>VLOOKUP(RANK(CG27,$CG$10:$CG$109),Sheet1!$A$381:$B$480,2,FALSE)</f>
        <v>46th</v>
      </c>
      <c r="CJ27" s="137"/>
      <c r="CK27" s="137"/>
      <c r="CL27" s="137">
        <f t="shared" si="39"/>
        <v>0</v>
      </c>
      <c r="CM27" s="137">
        <f t="shared" si="40"/>
        <v>0</v>
      </c>
      <c r="CN27" s="135" t="str">
        <f t="shared" si="41"/>
        <v>F</v>
      </c>
      <c r="CO27" s="135" t="str">
        <f>VLOOKUP(RANK(CM27,$CM$10:$CM$109),Sheet1!$A$381:$B$480,2,FALSE)</f>
        <v>1st</v>
      </c>
      <c r="CP27" s="137"/>
      <c r="CQ27" s="137"/>
      <c r="CR27" s="137">
        <f t="shared" si="42"/>
        <v>0</v>
      </c>
      <c r="CS27" s="137">
        <f t="shared" si="43"/>
        <v>0</v>
      </c>
      <c r="CT27" s="135" t="str">
        <f t="shared" si="44"/>
        <v>F</v>
      </c>
      <c r="CU27" s="135" t="str">
        <f>VLOOKUP(RANK(CS27,$CS$10:$CS$109),Sheet1!$A$381:$B$480,2,FALSE)</f>
        <v>1st</v>
      </c>
      <c r="CV27" s="151"/>
      <c r="CW27" s="135"/>
      <c r="CX27" s="151">
        <f t="shared" si="192"/>
        <v>0</v>
      </c>
      <c r="CY27" s="151">
        <f t="shared" si="193"/>
        <v>0</v>
      </c>
      <c r="CZ27" s="135" t="str">
        <f t="shared" si="45"/>
        <v>F</v>
      </c>
      <c r="DA27" s="135" t="str">
        <f>VLOOKUP(RANK(CY27,$CY$10:$CY$109),Sheet1!$A$381:$B$480,2,FALSE)</f>
        <v>1st</v>
      </c>
      <c r="DB27" s="135"/>
      <c r="DC27" s="151">
        <f t="shared" si="194"/>
        <v>609</v>
      </c>
      <c r="DD27" s="151">
        <f t="shared" si="195"/>
        <v>35.823529411764703</v>
      </c>
      <c r="DE27" s="135" t="str">
        <f>VLOOKUP(RANK(DD27,$DD$10:$DD$109),Sheet1!$A$381:$B$480,2,FALSE)</f>
        <v>52nd</v>
      </c>
      <c r="DF27" s="137"/>
      <c r="DG27" s="160">
        <f t="shared" si="46"/>
        <v>644.82352941176498</v>
      </c>
      <c r="DH27" s="119"/>
      <c r="DI27" s="162">
        <v>24</v>
      </c>
      <c r="DJ27" s="162">
        <v>52</v>
      </c>
      <c r="DK27" s="137">
        <f t="shared" si="47"/>
        <v>76</v>
      </c>
      <c r="DL27" s="137" t="str">
        <f t="shared" si="48"/>
        <v>64</v>
      </c>
      <c r="DM27" s="137">
        <f t="shared" si="49"/>
        <v>140</v>
      </c>
      <c r="DN27" s="137">
        <f t="shared" si="50"/>
        <v>70</v>
      </c>
      <c r="DO27" s="135" t="str">
        <f t="shared" si="51"/>
        <v>B</v>
      </c>
      <c r="DP27" s="135" t="str">
        <f>VLOOKUP(RANK(DN27,$DN$10:$DN$109),Sheet1!$A$381:$B$480,2,FALSE)</f>
        <v>40th</v>
      </c>
      <c r="DQ27" s="164">
        <v>21</v>
      </c>
      <c r="DR27" s="165">
        <v>22</v>
      </c>
      <c r="DS27" s="137">
        <f t="shared" si="52"/>
        <v>43</v>
      </c>
      <c r="DT27" s="137" t="str">
        <f t="shared" si="53"/>
        <v>53</v>
      </c>
      <c r="DU27" s="137">
        <f t="shared" si="54"/>
        <v>96</v>
      </c>
      <c r="DV27" s="137">
        <f t="shared" si="55"/>
        <v>48</v>
      </c>
      <c r="DW27" s="135" t="str">
        <f t="shared" si="56"/>
        <v>D</v>
      </c>
      <c r="DX27" s="135" t="str">
        <f>VLOOKUP(RANK(DV27,$DV$10:$DV$109),Sheet1!$A$381:$B$480,2,FALSE)</f>
        <v>57th</v>
      </c>
      <c r="DY27" s="167">
        <v>20</v>
      </c>
      <c r="DZ27" s="165">
        <v>24</v>
      </c>
      <c r="EA27" s="137">
        <f t="shared" si="57"/>
        <v>44</v>
      </c>
      <c r="EB27" s="137" t="str">
        <f t="shared" si="58"/>
        <v>30</v>
      </c>
      <c r="EC27" s="137">
        <f t="shared" si="59"/>
        <v>74</v>
      </c>
      <c r="ED27" s="137">
        <f t="shared" si="60"/>
        <v>37</v>
      </c>
      <c r="EE27" s="135" t="str">
        <f t="shared" si="61"/>
        <v>E</v>
      </c>
      <c r="EF27" s="135" t="str">
        <f>VLOOKUP(RANK(ED27,$ED$10:$ED$109),Sheet1!$A$381:$B$480,2,FALSE)</f>
        <v>76th</v>
      </c>
      <c r="EG27" s="162">
        <v>17</v>
      </c>
      <c r="EH27" s="162">
        <v>31</v>
      </c>
      <c r="EI27" s="137">
        <f t="shared" si="62"/>
        <v>48</v>
      </c>
      <c r="EJ27" s="137" t="str">
        <f t="shared" si="63"/>
        <v>51</v>
      </c>
      <c r="EK27" s="137">
        <f t="shared" si="64"/>
        <v>99</v>
      </c>
      <c r="EL27" s="137">
        <f t="shared" si="65"/>
        <v>49.5</v>
      </c>
      <c r="EM27" s="135" t="str">
        <f t="shared" si="66"/>
        <v>D</v>
      </c>
      <c r="EN27" s="135" t="str">
        <f>VLOOKUP(RANK(EL27,$EL$10:$EL$109),Sheet1!$A$381:$B$480,2,FALSE)</f>
        <v>64th</v>
      </c>
      <c r="EO27" s="162">
        <v>29</v>
      </c>
      <c r="EP27" s="162">
        <v>19</v>
      </c>
      <c r="EQ27" s="137">
        <f t="shared" si="67"/>
        <v>48</v>
      </c>
      <c r="ER27" s="137" t="str">
        <f t="shared" si="68"/>
        <v>52</v>
      </c>
      <c r="ES27" s="137">
        <f t="shared" si="69"/>
        <v>100</v>
      </c>
      <c r="ET27" s="137">
        <f t="shared" si="70"/>
        <v>50</v>
      </c>
      <c r="EU27" s="135" t="str">
        <f t="shared" si="71"/>
        <v>C</v>
      </c>
      <c r="EV27" s="135" t="str">
        <f>VLOOKUP(RANK(ET27,$ET$10:$ET$109),Sheet1!$A$381:$B$480,2,FALSE)</f>
        <v>60th</v>
      </c>
      <c r="EW27" s="137"/>
      <c r="EX27" s="137"/>
      <c r="EY27" s="137">
        <f t="shared" si="72"/>
        <v>0</v>
      </c>
      <c r="EZ27" s="137" t="str">
        <f t="shared" si="73"/>
        <v>0</v>
      </c>
      <c r="FA27" s="137">
        <f t="shared" si="74"/>
        <v>0</v>
      </c>
      <c r="FB27" s="137">
        <f t="shared" si="75"/>
        <v>0</v>
      </c>
      <c r="FC27" s="135" t="str">
        <f t="shared" si="76"/>
        <v>F</v>
      </c>
      <c r="FD27" s="135" t="str">
        <f>VLOOKUP(RANK(FB27,$FB$10:$FB$109),Sheet1!$A$381:$B$480,2,FALSE)</f>
        <v>1st</v>
      </c>
      <c r="FE27" s="137"/>
      <c r="FF27" s="137"/>
      <c r="FG27" s="137">
        <f t="shared" si="77"/>
        <v>0</v>
      </c>
      <c r="FH27" s="137" t="str">
        <f t="shared" si="78"/>
        <v>0</v>
      </c>
      <c r="FI27" s="137">
        <f t="shared" si="79"/>
        <v>0</v>
      </c>
      <c r="FJ27" s="137">
        <f t="shared" si="80"/>
        <v>0</v>
      </c>
      <c r="FK27" s="135" t="str">
        <f t="shared" si="81"/>
        <v>F</v>
      </c>
      <c r="FL27" s="135" t="str">
        <f>VLOOKUP(RANK(FJ27,$FJ$10:$FJ$109),Sheet1!$A$381:$B$480,2,FALSE)</f>
        <v>1st</v>
      </c>
      <c r="FM27" s="164">
        <v>28</v>
      </c>
      <c r="FN27" s="165">
        <v>22</v>
      </c>
      <c r="FO27" s="137">
        <f t="shared" si="82"/>
        <v>50</v>
      </c>
      <c r="FP27" s="137" t="str">
        <f t="shared" si="83"/>
        <v>50</v>
      </c>
      <c r="FQ27" s="137">
        <f t="shared" si="84"/>
        <v>100</v>
      </c>
      <c r="FR27" s="137">
        <f t="shared" si="85"/>
        <v>50</v>
      </c>
      <c r="FS27" s="135" t="str">
        <f t="shared" si="86"/>
        <v>C</v>
      </c>
      <c r="FT27" s="135" t="str">
        <f>VLOOKUP(RANK(FR27,$FR$10:$FR$109),Sheet1!$A$381:$B$480,2,FALSE)</f>
        <v>77th</v>
      </c>
      <c r="FU27" s="148">
        <v>0</v>
      </c>
      <c r="FV27" s="150">
        <v>15</v>
      </c>
      <c r="FW27" s="137">
        <f t="shared" si="87"/>
        <v>15</v>
      </c>
      <c r="FX27" s="137" t="str">
        <f t="shared" si="88"/>
        <v>62</v>
      </c>
      <c r="FY27" s="137">
        <f t="shared" si="196"/>
        <v>15</v>
      </c>
      <c r="FZ27" s="137">
        <f t="shared" si="89"/>
        <v>7.5</v>
      </c>
      <c r="GA27" s="135" t="str">
        <f t="shared" si="90"/>
        <v>F</v>
      </c>
      <c r="GB27" s="135" t="str">
        <f>VLOOKUP(RANK(FZ27,$FZ$10:$FZ$109),Sheet1!$A$381:$B$480,2,FALSE)</f>
        <v>94th</v>
      </c>
      <c r="GC27" s="164">
        <v>3</v>
      </c>
      <c r="GD27" s="165">
        <v>27</v>
      </c>
      <c r="GE27" s="137">
        <f t="shared" si="91"/>
        <v>30</v>
      </c>
      <c r="GF27" s="137" t="str">
        <f t="shared" si="92"/>
        <v>36</v>
      </c>
      <c r="GG27" s="135">
        <f t="shared" si="197"/>
        <v>66</v>
      </c>
      <c r="GH27" s="137">
        <f t="shared" si="198"/>
        <v>33</v>
      </c>
      <c r="GI27" s="135" t="str">
        <f t="shared" si="93"/>
        <v>F</v>
      </c>
      <c r="GJ27" s="135" t="str">
        <f>VLOOKUP(RANK(GH27,$GH$10:$GH$109),Sheet1!$A$381:$B$480,2,FALSE)</f>
        <v>67th</v>
      </c>
      <c r="GK27" s="164">
        <v>27</v>
      </c>
      <c r="GL27" s="165">
        <v>18</v>
      </c>
      <c r="GM27" s="137">
        <f t="shared" si="94"/>
        <v>45</v>
      </c>
      <c r="GN27" s="137" t="str">
        <f t="shared" si="95"/>
        <v>50</v>
      </c>
      <c r="GO27" s="135">
        <f t="shared" si="199"/>
        <v>95</v>
      </c>
      <c r="GP27" s="137">
        <f t="shared" si="96"/>
        <v>47.5</v>
      </c>
      <c r="GQ27" s="135" t="str">
        <f t="shared" si="97"/>
        <v>D</v>
      </c>
      <c r="GR27" s="135" t="str">
        <f>VLOOKUP(RANK(GP27,$GP$10:$GP$109),Sheet1!$A$381:$B$480,2,FALSE)</f>
        <v>61st</v>
      </c>
      <c r="GS27" s="164">
        <v>20</v>
      </c>
      <c r="GT27" s="165">
        <v>27</v>
      </c>
      <c r="GU27" s="137">
        <f t="shared" si="98"/>
        <v>47</v>
      </c>
      <c r="GV27" s="137" t="str">
        <f t="shared" si="99"/>
        <v>64</v>
      </c>
      <c r="GW27" s="137">
        <f t="shared" si="100"/>
        <v>111</v>
      </c>
      <c r="GX27" s="137">
        <f t="shared" si="101"/>
        <v>55.5</v>
      </c>
      <c r="GY27" s="135" t="str">
        <f t="shared" si="102"/>
        <v>C</v>
      </c>
      <c r="GZ27" s="135" t="str">
        <f>VLOOKUP(RANK(GX27,$GX$10:$GX$109),Sheet1!$A$381:$B$480,2,FALSE)</f>
        <v>35th</v>
      </c>
      <c r="HA27" s="164">
        <v>29</v>
      </c>
      <c r="HB27" s="165">
        <v>10</v>
      </c>
      <c r="HC27" s="137">
        <f t="shared" si="103"/>
        <v>39</v>
      </c>
      <c r="HD27" s="137" t="str">
        <f t="shared" si="104"/>
        <v>42</v>
      </c>
      <c r="HE27" s="137">
        <f t="shared" si="105"/>
        <v>81</v>
      </c>
      <c r="HF27" s="137">
        <f t="shared" si="106"/>
        <v>40.5</v>
      </c>
      <c r="HG27" s="135" t="str">
        <f t="shared" si="107"/>
        <v>D</v>
      </c>
      <c r="HH27" s="135" t="str">
        <f>VLOOKUP(RANK(HF27,$HF$10:$HF$109),Sheet1!$A$381:$B$480,2,FALSE)</f>
        <v>57th</v>
      </c>
      <c r="HI27" s="148">
        <v>26</v>
      </c>
      <c r="HJ27" s="150">
        <v>45</v>
      </c>
      <c r="HK27" s="137">
        <f t="shared" si="108"/>
        <v>71</v>
      </c>
      <c r="HL27" s="137" t="str">
        <f t="shared" si="109"/>
        <v>55</v>
      </c>
      <c r="HM27" s="137">
        <f t="shared" si="110"/>
        <v>126</v>
      </c>
      <c r="HN27" s="137">
        <f t="shared" si="111"/>
        <v>63</v>
      </c>
      <c r="HO27" s="135" t="str">
        <f t="shared" si="112"/>
        <v>B</v>
      </c>
      <c r="HP27" s="135" t="str">
        <f>VLOOKUP(RANK(HN27,$HN$10:$HN$109),Sheet1!$A$381:$B$480,2,FALSE)</f>
        <v>57th</v>
      </c>
      <c r="HQ27" s="137"/>
      <c r="HR27" s="137"/>
      <c r="HS27" s="137">
        <f t="shared" si="113"/>
        <v>0</v>
      </c>
      <c r="HT27" s="137" t="str">
        <f t="shared" si="114"/>
        <v>0</v>
      </c>
      <c r="HU27" s="137">
        <f t="shared" si="115"/>
        <v>0</v>
      </c>
      <c r="HV27" s="137">
        <f t="shared" si="116"/>
        <v>0</v>
      </c>
      <c r="HW27" s="135" t="str">
        <f t="shared" si="117"/>
        <v>F</v>
      </c>
      <c r="HX27" s="135" t="str">
        <f>VLOOKUP(RANK(HV27,$HV$10:$HV$109),Sheet1!$A$381:$B$480,2,FALSE)</f>
        <v>1st</v>
      </c>
      <c r="HY27" s="137"/>
      <c r="HZ27" s="137"/>
      <c r="IA27" s="137">
        <f t="shared" si="118"/>
        <v>0</v>
      </c>
      <c r="IB27" s="137" t="str">
        <f t="shared" si="119"/>
        <v>0</v>
      </c>
      <c r="IC27" s="137">
        <f t="shared" si="120"/>
        <v>0</v>
      </c>
      <c r="ID27" s="137">
        <f t="shared" si="121"/>
        <v>0</v>
      </c>
      <c r="IE27" s="135" t="str">
        <f t="shared" si="122"/>
        <v>F</v>
      </c>
      <c r="IF27" s="135" t="str">
        <f>VLOOKUP(RANK(ID27,$ID$10:$ID$109),Sheet1!$A$381:$B$480,2,FALSE)</f>
        <v>1st</v>
      </c>
      <c r="IG27" s="135"/>
      <c r="IH27" s="135"/>
      <c r="II27" s="135">
        <f t="shared" si="200"/>
        <v>0</v>
      </c>
      <c r="IJ27" s="135" t="str">
        <f t="shared" si="201"/>
        <v>0</v>
      </c>
      <c r="IK27" s="135">
        <f t="shared" si="202"/>
        <v>0</v>
      </c>
      <c r="IL27" s="135">
        <f t="shared" si="203"/>
        <v>0</v>
      </c>
      <c r="IM27" s="135" t="str">
        <f t="shared" si="123"/>
        <v>F</v>
      </c>
      <c r="IN27" s="135" t="str">
        <f>VLOOKUP(RANK(IL27,$IL$10:$IL$109),Sheet1!$A$381:$B$480,2,FALSE)</f>
        <v>1st</v>
      </c>
      <c r="IO27" s="135">
        <f t="shared" si="204"/>
        <v>551.5</v>
      </c>
      <c r="IP27" s="177">
        <f t="shared" si="205"/>
        <v>32.441176470588204</v>
      </c>
      <c r="IQ27" s="135" t="str">
        <f>VLOOKUP(RANK(IP27,$IP$10:$IP$109),Sheet1!$A$381:$B$480,2,FALSE)</f>
        <v>60th</v>
      </c>
      <c r="IR27" s="178"/>
      <c r="IS27" s="137"/>
      <c r="IT27" s="137"/>
      <c r="IU27" s="137"/>
      <c r="IV27" s="137"/>
      <c r="IW27" s="181"/>
      <c r="IX27" s="184"/>
      <c r="IY27" s="186"/>
      <c r="IZ27" s="186">
        <f t="shared" si="206"/>
        <v>0</v>
      </c>
      <c r="JA27" s="186" t="str">
        <f t="shared" si="124"/>
        <v>64</v>
      </c>
      <c r="JB27" s="186" t="str">
        <f t="shared" si="125"/>
        <v>76</v>
      </c>
      <c r="JC27" s="186">
        <f t="shared" si="207"/>
        <v>140</v>
      </c>
      <c r="JD27" s="186">
        <f t="shared" si="208"/>
        <v>46.6666666666667</v>
      </c>
      <c r="JE27" s="135" t="str">
        <f t="shared" si="126"/>
        <v>D</v>
      </c>
      <c r="JF27" s="151" t="str">
        <f>VLOOKUP(RANK(JD27,$JD$10:$JD$109),Sheet1!$A$381:$B$480,2,FALSE)</f>
        <v>40th</v>
      </c>
      <c r="JG27" s="186"/>
      <c r="JH27" s="186"/>
      <c r="JI27" s="186">
        <f t="shared" si="127"/>
        <v>0</v>
      </c>
      <c r="JJ27" s="186" t="str">
        <f t="shared" si="128"/>
        <v>53</v>
      </c>
      <c r="JK27" s="186" t="str">
        <f t="shared" si="129"/>
        <v>43</v>
      </c>
      <c r="JL27" s="186">
        <f t="shared" si="209"/>
        <v>96</v>
      </c>
      <c r="JM27" s="186">
        <f t="shared" si="210"/>
        <v>32</v>
      </c>
      <c r="JN27" s="135" t="str">
        <f t="shared" si="130"/>
        <v>F</v>
      </c>
      <c r="JO27" s="151" t="str">
        <f>VLOOKUP(RANK(JM27,$JM$10:$JM$109),Sheet1!$A$381:$B$480,2,FALSE)</f>
        <v>57th</v>
      </c>
      <c r="JP27" s="186"/>
      <c r="JQ27" s="186"/>
      <c r="JR27" s="186">
        <f t="shared" si="131"/>
        <v>0</v>
      </c>
      <c r="JS27" s="186" t="str">
        <f t="shared" si="132"/>
        <v>30</v>
      </c>
      <c r="JT27" s="186" t="str">
        <f t="shared" si="133"/>
        <v>44</v>
      </c>
      <c r="JU27" s="186">
        <f t="shared" si="211"/>
        <v>74</v>
      </c>
      <c r="JV27" s="186">
        <f t="shared" si="212"/>
        <v>24.6666666666667</v>
      </c>
      <c r="JW27" s="135" t="str">
        <f t="shared" si="134"/>
        <v>F</v>
      </c>
      <c r="JX27" s="151" t="str">
        <f>VLOOKUP(RANK(JV27,$JV$10:$JV$109),Sheet1!$A$381:$B$480,2,FALSE)</f>
        <v>76th</v>
      </c>
      <c r="JY27" s="186"/>
      <c r="JZ27" s="186"/>
      <c r="KA27" s="186">
        <f t="shared" si="135"/>
        <v>0</v>
      </c>
      <c r="KB27" s="186" t="str">
        <f t="shared" si="136"/>
        <v>51</v>
      </c>
      <c r="KC27" s="186" t="str">
        <f t="shared" si="137"/>
        <v>48</v>
      </c>
      <c r="KD27" s="186">
        <f t="shared" si="213"/>
        <v>99</v>
      </c>
      <c r="KE27" s="186">
        <f t="shared" si="214"/>
        <v>33</v>
      </c>
      <c r="KF27" s="135" t="str">
        <f t="shared" si="138"/>
        <v>F</v>
      </c>
      <c r="KG27" s="151" t="str">
        <f>VLOOKUP(RANK(KE27,$KE$10:$KE$109),Sheet1!$A$381:$B$480,2,FALSE)</f>
        <v>64th</v>
      </c>
      <c r="KH27" s="186"/>
      <c r="KI27" s="186"/>
      <c r="KJ27" s="186">
        <f t="shared" si="139"/>
        <v>0</v>
      </c>
      <c r="KK27" s="186" t="str">
        <f t="shared" si="140"/>
        <v>52</v>
      </c>
      <c r="KL27" s="186" t="str">
        <f t="shared" si="141"/>
        <v>48</v>
      </c>
      <c r="KM27" s="186">
        <f t="shared" si="215"/>
        <v>100</v>
      </c>
      <c r="KN27" s="186">
        <f t="shared" si="216"/>
        <v>33.3333333333333</v>
      </c>
      <c r="KO27" s="135" t="str">
        <f t="shared" si="142"/>
        <v>F</v>
      </c>
      <c r="KP27" s="151" t="str">
        <f>VLOOKUP(RANK(KN27,$KN$10:$KN$109),Sheet1!$A$381:$B$480,2,FALSE)</f>
        <v>60th</v>
      </c>
      <c r="KQ27" s="186"/>
      <c r="KR27" s="186"/>
      <c r="KS27" s="186">
        <f t="shared" si="143"/>
        <v>0</v>
      </c>
      <c r="KT27" s="186" t="str">
        <f t="shared" si="144"/>
        <v>0</v>
      </c>
      <c r="KU27" s="186" t="str">
        <f t="shared" si="145"/>
        <v>0</v>
      </c>
      <c r="KV27" s="186">
        <f t="shared" si="217"/>
        <v>0</v>
      </c>
      <c r="KW27" s="186">
        <f t="shared" si="218"/>
        <v>0</v>
      </c>
      <c r="KX27" s="135" t="str">
        <f t="shared" si="146"/>
        <v>F</v>
      </c>
      <c r="KY27" s="151" t="str">
        <f>VLOOKUP(RANK(KW27,$KW$10:$KW$109),Sheet1!$A$381:$B$480,2,FALSE)</f>
        <v>1st</v>
      </c>
      <c r="KZ27" s="186"/>
      <c r="LA27" s="186"/>
      <c r="LB27" s="186">
        <f t="shared" si="147"/>
        <v>0</v>
      </c>
      <c r="LC27" s="186" t="str">
        <f t="shared" si="148"/>
        <v>0</v>
      </c>
      <c r="LD27" s="186" t="str">
        <f t="shared" si="149"/>
        <v>0</v>
      </c>
      <c r="LE27" s="186">
        <f t="shared" si="219"/>
        <v>0</v>
      </c>
      <c r="LF27" s="186">
        <f t="shared" si="220"/>
        <v>0</v>
      </c>
      <c r="LG27" s="135" t="str">
        <f t="shared" si="150"/>
        <v>F</v>
      </c>
      <c r="LH27" s="151" t="str">
        <f>VLOOKUP(RANK(LF27,$LF$10:$LF$109),Sheet1!$A$381:$B$480,2,FALSE)</f>
        <v>1st</v>
      </c>
      <c r="LI27" s="186"/>
      <c r="LJ27" s="186"/>
      <c r="LK27" s="186">
        <f t="shared" si="151"/>
        <v>0</v>
      </c>
      <c r="LL27" s="186" t="str">
        <f t="shared" si="152"/>
        <v>50</v>
      </c>
      <c r="LM27" s="186" t="str">
        <f t="shared" si="153"/>
        <v>50</v>
      </c>
      <c r="LN27" s="186">
        <f t="shared" si="221"/>
        <v>100</v>
      </c>
      <c r="LO27" s="186">
        <f t="shared" si="222"/>
        <v>33.3333333333333</v>
      </c>
      <c r="LP27" s="135" t="str">
        <f t="shared" si="154"/>
        <v>F</v>
      </c>
      <c r="LQ27" s="151" t="str">
        <f>VLOOKUP(RANK(LO27,$LO$10:$LO$109),Sheet1!$A$381:$B$480,2,FALSE)</f>
        <v>77th</v>
      </c>
      <c r="LR27" s="186"/>
      <c r="LS27" s="186"/>
      <c r="LT27" s="186">
        <f t="shared" si="155"/>
        <v>0</v>
      </c>
      <c r="LU27" s="186" t="str">
        <f t="shared" si="156"/>
        <v>62</v>
      </c>
      <c r="LV27" s="186" t="str">
        <f t="shared" si="157"/>
        <v>15</v>
      </c>
      <c r="LW27" s="186">
        <f t="shared" si="223"/>
        <v>77</v>
      </c>
      <c r="LX27" s="186">
        <f t="shared" si="224"/>
        <v>25.6666666666667</v>
      </c>
      <c r="LY27" s="135" t="str">
        <f t="shared" si="158"/>
        <v>F</v>
      </c>
      <c r="LZ27" s="151" t="str">
        <f>VLOOKUP(RANK(LX27,$LX$10:$LX$109),Sheet1!$A$381:$B$480,2,FALSE)</f>
        <v>88th</v>
      </c>
      <c r="MA27" s="186"/>
      <c r="MB27" s="186"/>
      <c r="MC27" s="186">
        <f t="shared" si="159"/>
        <v>0</v>
      </c>
      <c r="MD27" s="186" t="str">
        <f t="shared" si="160"/>
        <v>36</v>
      </c>
      <c r="ME27" s="186" t="str">
        <f t="shared" si="161"/>
        <v>30</v>
      </c>
      <c r="MF27" s="183">
        <f t="shared" si="225"/>
        <v>66</v>
      </c>
      <c r="MG27" s="151">
        <f t="shared" si="226"/>
        <v>22</v>
      </c>
      <c r="MH27" s="135" t="str">
        <f t="shared" si="162"/>
        <v>F</v>
      </c>
      <c r="MI27" s="151" t="str">
        <f>VLOOKUP(RANK(MG27,$MG$10:$MG$109),Sheet1!$A$381:$B$480,2,FALSE)</f>
        <v>67th</v>
      </c>
      <c r="MJ27" s="186"/>
      <c r="MK27" s="186"/>
      <c r="ML27" s="186">
        <f t="shared" si="163"/>
        <v>0</v>
      </c>
      <c r="MM27" s="186" t="str">
        <f t="shared" si="164"/>
        <v>50</v>
      </c>
      <c r="MN27" s="186" t="str">
        <f t="shared" si="165"/>
        <v>45</v>
      </c>
      <c r="MO27" s="186">
        <f t="shared" si="227"/>
        <v>95</v>
      </c>
      <c r="MP27" s="186">
        <f t="shared" si="228"/>
        <v>31.6666666666667</v>
      </c>
      <c r="MQ27" s="135" t="str">
        <f t="shared" si="166"/>
        <v>F</v>
      </c>
      <c r="MR27" s="151" t="str">
        <f>VLOOKUP(RANK(MP27,$MP$10:$MP$109),Sheet1!$A$381:$B$480,2,FALSE)</f>
        <v>61st</v>
      </c>
      <c r="MS27" s="186"/>
      <c r="MT27" s="186"/>
      <c r="MU27" s="186">
        <f t="shared" si="167"/>
        <v>0</v>
      </c>
      <c r="MV27" s="186" t="str">
        <f t="shared" si="168"/>
        <v>64</v>
      </c>
      <c r="MW27" s="186" t="str">
        <f t="shared" si="169"/>
        <v>47</v>
      </c>
      <c r="MX27" s="186">
        <f t="shared" si="229"/>
        <v>111</v>
      </c>
      <c r="MY27" s="186">
        <f t="shared" si="230"/>
        <v>37</v>
      </c>
      <c r="MZ27" s="135" t="str">
        <f t="shared" si="170"/>
        <v>E</v>
      </c>
      <c r="NA27" s="151" t="str">
        <f>VLOOKUP(RANK(MY27,$MY$10:$MY$109),Sheet1!$A$381:$B$480,2,FALSE)</f>
        <v>35th</v>
      </c>
      <c r="NB27" s="186"/>
      <c r="NC27" s="186"/>
      <c r="ND27" s="186">
        <f t="shared" si="171"/>
        <v>0</v>
      </c>
      <c r="NE27" s="186" t="str">
        <f t="shared" si="172"/>
        <v>42</v>
      </c>
      <c r="NF27" s="186" t="str">
        <f t="shared" si="173"/>
        <v>39</v>
      </c>
      <c r="NG27" s="186">
        <f t="shared" si="231"/>
        <v>81</v>
      </c>
      <c r="NH27" s="186">
        <f t="shared" si="232"/>
        <v>27</v>
      </c>
      <c r="NI27" s="135" t="str">
        <f t="shared" si="174"/>
        <v>F</v>
      </c>
      <c r="NJ27" s="151" t="str">
        <f>VLOOKUP(RANK(NH27,$NH$10:$NH$109),Sheet1!$A$381:$B$480,2,FALSE)</f>
        <v>57th</v>
      </c>
      <c r="NK27" s="186"/>
      <c r="NL27" s="186"/>
      <c r="NM27" s="186">
        <f t="shared" si="175"/>
        <v>0</v>
      </c>
      <c r="NN27" s="186" t="str">
        <f t="shared" si="176"/>
        <v>55</v>
      </c>
      <c r="NO27" s="186" t="str">
        <f t="shared" si="177"/>
        <v>71</v>
      </c>
      <c r="NP27" s="186">
        <f t="shared" si="233"/>
        <v>126</v>
      </c>
      <c r="NQ27" s="186">
        <f t="shared" si="178"/>
        <v>42</v>
      </c>
      <c r="NR27" s="135" t="str">
        <f t="shared" si="179"/>
        <v>D</v>
      </c>
      <c r="NS27" s="151" t="str">
        <f>VLOOKUP(RANK(NQ27,$NQ$10:$NQ$109),Sheet1!$A$381:$B$480,2,FALSE)</f>
        <v>57th</v>
      </c>
      <c r="NT27" s="186"/>
      <c r="NU27" s="186"/>
      <c r="NV27" s="186">
        <f t="shared" si="180"/>
        <v>0</v>
      </c>
      <c r="NW27" s="186" t="str">
        <f t="shared" si="181"/>
        <v>0</v>
      </c>
      <c r="NX27" s="186" t="str">
        <f t="shared" si="182"/>
        <v>0</v>
      </c>
      <c r="NY27" s="186">
        <f t="shared" si="234"/>
        <v>0</v>
      </c>
      <c r="NZ27" s="186">
        <f t="shared" si="183"/>
        <v>0</v>
      </c>
      <c r="OA27" s="135" t="str">
        <f t="shared" si="184"/>
        <v>F</v>
      </c>
      <c r="OB27" s="151" t="str">
        <f>VLOOKUP(RANK(NZ27,$NZ$10:$NZ$109),Sheet1!$A$381:$B$480,2,FALSE)</f>
        <v>1st</v>
      </c>
      <c r="OC27" s="186"/>
      <c r="OD27" s="186"/>
      <c r="OE27" s="186">
        <f t="shared" si="185"/>
        <v>0</v>
      </c>
      <c r="OF27" s="186" t="str">
        <f t="shared" si="186"/>
        <v>0</v>
      </c>
      <c r="OG27" s="186" t="str">
        <f t="shared" si="187"/>
        <v>0</v>
      </c>
      <c r="OH27" s="186">
        <f t="shared" si="235"/>
        <v>0</v>
      </c>
      <c r="OI27" s="186">
        <f t="shared" si="236"/>
        <v>0</v>
      </c>
      <c r="OJ27" s="135" t="str">
        <f t="shared" si="188"/>
        <v>F</v>
      </c>
      <c r="OK27" s="151" t="str">
        <f>VLOOKUP(RANK(OI27,$OI$10:$OI$109),Sheet1!$A$381:$B$480,2,FALSE)</f>
        <v>1st</v>
      </c>
      <c r="OL27" s="151"/>
      <c r="OM27" s="151"/>
      <c r="ON27" s="151">
        <f t="shared" si="237"/>
        <v>0</v>
      </c>
      <c r="OO27" s="151" t="str">
        <f t="shared" si="238"/>
        <v>0</v>
      </c>
      <c r="OP27" s="151" t="str">
        <f t="shared" si="239"/>
        <v>0</v>
      </c>
      <c r="OQ27" s="151">
        <f t="shared" si="240"/>
        <v>0</v>
      </c>
      <c r="OR27" s="151">
        <f t="shared" si="241"/>
        <v>0</v>
      </c>
      <c r="OS27" s="135" t="str">
        <f t="shared" si="189"/>
        <v>F</v>
      </c>
      <c r="OT27" s="151" t="str">
        <f>VLOOKUP(RANK(OR27,$OI$10:$OI$109),Sheet1!$A$381:$B$480,2,FALSE)</f>
        <v>1st</v>
      </c>
      <c r="OU27" s="151">
        <f t="shared" si="242"/>
        <v>388.33333333333297</v>
      </c>
      <c r="OV27" s="151">
        <f t="shared" si="243"/>
        <v>22.843137254902</v>
      </c>
      <c r="OW27" s="151" t="str">
        <f>VLOOKUP(RANK(OV27,$OV$10:$OV$109),Sheet1!$A$381:$B$480,2,FALSE)</f>
        <v>60th</v>
      </c>
      <c r="OX27" s="151"/>
      <c r="OY27" s="186"/>
      <c r="OZ27" s="186"/>
      <c r="PA27" s="186"/>
      <c r="PB27" s="186"/>
    </row>
    <row r="28" spans="1:418" s="118" customFormat="1" ht="18.75">
      <c r="A28" s="131">
        <v>19</v>
      </c>
      <c r="B28" s="132" t="s">
        <v>116</v>
      </c>
      <c r="C28" s="133" t="s">
        <v>97</v>
      </c>
      <c r="D28" s="134">
        <v>12</v>
      </c>
      <c r="E28" s="134">
        <v>58</v>
      </c>
      <c r="F28" s="137">
        <f t="shared" si="0"/>
        <v>70</v>
      </c>
      <c r="G28" s="137">
        <f t="shared" si="1"/>
        <v>70</v>
      </c>
      <c r="H28" s="135" t="str">
        <f t="shared" si="190"/>
        <v>B</v>
      </c>
      <c r="I28" s="135" t="str">
        <f>VLOOKUP(RANK(G28,$G$10:$G$109),Sheet1!$A$381:$B$480,2,FALSE)</f>
        <v>36th</v>
      </c>
      <c r="J28" s="134">
        <v>30</v>
      </c>
      <c r="K28" s="134">
        <v>25</v>
      </c>
      <c r="L28" s="137">
        <f t="shared" si="2"/>
        <v>55</v>
      </c>
      <c r="M28" s="137">
        <f t="shared" si="3"/>
        <v>55</v>
      </c>
      <c r="N28" s="135" t="str">
        <f t="shared" si="4"/>
        <v>C</v>
      </c>
      <c r="O28" s="141" t="str">
        <f>VLOOKUP(RANK(M28,$M$10:$M$109),Sheet1!$A$381:$B$480,2,FALSE)</f>
        <v>36th</v>
      </c>
      <c r="P28" s="142">
        <v>30</v>
      </c>
      <c r="Q28" s="145">
        <v>20</v>
      </c>
      <c r="R28" s="147">
        <f t="shared" si="5"/>
        <v>50</v>
      </c>
      <c r="S28" s="137">
        <f t="shared" si="6"/>
        <v>50</v>
      </c>
      <c r="T28" s="135" t="str">
        <f t="shared" si="7"/>
        <v>C</v>
      </c>
      <c r="U28" s="135" t="str">
        <f>VLOOKUP(RANK(S28,$S$10:$S$109),Sheet1!$A$381:$B$480,2,FALSE)</f>
        <v>29th</v>
      </c>
      <c r="V28" s="134">
        <v>33</v>
      </c>
      <c r="W28" s="134">
        <v>17</v>
      </c>
      <c r="X28" s="137">
        <f t="shared" si="191"/>
        <v>50</v>
      </c>
      <c r="Y28" s="137">
        <f t="shared" si="244"/>
        <v>50</v>
      </c>
      <c r="Z28" s="135" t="str">
        <f t="shared" si="8"/>
        <v>C</v>
      </c>
      <c r="AA28" s="135" t="str">
        <f>VLOOKUP(RANK(Y28,$Y$10:$Y$109),Sheet1!$A$381:$B$480,2,FALSE)</f>
        <v>67th</v>
      </c>
      <c r="AB28" s="134">
        <v>28</v>
      </c>
      <c r="AC28" s="134">
        <v>23</v>
      </c>
      <c r="AD28" s="137">
        <f t="shared" si="9"/>
        <v>51</v>
      </c>
      <c r="AE28" s="137">
        <f t="shared" si="10"/>
        <v>51</v>
      </c>
      <c r="AF28" s="135" t="str">
        <f t="shared" si="11"/>
        <v>C</v>
      </c>
      <c r="AG28" s="135" t="str">
        <f>VLOOKUP(RANK(AE28,$AE$10:$AE$109),Sheet1!$A$381:$B$480,2,FALSE)</f>
        <v>66th</v>
      </c>
      <c r="AH28" s="137"/>
      <c r="AI28" s="137"/>
      <c r="AJ28" s="137">
        <f t="shared" si="12"/>
        <v>0</v>
      </c>
      <c r="AK28" s="137">
        <f t="shared" si="13"/>
        <v>0</v>
      </c>
      <c r="AL28" s="135" t="str">
        <f t="shared" si="14"/>
        <v>F</v>
      </c>
      <c r="AM28" s="135" t="str">
        <f>VLOOKUP(RANK(AK28,$AK$10:$AK$109),Sheet1!$A$381:$B$480,2,FALSE)</f>
        <v>1st</v>
      </c>
      <c r="AN28" s="134"/>
      <c r="AO28" s="134"/>
      <c r="AP28" s="137">
        <f t="shared" si="15"/>
        <v>0</v>
      </c>
      <c r="AQ28" s="137">
        <f t="shared" si="16"/>
        <v>0</v>
      </c>
      <c r="AR28" s="135" t="str">
        <f t="shared" si="17"/>
        <v>F</v>
      </c>
      <c r="AS28" s="135" t="str">
        <f>VLOOKUP(RANK(AQ28,$AQ$10:$AQ$109),Sheet1!$A$381:$B$480,2,FALSE)</f>
        <v>1st</v>
      </c>
      <c r="AT28" s="142">
        <v>25</v>
      </c>
      <c r="AU28" s="145">
        <v>25</v>
      </c>
      <c r="AV28" s="137">
        <f t="shared" si="18"/>
        <v>50</v>
      </c>
      <c r="AW28" s="137">
        <f t="shared" si="19"/>
        <v>50</v>
      </c>
      <c r="AX28" s="135" t="str">
        <f t="shared" si="20"/>
        <v>C</v>
      </c>
      <c r="AY28" s="141" t="str">
        <f>VLOOKUP(RANK(AW28,$AW$10:$AW$109),Sheet1!$A$381:$B$480,2,FALSE)</f>
        <v>58th</v>
      </c>
      <c r="AZ28" s="142">
        <v>37</v>
      </c>
      <c r="BA28" s="145">
        <v>39</v>
      </c>
      <c r="BB28" s="147">
        <f t="shared" si="21"/>
        <v>76</v>
      </c>
      <c r="BC28" s="137">
        <f t="shared" si="22"/>
        <v>76</v>
      </c>
      <c r="BD28" s="135" t="str">
        <f t="shared" si="23"/>
        <v>A</v>
      </c>
      <c r="BE28" s="135" t="str">
        <f>VLOOKUP(RANK(BC28,$BC$10:$BC$109),Sheet1!$A$381:$B$480,2,FALSE)</f>
        <v>4th</v>
      </c>
      <c r="BF28" s="142">
        <v>13</v>
      </c>
      <c r="BG28" s="145">
        <v>25</v>
      </c>
      <c r="BH28" s="137">
        <f t="shared" si="24"/>
        <v>38</v>
      </c>
      <c r="BI28" s="137">
        <f t="shared" si="25"/>
        <v>38</v>
      </c>
      <c r="BJ28" s="135" t="str">
        <f t="shared" si="26"/>
        <v>E</v>
      </c>
      <c r="BK28" s="141" t="str">
        <f>VLOOKUP(RANK(BI28,$BI$10:$BI$109),Sheet1!$A$381:$B$480,2,FALSE)</f>
        <v>38th</v>
      </c>
      <c r="BL28" s="148">
        <v>24</v>
      </c>
      <c r="BM28" s="150">
        <v>26</v>
      </c>
      <c r="BN28" s="147">
        <f t="shared" si="27"/>
        <v>50</v>
      </c>
      <c r="BO28" s="137">
        <f t="shared" si="28"/>
        <v>50</v>
      </c>
      <c r="BP28" s="135" t="str">
        <f t="shared" si="29"/>
        <v>C</v>
      </c>
      <c r="BQ28" s="141" t="str">
        <f>VLOOKUP(RANK(BO28,$BO$10:$BO$109),Sheet1!$A$381:$B$480,2,FALSE)</f>
        <v>85th</v>
      </c>
      <c r="BR28" s="148">
        <v>28</v>
      </c>
      <c r="BS28" s="150">
        <v>8</v>
      </c>
      <c r="BT28" s="147">
        <f t="shared" si="30"/>
        <v>36</v>
      </c>
      <c r="BU28" s="137">
        <f t="shared" si="31"/>
        <v>36</v>
      </c>
      <c r="BV28" s="135" t="str">
        <f t="shared" si="32"/>
        <v>E</v>
      </c>
      <c r="BW28" s="135" t="str">
        <f>VLOOKUP(RANK(BU28,$BU$10:$BU$109),Sheet1!$A$381:$B$480,2,FALSE)</f>
        <v>76th</v>
      </c>
      <c r="BX28" s="148">
        <v>34</v>
      </c>
      <c r="BY28" s="150">
        <v>10</v>
      </c>
      <c r="BZ28" s="137">
        <f t="shared" si="33"/>
        <v>44</v>
      </c>
      <c r="CA28" s="137">
        <f t="shared" si="34"/>
        <v>44</v>
      </c>
      <c r="CB28" s="135" t="str">
        <f t="shared" si="35"/>
        <v>D</v>
      </c>
      <c r="CC28" s="135" t="str">
        <f>VLOOKUP(RANK(CA28,$CA$10:$CA$109),Sheet1!$A$381:$B$480,2,FALSE)</f>
        <v>20th</v>
      </c>
      <c r="CD28" s="148">
        <v>28</v>
      </c>
      <c r="CE28" s="150">
        <v>38</v>
      </c>
      <c r="CF28" s="137">
        <f t="shared" si="36"/>
        <v>66</v>
      </c>
      <c r="CG28" s="137">
        <f t="shared" si="37"/>
        <v>66</v>
      </c>
      <c r="CH28" s="135" t="str">
        <f t="shared" si="38"/>
        <v>B</v>
      </c>
      <c r="CI28" s="135" t="str">
        <f>VLOOKUP(RANK(CG28,$CG$10:$CG$109),Sheet1!$A$381:$B$480,2,FALSE)</f>
        <v>28th</v>
      </c>
      <c r="CJ28" s="137"/>
      <c r="CK28" s="137"/>
      <c r="CL28" s="137">
        <f t="shared" si="39"/>
        <v>0</v>
      </c>
      <c r="CM28" s="137">
        <f t="shared" si="40"/>
        <v>0</v>
      </c>
      <c r="CN28" s="135" t="str">
        <f t="shared" si="41"/>
        <v>F</v>
      </c>
      <c r="CO28" s="135" t="str">
        <f>VLOOKUP(RANK(CM28,$CM$10:$CM$109),Sheet1!$A$381:$B$480,2,FALSE)</f>
        <v>1st</v>
      </c>
      <c r="CP28" s="137"/>
      <c r="CQ28" s="137"/>
      <c r="CR28" s="137">
        <f t="shared" si="42"/>
        <v>0</v>
      </c>
      <c r="CS28" s="137">
        <f t="shared" si="43"/>
        <v>0</v>
      </c>
      <c r="CT28" s="135" t="str">
        <f t="shared" si="44"/>
        <v>F</v>
      </c>
      <c r="CU28" s="135" t="str">
        <f>VLOOKUP(RANK(CS28,$CS$10:$CS$109),Sheet1!$A$381:$B$480,2,FALSE)</f>
        <v>1st</v>
      </c>
      <c r="CV28" s="151"/>
      <c r="CW28" s="135"/>
      <c r="CX28" s="151">
        <f t="shared" si="192"/>
        <v>0</v>
      </c>
      <c r="CY28" s="151">
        <f t="shared" si="193"/>
        <v>0</v>
      </c>
      <c r="CZ28" s="135" t="str">
        <f t="shared" si="45"/>
        <v>F</v>
      </c>
      <c r="DA28" s="135" t="str">
        <f>VLOOKUP(RANK(CY28,$CY$10:$CY$109),Sheet1!$A$381:$B$480,2,FALSE)</f>
        <v>1st</v>
      </c>
      <c r="DB28" s="135"/>
      <c r="DC28" s="151">
        <f t="shared" si="194"/>
        <v>636</v>
      </c>
      <c r="DD28" s="151">
        <f t="shared" si="195"/>
        <v>37.411764705882398</v>
      </c>
      <c r="DE28" s="135" t="str">
        <f>VLOOKUP(RANK(DD28,$DD$10:$DD$109),Sheet1!$A$381:$B$480,2,FALSE)</f>
        <v>42nd</v>
      </c>
      <c r="DF28" s="137"/>
      <c r="DG28" s="160">
        <f t="shared" si="46"/>
        <v>673.41176470588198</v>
      </c>
      <c r="DH28" s="119"/>
      <c r="DI28" s="162">
        <v>32</v>
      </c>
      <c r="DJ28" s="162">
        <v>53</v>
      </c>
      <c r="DK28" s="137">
        <f t="shared" si="47"/>
        <v>85</v>
      </c>
      <c r="DL28" s="137" t="str">
        <f t="shared" si="48"/>
        <v>70</v>
      </c>
      <c r="DM28" s="137">
        <f t="shared" si="49"/>
        <v>155</v>
      </c>
      <c r="DN28" s="137">
        <f t="shared" si="50"/>
        <v>77.5</v>
      </c>
      <c r="DO28" s="135" t="str">
        <f t="shared" si="51"/>
        <v>A</v>
      </c>
      <c r="DP28" s="135" t="str">
        <f>VLOOKUP(RANK(DN28,$DN$10:$DN$109),Sheet1!$A$381:$B$480,2,FALSE)</f>
        <v>10th</v>
      </c>
      <c r="DQ28" s="164">
        <v>23</v>
      </c>
      <c r="DR28" s="165">
        <v>16</v>
      </c>
      <c r="DS28" s="137">
        <f t="shared" si="52"/>
        <v>39</v>
      </c>
      <c r="DT28" s="137" t="str">
        <f t="shared" si="53"/>
        <v>55</v>
      </c>
      <c r="DU28" s="137">
        <f t="shared" si="54"/>
        <v>94</v>
      </c>
      <c r="DV28" s="137">
        <f t="shared" si="55"/>
        <v>47</v>
      </c>
      <c r="DW28" s="135" t="str">
        <f t="shared" si="56"/>
        <v>D</v>
      </c>
      <c r="DX28" s="135" t="str">
        <f>VLOOKUP(RANK(DV28,$DV$10:$DV$109),Sheet1!$A$381:$B$480,2,FALSE)</f>
        <v>64th</v>
      </c>
      <c r="DY28" s="167">
        <v>21</v>
      </c>
      <c r="DZ28" s="165">
        <v>20</v>
      </c>
      <c r="EA28" s="137">
        <f t="shared" si="57"/>
        <v>41</v>
      </c>
      <c r="EB28" s="137" t="str">
        <f t="shared" si="58"/>
        <v>50</v>
      </c>
      <c r="EC28" s="137">
        <f t="shared" si="59"/>
        <v>91</v>
      </c>
      <c r="ED28" s="137">
        <f t="shared" si="60"/>
        <v>45.5</v>
      </c>
      <c r="EE28" s="135" t="str">
        <f t="shared" si="61"/>
        <v>D</v>
      </c>
      <c r="EF28" s="135" t="str">
        <f>VLOOKUP(RANK(ED28,$ED$10:$ED$109),Sheet1!$A$381:$B$480,2,FALSE)</f>
        <v>50th</v>
      </c>
      <c r="EG28" s="162">
        <v>9</v>
      </c>
      <c r="EH28" s="162">
        <v>33</v>
      </c>
      <c r="EI28" s="137">
        <f t="shared" si="62"/>
        <v>42</v>
      </c>
      <c r="EJ28" s="137" t="str">
        <f t="shared" si="63"/>
        <v>50</v>
      </c>
      <c r="EK28" s="137">
        <f t="shared" si="64"/>
        <v>92</v>
      </c>
      <c r="EL28" s="137">
        <f t="shared" si="65"/>
        <v>46</v>
      </c>
      <c r="EM28" s="135" t="str">
        <f t="shared" si="66"/>
        <v>D</v>
      </c>
      <c r="EN28" s="135" t="str">
        <f>VLOOKUP(RANK(EL28,$EL$10:$EL$109),Sheet1!$A$381:$B$480,2,FALSE)</f>
        <v>77th</v>
      </c>
      <c r="EO28" s="162">
        <v>23</v>
      </c>
      <c r="EP28" s="162">
        <v>22</v>
      </c>
      <c r="EQ28" s="137">
        <f t="shared" si="67"/>
        <v>45</v>
      </c>
      <c r="ER28" s="137" t="str">
        <f t="shared" si="68"/>
        <v>51</v>
      </c>
      <c r="ES28" s="137">
        <f t="shared" si="69"/>
        <v>96</v>
      </c>
      <c r="ET28" s="137">
        <f t="shared" si="70"/>
        <v>48</v>
      </c>
      <c r="EU28" s="135" t="str">
        <f t="shared" si="71"/>
        <v>D</v>
      </c>
      <c r="EV28" s="135" t="str">
        <f>VLOOKUP(RANK(ET28,$ET$10:$ET$109),Sheet1!$A$381:$B$480,2,FALSE)</f>
        <v>65th</v>
      </c>
      <c r="EW28" s="137"/>
      <c r="EX28" s="137"/>
      <c r="EY28" s="137">
        <f t="shared" si="72"/>
        <v>0</v>
      </c>
      <c r="EZ28" s="137" t="str">
        <f t="shared" si="73"/>
        <v>0</v>
      </c>
      <c r="FA28" s="137">
        <f t="shared" si="74"/>
        <v>0</v>
      </c>
      <c r="FB28" s="137">
        <f t="shared" si="75"/>
        <v>0</v>
      </c>
      <c r="FC28" s="135" t="str">
        <f t="shared" si="76"/>
        <v>F</v>
      </c>
      <c r="FD28" s="135" t="str">
        <f>VLOOKUP(RANK(FB28,$FB$10:$FB$109),Sheet1!$A$381:$B$480,2,FALSE)</f>
        <v>1st</v>
      </c>
      <c r="FE28" s="137"/>
      <c r="FF28" s="137"/>
      <c r="FG28" s="137">
        <f t="shared" si="77"/>
        <v>0</v>
      </c>
      <c r="FH28" s="137" t="str">
        <f t="shared" si="78"/>
        <v>0</v>
      </c>
      <c r="FI28" s="137">
        <f t="shared" si="79"/>
        <v>0</v>
      </c>
      <c r="FJ28" s="137">
        <f t="shared" si="80"/>
        <v>0</v>
      </c>
      <c r="FK28" s="135" t="str">
        <f t="shared" si="81"/>
        <v>F</v>
      </c>
      <c r="FL28" s="135" t="str">
        <f>VLOOKUP(RANK(FJ28,$FJ$10:$FJ$109),Sheet1!$A$381:$B$480,2,FALSE)</f>
        <v>1st</v>
      </c>
      <c r="FM28" s="164">
        <v>29</v>
      </c>
      <c r="FN28" s="165">
        <v>22</v>
      </c>
      <c r="FO28" s="137">
        <f t="shared" si="82"/>
        <v>51</v>
      </c>
      <c r="FP28" s="137" t="str">
        <f t="shared" si="83"/>
        <v>50</v>
      </c>
      <c r="FQ28" s="137">
        <f t="shared" si="84"/>
        <v>101</v>
      </c>
      <c r="FR28" s="137">
        <f t="shared" si="85"/>
        <v>50.5</v>
      </c>
      <c r="FS28" s="135" t="str">
        <f t="shared" si="86"/>
        <v>C</v>
      </c>
      <c r="FT28" s="135" t="str">
        <f>VLOOKUP(RANK(FR28,$FR$10:$FR$109),Sheet1!$A$381:$B$480,2,FALSE)</f>
        <v>65th</v>
      </c>
      <c r="FU28" s="148">
        <v>0</v>
      </c>
      <c r="FV28" s="150">
        <v>20</v>
      </c>
      <c r="FW28" s="137">
        <f t="shared" si="87"/>
        <v>20</v>
      </c>
      <c r="FX28" s="137" t="str">
        <f t="shared" si="88"/>
        <v>76</v>
      </c>
      <c r="FY28" s="137">
        <f t="shared" si="196"/>
        <v>20</v>
      </c>
      <c r="FZ28" s="137">
        <f t="shared" si="89"/>
        <v>10</v>
      </c>
      <c r="GA28" s="135" t="str">
        <f t="shared" si="90"/>
        <v>F</v>
      </c>
      <c r="GB28" s="135" t="str">
        <f>VLOOKUP(RANK(FZ28,$FZ$10:$FZ$109),Sheet1!$A$381:$B$480,2,FALSE)</f>
        <v>90th</v>
      </c>
      <c r="GC28" s="164">
        <v>2</v>
      </c>
      <c r="GD28" s="165">
        <v>28</v>
      </c>
      <c r="GE28" s="137">
        <f t="shared" si="91"/>
        <v>30</v>
      </c>
      <c r="GF28" s="137" t="str">
        <f t="shared" si="92"/>
        <v>38</v>
      </c>
      <c r="GG28" s="135">
        <f t="shared" si="197"/>
        <v>68</v>
      </c>
      <c r="GH28" s="137">
        <f t="shared" si="198"/>
        <v>34</v>
      </c>
      <c r="GI28" s="135" t="str">
        <f t="shared" si="93"/>
        <v>F</v>
      </c>
      <c r="GJ28" s="135" t="str">
        <f>VLOOKUP(RANK(GH28,$GH$10:$GH$109),Sheet1!$A$381:$B$480,2,FALSE)</f>
        <v>65th</v>
      </c>
      <c r="GK28" s="164">
        <v>26</v>
      </c>
      <c r="GL28" s="165">
        <v>11</v>
      </c>
      <c r="GM28" s="137">
        <f t="shared" si="94"/>
        <v>37</v>
      </c>
      <c r="GN28" s="137" t="str">
        <f t="shared" si="95"/>
        <v>50</v>
      </c>
      <c r="GO28" s="135">
        <f t="shared" si="199"/>
        <v>87</v>
      </c>
      <c r="GP28" s="137">
        <f t="shared" si="96"/>
        <v>43.5</v>
      </c>
      <c r="GQ28" s="135" t="str">
        <f t="shared" si="97"/>
        <v>D</v>
      </c>
      <c r="GR28" s="135" t="str">
        <f>VLOOKUP(RANK(GP28,$GP$10:$GP$109),Sheet1!$A$381:$B$480,2,FALSE)</f>
        <v>95th</v>
      </c>
      <c r="GS28" s="164">
        <v>11</v>
      </c>
      <c r="GT28" s="165">
        <v>30</v>
      </c>
      <c r="GU28" s="137">
        <f t="shared" si="98"/>
        <v>41</v>
      </c>
      <c r="GV28" s="137" t="str">
        <f t="shared" si="99"/>
        <v>36</v>
      </c>
      <c r="GW28" s="137">
        <f t="shared" si="100"/>
        <v>77</v>
      </c>
      <c r="GX28" s="137">
        <f t="shared" si="101"/>
        <v>38.5</v>
      </c>
      <c r="GY28" s="135" t="str">
        <f t="shared" si="102"/>
        <v>E</v>
      </c>
      <c r="GZ28" s="135" t="str">
        <f>VLOOKUP(RANK(GX28,$GX$10:$GX$109),Sheet1!$A$381:$B$480,2,FALSE)</f>
        <v>76th</v>
      </c>
      <c r="HA28" s="164">
        <v>32</v>
      </c>
      <c r="HB28" s="165">
        <v>7</v>
      </c>
      <c r="HC28" s="137">
        <f t="shared" si="103"/>
        <v>39</v>
      </c>
      <c r="HD28" s="137" t="str">
        <f t="shared" si="104"/>
        <v>44</v>
      </c>
      <c r="HE28" s="137">
        <f t="shared" si="105"/>
        <v>83</v>
      </c>
      <c r="HF28" s="137">
        <f t="shared" si="106"/>
        <v>41.5</v>
      </c>
      <c r="HG28" s="135" t="str">
        <f t="shared" si="107"/>
        <v>D</v>
      </c>
      <c r="HH28" s="135" t="str">
        <f>VLOOKUP(RANK(HF28,$HF$10:$HF$109),Sheet1!$A$381:$B$480,2,FALSE)</f>
        <v>47th</v>
      </c>
      <c r="HI28" s="148">
        <v>25</v>
      </c>
      <c r="HJ28" s="150">
        <v>43</v>
      </c>
      <c r="HK28" s="137">
        <f t="shared" si="108"/>
        <v>68</v>
      </c>
      <c r="HL28" s="137" t="str">
        <f t="shared" si="109"/>
        <v>66</v>
      </c>
      <c r="HM28" s="137">
        <f t="shared" si="110"/>
        <v>134</v>
      </c>
      <c r="HN28" s="137">
        <f t="shared" si="111"/>
        <v>67</v>
      </c>
      <c r="HO28" s="135" t="str">
        <f t="shared" si="112"/>
        <v>B</v>
      </c>
      <c r="HP28" s="135" t="str">
        <f>VLOOKUP(RANK(HN28,$HN$10:$HN$109),Sheet1!$A$381:$B$480,2,FALSE)</f>
        <v>35th</v>
      </c>
      <c r="HQ28" s="137"/>
      <c r="HR28" s="137"/>
      <c r="HS28" s="137">
        <f t="shared" si="113"/>
        <v>0</v>
      </c>
      <c r="HT28" s="137" t="str">
        <f t="shared" si="114"/>
        <v>0</v>
      </c>
      <c r="HU28" s="137">
        <f t="shared" si="115"/>
        <v>0</v>
      </c>
      <c r="HV28" s="137">
        <f t="shared" si="116"/>
        <v>0</v>
      </c>
      <c r="HW28" s="135" t="str">
        <f t="shared" si="117"/>
        <v>F</v>
      </c>
      <c r="HX28" s="135" t="str">
        <f>VLOOKUP(RANK(HV28,$HV$10:$HV$109),Sheet1!$A$381:$B$480,2,FALSE)</f>
        <v>1st</v>
      </c>
      <c r="HY28" s="137"/>
      <c r="HZ28" s="137"/>
      <c r="IA28" s="137">
        <f t="shared" si="118"/>
        <v>0</v>
      </c>
      <c r="IB28" s="137" t="str">
        <f t="shared" si="119"/>
        <v>0</v>
      </c>
      <c r="IC28" s="137">
        <f t="shared" si="120"/>
        <v>0</v>
      </c>
      <c r="ID28" s="137">
        <f t="shared" si="121"/>
        <v>0</v>
      </c>
      <c r="IE28" s="135" t="str">
        <f t="shared" si="122"/>
        <v>F</v>
      </c>
      <c r="IF28" s="135" t="str">
        <f>VLOOKUP(RANK(ID28,$ID$10:$ID$109),Sheet1!$A$381:$B$480,2,FALSE)</f>
        <v>1st</v>
      </c>
      <c r="IG28" s="135"/>
      <c r="IH28" s="135"/>
      <c r="II28" s="135">
        <f t="shared" si="200"/>
        <v>0</v>
      </c>
      <c r="IJ28" s="135" t="str">
        <f t="shared" si="201"/>
        <v>0</v>
      </c>
      <c r="IK28" s="135">
        <f t="shared" si="202"/>
        <v>0</v>
      </c>
      <c r="IL28" s="135">
        <f t="shared" si="203"/>
        <v>0</v>
      </c>
      <c r="IM28" s="135" t="str">
        <f t="shared" si="123"/>
        <v>F</v>
      </c>
      <c r="IN28" s="135" t="str">
        <f>VLOOKUP(RANK(IL28,$IL$10:$IL$109),Sheet1!$A$381:$B$480,2,FALSE)</f>
        <v>1st</v>
      </c>
      <c r="IO28" s="135">
        <f t="shared" si="204"/>
        <v>549</v>
      </c>
      <c r="IP28" s="177">
        <f t="shared" si="205"/>
        <v>32.294117647058798</v>
      </c>
      <c r="IQ28" s="135" t="str">
        <f>VLOOKUP(RANK(IP28,$IP$10:$IP$109),Sheet1!$A$381:$B$480,2,FALSE)</f>
        <v>65th</v>
      </c>
      <c r="IR28" s="178"/>
      <c r="IS28" s="137"/>
      <c r="IT28" s="137"/>
      <c r="IU28" s="137"/>
      <c r="IV28" s="137"/>
      <c r="IW28" s="181"/>
      <c r="IX28" s="184"/>
      <c r="IY28" s="186"/>
      <c r="IZ28" s="186">
        <f t="shared" si="206"/>
        <v>0</v>
      </c>
      <c r="JA28" s="186" t="str">
        <f t="shared" si="124"/>
        <v>70</v>
      </c>
      <c r="JB28" s="186" t="str">
        <f t="shared" si="125"/>
        <v>85</v>
      </c>
      <c r="JC28" s="186">
        <f t="shared" si="207"/>
        <v>155</v>
      </c>
      <c r="JD28" s="186">
        <f t="shared" si="208"/>
        <v>51.6666666666667</v>
      </c>
      <c r="JE28" s="135" t="str">
        <f t="shared" si="126"/>
        <v>C</v>
      </c>
      <c r="JF28" s="151" t="str">
        <f>VLOOKUP(RANK(JD28,$JD$10:$JD$109),Sheet1!$A$381:$B$480,2,FALSE)</f>
        <v>10th</v>
      </c>
      <c r="JG28" s="186"/>
      <c r="JH28" s="186"/>
      <c r="JI28" s="186">
        <f t="shared" si="127"/>
        <v>0</v>
      </c>
      <c r="JJ28" s="186" t="str">
        <f t="shared" si="128"/>
        <v>55</v>
      </c>
      <c r="JK28" s="186" t="str">
        <f t="shared" si="129"/>
        <v>39</v>
      </c>
      <c r="JL28" s="186">
        <f t="shared" si="209"/>
        <v>94</v>
      </c>
      <c r="JM28" s="186">
        <f t="shared" si="210"/>
        <v>31.3333333333333</v>
      </c>
      <c r="JN28" s="135" t="str">
        <f t="shared" si="130"/>
        <v>F</v>
      </c>
      <c r="JO28" s="151" t="str">
        <f>VLOOKUP(RANK(JM28,$JM$10:$JM$109),Sheet1!$A$381:$B$480,2,FALSE)</f>
        <v>64th</v>
      </c>
      <c r="JP28" s="186"/>
      <c r="JQ28" s="186"/>
      <c r="JR28" s="186">
        <f t="shared" si="131"/>
        <v>0</v>
      </c>
      <c r="JS28" s="186" t="str">
        <f t="shared" si="132"/>
        <v>50</v>
      </c>
      <c r="JT28" s="186" t="str">
        <f t="shared" si="133"/>
        <v>41</v>
      </c>
      <c r="JU28" s="186">
        <f t="shared" si="211"/>
        <v>91</v>
      </c>
      <c r="JV28" s="186">
        <f t="shared" si="212"/>
        <v>30.3333333333333</v>
      </c>
      <c r="JW28" s="135" t="str">
        <f t="shared" si="134"/>
        <v>F</v>
      </c>
      <c r="JX28" s="151" t="str">
        <f>VLOOKUP(RANK(JV28,$JV$10:$JV$109),Sheet1!$A$381:$B$480,2,FALSE)</f>
        <v>50th</v>
      </c>
      <c r="JY28" s="186"/>
      <c r="JZ28" s="186"/>
      <c r="KA28" s="186">
        <f t="shared" si="135"/>
        <v>0</v>
      </c>
      <c r="KB28" s="186" t="str">
        <f t="shared" si="136"/>
        <v>50</v>
      </c>
      <c r="KC28" s="186" t="str">
        <f t="shared" si="137"/>
        <v>42</v>
      </c>
      <c r="KD28" s="186">
        <f t="shared" si="213"/>
        <v>92</v>
      </c>
      <c r="KE28" s="186">
        <f t="shared" si="214"/>
        <v>30.6666666666667</v>
      </c>
      <c r="KF28" s="135" t="str">
        <f t="shared" si="138"/>
        <v>F</v>
      </c>
      <c r="KG28" s="151" t="str">
        <f>VLOOKUP(RANK(KE28,$KE$10:$KE$109),Sheet1!$A$381:$B$480,2,FALSE)</f>
        <v>77th</v>
      </c>
      <c r="KH28" s="186"/>
      <c r="KI28" s="186"/>
      <c r="KJ28" s="186">
        <f t="shared" si="139"/>
        <v>0</v>
      </c>
      <c r="KK28" s="186" t="str">
        <f t="shared" si="140"/>
        <v>51</v>
      </c>
      <c r="KL28" s="186" t="str">
        <f t="shared" si="141"/>
        <v>45</v>
      </c>
      <c r="KM28" s="186">
        <f t="shared" si="215"/>
        <v>96</v>
      </c>
      <c r="KN28" s="186">
        <f t="shared" si="216"/>
        <v>32</v>
      </c>
      <c r="KO28" s="135" t="str">
        <f t="shared" si="142"/>
        <v>F</v>
      </c>
      <c r="KP28" s="151" t="str">
        <f>VLOOKUP(RANK(KN28,$KN$10:$KN$109),Sheet1!$A$381:$B$480,2,FALSE)</f>
        <v>65th</v>
      </c>
      <c r="KQ28" s="186"/>
      <c r="KR28" s="186"/>
      <c r="KS28" s="186">
        <f t="shared" si="143"/>
        <v>0</v>
      </c>
      <c r="KT28" s="186" t="str">
        <f t="shared" si="144"/>
        <v>0</v>
      </c>
      <c r="KU28" s="186" t="str">
        <f t="shared" si="145"/>
        <v>0</v>
      </c>
      <c r="KV28" s="186">
        <f t="shared" si="217"/>
        <v>0</v>
      </c>
      <c r="KW28" s="186">
        <f t="shared" si="218"/>
        <v>0</v>
      </c>
      <c r="KX28" s="135" t="str">
        <f t="shared" si="146"/>
        <v>F</v>
      </c>
      <c r="KY28" s="151" t="str">
        <f>VLOOKUP(RANK(KW28,$KW$10:$KW$109),Sheet1!$A$381:$B$480,2,FALSE)</f>
        <v>1st</v>
      </c>
      <c r="KZ28" s="186"/>
      <c r="LA28" s="186"/>
      <c r="LB28" s="186">
        <f t="shared" si="147"/>
        <v>0</v>
      </c>
      <c r="LC28" s="186" t="str">
        <f t="shared" si="148"/>
        <v>0</v>
      </c>
      <c r="LD28" s="186" t="str">
        <f t="shared" si="149"/>
        <v>0</v>
      </c>
      <c r="LE28" s="186">
        <f t="shared" si="219"/>
        <v>0</v>
      </c>
      <c r="LF28" s="186">
        <f t="shared" si="220"/>
        <v>0</v>
      </c>
      <c r="LG28" s="135" t="str">
        <f t="shared" si="150"/>
        <v>F</v>
      </c>
      <c r="LH28" s="151" t="str">
        <f>VLOOKUP(RANK(LF28,$LF$10:$LF$109),Sheet1!$A$381:$B$480,2,FALSE)</f>
        <v>1st</v>
      </c>
      <c r="LI28" s="186"/>
      <c r="LJ28" s="186"/>
      <c r="LK28" s="186">
        <f t="shared" si="151"/>
        <v>0</v>
      </c>
      <c r="LL28" s="186" t="str">
        <f t="shared" si="152"/>
        <v>50</v>
      </c>
      <c r="LM28" s="186" t="str">
        <f t="shared" si="153"/>
        <v>51</v>
      </c>
      <c r="LN28" s="186">
        <f t="shared" si="221"/>
        <v>101</v>
      </c>
      <c r="LO28" s="186">
        <f t="shared" si="222"/>
        <v>33.6666666666667</v>
      </c>
      <c r="LP28" s="135" t="str">
        <f t="shared" si="154"/>
        <v>F</v>
      </c>
      <c r="LQ28" s="151" t="str">
        <f>VLOOKUP(RANK(LO28,$LO$10:$LO$109),Sheet1!$A$381:$B$480,2,FALSE)</f>
        <v>65th</v>
      </c>
      <c r="LR28" s="186"/>
      <c r="LS28" s="186"/>
      <c r="LT28" s="186">
        <f t="shared" si="155"/>
        <v>0</v>
      </c>
      <c r="LU28" s="186" t="str">
        <f t="shared" si="156"/>
        <v>76</v>
      </c>
      <c r="LV28" s="186" t="str">
        <f t="shared" si="157"/>
        <v>20</v>
      </c>
      <c r="LW28" s="186">
        <f t="shared" si="223"/>
        <v>96</v>
      </c>
      <c r="LX28" s="186">
        <f t="shared" si="224"/>
        <v>32</v>
      </c>
      <c r="LY28" s="135" t="str">
        <f t="shared" si="158"/>
        <v>F</v>
      </c>
      <c r="LZ28" s="151" t="str">
        <f>VLOOKUP(RANK(LX28,$LX$10:$LX$109),Sheet1!$A$381:$B$480,2,FALSE)</f>
        <v>66th</v>
      </c>
      <c r="MA28" s="186"/>
      <c r="MB28" s="186"/>
      <c r="MC28" s="186">
        <f t="shared" si="159"/>
        <v>0</v>
      </c>
      <c r="MD28" s="186" t="str">
        <f t="shared" si="160"/>
        <v>38</v>
      </c>
      <c r="ME28" s="186" t="str">
        <f t="shared" si="161"/>
        <v>30</v>
      </c>
      <c r="MF28" s="183">
        <f t="shared" si="225"/>
        <v>68</v>
      </c>
      <c r="MG28" s="151">
        <f t="shared" si="226"/>
        <v>22.6666666666667</v>
      </c>
      <c r="MH28" s="135" t="str">
        <f t="shared" si="162"/>
        <v>F</v>
      </c>
      <c r="MI28" s="151" t="str">
        <f>VLOOKUP(RANK(MG28,$MG$10:$MG$109),Sheet1!$A$381:$B$480,2,FALSE)</f>
        <v>65th</v>
      </c>
      <c r="MJ28" s="186"/>
      <c r="MK28" s="186"/>
      <c r="ML28" s="186">
        <f t="shared" si="163"/>
        <v>0</v>
      </c>
      <c r="MM28" s="186" t="str">
        <f t="shared" si="164"/>
        <v>50</v>
      </c>
      <c r="MN28" s="186" t="str">
        <f t="shared" si="165"/>
        <v>37</v>
      </c>
      <c r="MO28" s="186">
        <f t="shared" si="227"/>
        <v>87</v>
      </c>
      <c r="MP28" s="186">
        <f t="shared" si="228"/>
        <v>29</v>
      </c>
      <c r="MQ28" s="135" t="str">
        <f t="shared" si="166"/>
        <v>F</v>
      </c>
      <c r="MR28" s="151" t="str">
        <f>VLOOKUP(RANK(MP28,$MP$10:$MP$109),Sheet1!$A$381:$B$480,2,FALSE)</f>
        <v>95th</v>
      </c>
      <c r="MS28" s="186"/>
      <c r="MT28" s="186"/>
      <c r="MU28" s="186">
        <f t="shared" si="167"/>
        <v>0</v>
      </c>
      <c r="MV28" s="186" t="str">
        <f t="shared" si="168"/>
        <v>36</v>
      </c>
      <c r="MW28" s="186" t="str">
        <f t="shared" si="169"/>
        <v>41</v>
      </c>
      <c r="MX28" s="186">
        <f t="shared" si="229"/>
        <v>77</v>
      </c>
      <c r="MY28" s="186">
        <f t="shared" si="230"/>
        <v>25.6666666666667</v>
      </c>
      <c r="MZ28" s="135" t="str">
        <f t="shared" si="170"/>
        <v>F</v>
      </c>
      <c r="NA28" s="151" t="str">
        <f>VLOOKUP(RANK(MY28,$MY$10:$MY$109),Sheet1!$A$381:$B$480,2,FALSE)</f>
        <v>76th</v>
      </c>
      <c r="NB28" s="186"/>
      <c r="NC28" s="186"/>
      <c r="ND28" s="186">
        <f t="shared" si="171"/>
        <v>0</v>
      </c>
      <c r="NE28" s="186" t="str">
        <f t="shared" si="172"/>
        <v>44</v>
      </c>
      <c r="NF28" s="186" t="str">
        <f t="shared" si="173"/>
        <v>39</v>
      </c>
      <c r="NG28" s="186">
        <f t="shared" si="231"/>
        <v>83</v>
      </c>
      <c r="NH28" s="186">
        <f t="shared" si="232"/>
        <v>27.6666666666667</v>
      </c>
      <c r="NI28" s="135" t="str">
        <f t="shared" si="174"/>
        <v>F</v>
      </c>
      <c r="NJ28" s="151" t="str">
        <f>VLOOKUP(RANK(NH28,$NH$10:$NH$109),Sheet1!$A$381:$B$480,2,FALSE)</f>
        <v>47th</v>
      </c>
      <c r="NK28" s="186"/>
      <c r="NL28" s="186"/>
      <c r="NM28" s="186">
        <f t="shared" si="175"/>
        <v>0</v>
      </c>
      <c r="NN28" s="186" t="str">
        <f t="shared" si="176"/>
        <v>66</v>
      </c>
      <c r="NO28" s="186" t="str">
        <f t="shared" si="177"/>
        <v>68</v>
      </c>
      <c r="NP28" s="186">
        <f t="shared" si="233"/>
        <v>134</v>
      </c>
      <c r="NQ28" s="186">
        <f t="shared" si="178"/>
        <v>44.6666666666667</v>
      </c>
      <c r="NR28" s="135" t="str">
        <f t="shared" si="179"/>
        <v>D</v>
      </c>
      <c r="NS28" s="151" t="str">
        <f>VLOOKUP(RANK(NQ28,$NQ$10:$NQ$109),Sheet1!$A$381:$B$480,2,FALSE)</f>
        <v>35th</v>
      </c>
      <c r="NT28" s="186"/>
      <c r="NU28" s="186"/>
      <c r="NV28" s="186">
        <f t="shared" si="180"/>
        <v>0</v>
      </c>
      <c r="NW28" s="186" t="str">
        <f t="shared" si="181"/>
        <v>0</v>
      </c>
      <c r="NX28" s="186" t="str">
        <f t="shared" si="182"/>
        <v>0</v>
      </c>
      <c r="NY28" s="186">
        <f t="shared" si="234"/>
        <v>0</v>
      </c>
      <c r="NZ28" s="186">
        <f t="shared" si="183"/>
        <v>0</v>
      </c>
      <c r="OA28" s="135" t="str">
        <f t="shared" si="184"/>
        <v>F</v>
      </c>
      <c r="OB28" s="151" t="str">
        <f>VLOOKUP(RANK(NZ28,$NZ$10:$NZ$109),Sheet1!$A$381:$B$480,2,FALSE)</f>
        <v>1st</v>
      </c>
      <c r="OC28" s="186"/>
      <c r="OD28" s="186"/>
      <c r="OE28" s="186">
        <f t="shared" si="185"/>
        <v>0</v>
      </c>
      <c r="OF28" s="186" t="str">
        <f t="shared" si="186"/>
        <v>0</v>
      </c>
      <c r="OG28" s="186" t="str">
        <f t="shared" si="187"/>
        <v>0</v>
      </c>
      <c r="OH28" s="186">
        <f t="shared" si="235"/>
        <v>0</v>
      </c>
      <c r="OI28" s="186">
        <f t="shared" si="236"/>
        <v>0</v>
      </c>
      <c r="OJ28" s="135" t="str">
        <f t="shared" si="188"/>
        <v>F</v>
      </c>
      <c r="OK28" s="151" t="str">
        <f>VLOOKUP(RANK(OI28,$OI$10:$OI$109),Sheet1!$A$381:$B$480,2,FALSE)</f>
        <v>1st</v>
      </c>
      <c r="OL28" s="151"/>
      <c r="OM28" s="151"/>
      <c r="ON28" s="151">
        <f t="shared" si="237"/>
        <v>0</v>
      </c>
      <c r="OO28" s="151" t="str">
        <f t="shared" si="238"/>
        <v>0</v>
      </c>
      <c r="OP28" s="151" t="str">
        <f t="shared" si="239"/>
        <v>0</v>
      </c>
      <c r="OQ28" s="151">
        <f t="shared" si="240"/>
        <v>0</v>
      </c>
      <c r="OR28" s="151">
        <f t="shared" si="241"/>
        <v>0</v>
      </c>
      <c r="OS28" s="135" t="str">
        <f t="shared" si="189"/>
        <v>F</v>
      </c>
      <c r="OT28" s="151" t="str">
        <f>VLOOKUP(RANK(OR28,$OI$10:$OI$109),Sheet1!$A$381:$B$480,2,FALSE)</f>
        <v>1st</v>
      </c>
      <c r="OU28" s="151">
        <f t="shared" si="242"/>
        <v>391.33333333333297</v>
      </c>
      <c r="OV28" s="151">
        <f t="shared" si="243"/>
        <v>23.019607843137301</v>
      </c>
      <c r="OW28" s="151" t="str">
        <f>VLOOKUP(RANK(OV28,$OV$10:$OV$109),Sheet1!$A$381:$B$480,2,FALSE)</f>
        <v>58th</v>
      </c>
      <c r="OX28" s="151"/>
      <c r="OY28" s="186"/>
      <c r="OZ28" s="186"/>
      <c r="PA28" s="186"/>
      <c r="PB28" s="186"/>
    </row>
    <row r="29" spans="1:418" s="118" customFormat="1" ht="18.75">
      <c r="A29" s="131">
        <v>20</v>
      </c>
      <c r="B29" s="132" t="s">
        <v>117</v>
      </c>
      <c r="C29" s="133" t="s">
        <v>97</v>
      </c>
      <c r="D29" s="136">
        <v>25</v>
      </c>
      <c r="E29" s="136">
        <v>40</v>
      </c>
      <c r="F29" s="137">
        <f t="shared" si="0"/>
        <v>65</v>
      </c>
      <c r="G29" s="137">
        <f t="shared" si="1"/>
        <v>65</v>
      </c>
      <c r="H29" s="135" t="str">
        <f t="shared" si="190"/>
        <v>B</v>
      </c>
      <c r="I29" s="135" t="str">
        <f>VLOOKUP(RANK(G29,$G$10:$G$109),Sheet1!$A$381:$B$480,2,FALSE)</f>
        <v>56th</v>
      </c>
      <c r="J29" s="136">
        <v>36</v>
      </c>
      <c r="K29" s="136">
        <v>55</v>
      </c>
      <c r="L29" s="137">
        <f t="shared" si="2"/>
        <v>91</v>
      </c>
      <c r="M29" s="137">
        <f t="shared" si="3"/>
        <v>91</v>
      </c>
      <c r="N29" s="135" t="str">
        <f t="shared" si="4"/>
        <v>A</v>
      </c>
      <c r="O29" s="141" t="str">
        <f>VLOOKUP(RANK(M29,$M$10:$M$109),Sheet1!$A$381:$B$480,2,FALSE)</f>
        <v>1st</v>
      </c>
      <c r="P29" s="142">
        <v>35</v>
      </c>
      <c r="Q29" s="145">
        <v>30</v>
      </c>
      <c r="R29" s="147">
        <f t="shared" si="5"/>
        <v>65</v>
      </c>
      <c r="S29" s="137">
        <f t="shared" si="6"/>
        <v>65</v>
      </c>
      <c r="T29" s="135" t="str">
        <f t="shared" si="7"/>
        <v>B</v>
      </c>
      <c r="U29" s="135" t="str">
        <f>VLOOKUP(RANK(S29,$S$10:$S$109),Sheet1!$A$381:$B$480,2,FALSE)</f>
        <v>6th</v>
      </c>
      <c r="V29" s="136">
        <v>36</v>
      </c>
      <c r="W29" s="136">
        <v>57</v>
      </c>
      <c r="X29" s="137">
        <f t="shared" si="191"/>
        <v>93</v>
      </c>
      <c r="Y29" s="137">
        <f t="shared" si="244"/>
        <v>93</v>
      </c>
      <c r="Z29" s="135" t="str">
        <f t="shared" si="8"/>
        <v>A</v>
      </c>
      <c r="AA29" s="135" t="str">
        <f>VLOOKUP(RANK(Y29,$Y$10:$Y$109),Sheet1!$A$381:$B$480,2,FALSE)</f>
        <v>2nd</v>
      </c>
      <c r="AB29" s="136">
        <v>38</v>
      </c>
      <c r="AC29" s="136">
        <v>55</v>
      </c>
      <c r="AD29" s="137">
        <f t="shared" si="9"/>
        <v>93</v>
      </c>
      <c r="AE29" s="137">
        <f t="shared" si="10"/>
        <v>93</v>
      </c>
      <c r="AF29" s="135" t="str">
        <f t="shared" si="11"/>
        <v>A</v>
      </c>
      <c r="AG29" s="135" t="str">
        <f>VLOOKUP(RANK(AE29,$AE$10:$AE$109),Sheet1!$A$381:$B$480,2,FALSE)</f>
        <v>4th</v>
      </c>
      <c r="AH29" s="137"/>
      <c r="AI29" s="137"/>
      <c r="AJ29" s="137">
        <f t="shared" si="12"/>
        <v>0</v>
      </c>
      <c r="AK29" s="137">
        <f t="shared" si="13"/>
        <v>0</v>
      </c>
      <c r="AL29" s="135" t="str">
        <f t="shared" si="14"/>
        <v>F</v>
      </c>
      <c r="AM29" s="135" t="str">
        <f>VLOOKUP(RANK(AK29,$AK$10:$AK$109),Sheet1!$A$381:$B$480,2,FALSE)</f>
        <v>1st</v>
      </c>
      <c r="AN29" s="136"/>
      <c r="AO29" s="136"/>
      <c r="AP29" s="137">
        <f t="shared" si="15"/>
        <v>0</v>
      </c>
      <c r="AQ29" s="137">
        <f t="shared" si="16"/>
        <v>0</v>
      </c>
      <c r="AR29" s="135" t="str">
        <f t="shared" si="17"/>
        <v>F</v>
      </c>
      <c r="AS29" s="135" t="str">
        <f>VLOOKUP(RANK(AQ29,$AQ$10:$AQ$109),Sheet1!$A$381:$B$480,2,FALSE)</f>
        <v>1st</v>
      </c>
      <c r="AT29" s="142">
        <v>25</v>
      </c>
      <c r="AU29" s="145">
        <v>45</v>
      </c>
      <c r="AV29" s="137">
        <f t="shared" si="18"/>
        <v>70</v>
      </c>
      <c r="AW29" s="137">
        <f t="shared" si="19"/>
        <v>70</v>
      </c>
      <c r="AX29" s="135" t="str">
        <f t="shared" si="20"/>
        <v>B</v>
      </c>
      <c r="AY29" s="141" t="str">
        <f>VLOOKUP(RANK(AW29,$AW$10:$AW$109),Sheet1!$A$381:$B$480,2,FALSE)</f>
        <v>2nd</v>
      </c>
      <c r="AZ29" s="142">
        <v>39</v>
      </c>
      <c r="BA29" s="145">
        <v>49</v>
      </c>
      <c r="BB29" s="147">
        <f t="shared" si="21"/>
        <v>88</v>
      </c>
      <c r="BC29" s="137">
        <f t="shared" si="22"/>
        <v>88</v>
      </c>
      <c r="BD29" s="135" t="str">
        <f t="shared" si="23"/>
        <v>A</v>
      </c>
      <c r="BE29" s="135" t="str">
        <f>VLOOKUP(RANK(BC29,$BC$10:$BC$109),Sheet1!$A$381:$B$480,2,FALSE)</f>
        <v>2nd</v>
      </c>
      <c r="BF29" s="142">
        <v>24</v>
      </c>
      <c r="BG29" s="145">
        <v>36</v>
      </c>
      <c r="BH29" s="137">
        <f t="shared" si="24"/>
        <v>60</v>
      </c>
      <c r="BI29" s="137">
        <f t="shared" si="25"/>
        <v>60</v>
      </c>
      <c r="BJ29" s="135" t="str">
        <f t="shared" si="26"/>
        <v>B</v>
      </c>
      <c r="BK29" s="141" t="str">
        <f>VLOOKUP(RANK(BI29,$BI$10:$BI$109),Sheet1!$A$381:$B$480,2,FALSE)</f>
        <v>7th</v>
      </c>
      <c r="BL29" s="148">
        <v>25</v>
      </c>
      <c r="BM29" s="150">
        <v>24</v>
      </c>
      <c r="BN29" s="147">
        <f t="shared" si="27"/>
        <v>49</v>
      </c>
      <c r="BO29" s="137">
        <f t="shared" si="28"/>
        <v>49</v>
      </c>
      <c r="BP29" s="135" t="str">
        <f t="shared" si="29"/>
        <v>D</v>
      </c>
      <c r="BQ29" s="141" t="str">
        <f>VLOOKUP(RANK(BO29,$BO$10:$BO$109),Sheet1!$A$381:$B$480,2,FALSE)</f>
        <v>95th</v>
      </c>
      <c r="BR29" s="148">
        <v>29</v>
      </c>
      <c r="BS29" s="150">
        <v>42</v>
      </c>
      <c r="BT29" s="147">
        <f t="shared" si="30"/>
        <v>71</v>
      </c>
      <c r="BU29" s="137">
        <f t="shared" si="31"/>
        <v>71</v>
      </c>
      <c r="BV29" s="135" t="str">
        <f t="shared" si="32"/>
        <v>B</v>
      </c>
      <c r="BW29" s="135" t="str">
        <f>VLOOKUP(RANK(BU29,$BU$10:$BU$109),Sheet1!$A$381:$B$480,2,FALSE)</f>
        <v>9th</v>
      </c>
      <c r="BX29" s="148">
        <v>30</v>
      </c>
      <c r="BY29" s="150">
        <v>15</v>
      </c>
      <c r="BZ29" s="137">
        <f t="shared" si="33"/>
        <v>45</v>
      </c>
      <c r="CA29" s="137">
        <f t="shared" si="34"/>
        <v>45</v>
      </c>
      <c r="CB29" s="135" t="str">
        <f t="shared" si="35"/>
        <v>D</v>
      </c>
      <c r="CC29" s="135" t="str">
        <f>VLOOKUP(RANK(CA29,$CA$10:$CA$109),Sheet1!$A$381:$B$480,2,FALSE)</f>
        <v>13th</v>
      </c>
      <c r="CD29" s="148">
        <v>28</v>
      </c>
      <c r="CE29" s="150">
        <v>38</v>
      </c>
      <c r="CF29" s="137">
        <f t="shared" si="36"/>
        <v>66</v>
      </c>
      <c r="CG29" s="137">
        <f t="shared" si="37"/>
        <v>66</v>
      </c>
      <c r="CH29" s="135" t="str">
        <f t="shared" si="38"/>
        <v>B</v>
      </c>
      <c r="CI29" s="135" t="str">
        <f>VLOOKUP(RANK(CG29,$CG$10:$CG$109),Sheet1!$A$381:$B$480,2,FALSE)</f>
        <v>28th</v>
      </c>
      <c r="CJ29" s="137"/>
      <c r="CK29" s="137"/>
      <c r="CL29" s="137">
        <f t="shared" si="39"/>
        <v>0</v>
      </c>
      <c r="CM29" s="137">
        <f t="shared" si="40"/>
        <v>0</v>
      </c>
      <c r="CN29" s="135" t="str">
        <f t="shared" si="41"/>
        <v>F</v>
      </c>
      <c r="CO29" s="135" t="str">
        <f>VLOOKUP(RANK(CM29,$CM$10:$CM$109),Sheet1!$A$381:$B$480,2,FALSE)</f>
        <v>1st</v>
      </c>
      <c r="CP29" s="137"/>
      <c r="CQ29" s="137"/>
      <c r="CR29" s="137">
        <f t="shared" si="42"/>
        <v>0</v>
      </c>
      <c r="CS29" s="137">
        <f t="shared" si="43"/>
        <v>0</v>
      </c>
      <c r="CT29" s="135" t="str">
        <f t="shared" si="44"/>
        <v>F</v>
      </c>
      <c r="CU29" s="135" t="str">
        <f>VLOOKUP(RANK(CS29,$CS$10:$CS$109),Sheet1!$A$381:$B$480,2,FALSE)</f>
        <v>1st</v>
      </c>
      <c r="CV29" s="151"/>
      <c r="CW29" s="135"/>
      <c r="CX29" s="151">
        <f t="shared" si="192"/>
        <v>0</v>
      </c>
      <c r="CY29" s="151">
        <f t="shared" si="193"/>
        <v>0</v>
      </c>
      <c r="CZ29" s="135" t="str">
        <f t="shared" si="45"/>
        <v>F</v>
      </c>
      <c r="DA29" s="135" t="str">
        <f>VLOOKUP(RANK(CY29,$CY$10:$CY$109),Sheet1!$A$381:$B$480,2,FALSE)</f>
        <v>1st</v>
      </c>
      <c r="DB29" s="135"/>
      <c r="DC29" s="151">
        <f t="shared" si="194"/>
        <v>856</v>
      </c>
      <c r="DD29" s="151">
        <f t="shared" si="195"/>
        <v>50.352941176470601</v>
      </c>
      <c r="DE29" s="135" t="str">
        <f>VLOOKUP(RANK(DD29,$DD$10:$DD$109),Sheet1!$A$381:$B$480,2,FALSE)</f>
        <v>3rd</v>
      </c>
      <c r="DF29" s="137"/>
      <c r="DG29" s="160">
        <f t="shared" si="46"/>
        <v>906.35294117647095</v>
      </c>
      <c r="DH29" s="119"/>
      <c r="DI29" s="163">
        <v>23</v>
      </c>
      <c r="DJ29" s="163">
        <v>53</v>
      </c>
      <c r="DK29" s="137">
        <f t="shared" si="47"/>
        <v>76</v>
      </c>
      <c r="DL29" s="137" t="str">
        <f t="shared" si="48"/>
        <v>65</v>
      </c>
      <c r="DM29" s="137">
        <f t="shared" si="49"/>
        <v>141</v>
      </c>
      <c r="DN29" s="137">
        <f t="shared" si="50"/>
        <v>70.5</v>
      </c>
      <c r="DO29" s="135" t="str">
        <f t="shared" si="51"/>
        <v>B</v>
      </c>
      <c r="DP29" s="135" t="str">
        <f>VLOOKUP(RANK(DN29,$DN$10:$DN$109),Sheet1!$A$381:$B$480,2,FALSE)</f>
        <v>35th</v>
      </c>
      <c r="DQ29" s="164">
        <v>22</v>
      </c>
      <c r="DR29" s="165">
        <v>24</v>
      </c>
      <c r="DS29" s="137">
        <f t="shared" si="52"/>
        <v>46</v>
      </c>
      <c r="DT29" s="137" t="str">
        <f t="shared" si="53"/>
        <v>91</v>
      </c>
      <c r="DU29" s="137">
        <f t="shared" si="54"/>
        <v>137</v>
      </c>
      <c r="DV29" s="137">
        <f t="shared" si="55"/>
        <v>68.5</v>
      </c>
      <c r="DW29" s="135" t="str">
        <f t="shared" si="56"/>
        <v>B</v>
      </c>
      <c r="DX29" s="135" t="str">
        <f>VLOOKUP(RANK(DV29,$DV$10:$DV$109),Sheet1!$A$381:$B$480,2,FALSE)</f>
        <v>3rd</v>
      </c>
      <c r="DY29" s="167">
        <v>35</v>
      </c>
      <c r="DZ29" s="165">
        <v>29</v>
      </c>
      <c r="EA29" s="137">
        <f t="shared" si="57"/>
        <v>64</v>
      </c>
      <c r="EB29" s="137" t="str">
        <f t="shared" si="58"/>
        <v>65</v>
      </c>
      <c r="EC29" s="137">
        <f t="shared" si="59"/>
        <v>129</v>
      </c>
      <c r="ED29" s="137">
        <f t="shared" si="60"/>
        <v>64.5</v>
      </c>
      <c r="EE29" s="135" t="str">
        <f t="shared" si="61"/>
        <v>B</v>
      </c>
      <c r="EF29" s="135" t="str">
        <f>VLOOKUP(RANK(ED29,$ED$10:$ED$109),Sheet1!$A$381:$B$480,2,FALSE)</f>
        <v>5th</v>
      </c>
      <c r="EG29" s="163">
        <v>30</v>
      </c>
      <c r="EH29" s="163">
        <v>52</v>
      </c>
      <c r="EI29" s="137">
        <f t="shared" si="62"/>
        <v>82</v>
      </c>
      <c r="EJ29" s="137" t="str">
        <f t="shared" si="63"/>
        <v>93</v>
      </c>
      <c r="EK29" s="137">
        <f t="shared" si="64"/>
        <v>175</v>
      </c>
      <c r="EL29" s="137">
        <f t="shared" si="65"/>
        <v>87.5</v>
      </c>
      <c r="EM29" s="135" t="str">
        <f t="shared" si="66"/>
        <v>A</v>
      </c>
      <c r="EN29" s="135" t="str">
        <f>VLOOKUP(RANK(EL29,$EL$10:$EL$109),Sheet1!$A$381:$B$480,2,FALSE)</f>
        <v>1st</v>
      </c>
      <c r="EO29" s="163">
        <v>35</v>
      </c>
      <c r="EP29" s="163">
        <v>47</v>
      </c>
      <c r="EQ29" s="137">
        <f t="shared" si="67"/>
        <v>82</v>
      </c>
      <c r="ER29" s="137" t="str">
        <f t="shared" si="68"/>
        <v>93</v>
      </c>
      <c r="ES29" s="137">
        <f t="shared" si="69"/>
        <v>175</v>
      </c>
      <c r="ET29" s="137">
        <f t="shared" si="70"/>
        <v>87.5</v>
      </c>
      <c r="EU29" s="135" t="str">
        <f t="shared" si="71"/>
        <v>A</v>
      </c>
      <c r="EV29" s="135" t="str">
        <f>VLOOKUP(RANK(ET29,$ET$10:$ET$109),Sheet1!$A$381:$B$480,2,FALSE)</f>
        <v>2nd</v>
      </c>
      <c r="EW29" s="137"/>
      <c r="EX29" s="137"/>
      <c r="EY29" s="137">
        <f t="shared" si="72"/>
        <v>0</v>
      </c>
      <c r="EZ29" s="137" t="str">
        <f t="shared" si="73"/>
        <v>0</v>
      </c>
      <c r="FA29" s="137">
        <f t="shared" si="74"/>
        <v>0</v>
      </c>
      <c r="FB29" s="137">
        <f t="shared" si="75"/>
        <v>0</v>
      </c>
      <c r="FC29" s="135" t="str">
        <f t="shared" si="76"/>
        <v>F</v>
      </c>
      <c r="FD29" s="135" t="str">
        <f>VLOOKUP(RANK(FB29,$FB$10:$FB$109),Sheet1!$A$381:$B$480,2,FALSE)</f>
        <v>1st</v>
      </c>
      <c r="FE29" s="137"/>
      <c r="FF29" s="137"/>
      <c r="FG29" s="137">
        <f t="shared" si="77"/>
        <v>0</v>
      </c>
      <c r="FH29" s="137" t="str">
        <f t="shared" si="78"/>
        <v>0</v>
      </c>
      <c r="FI29" s="137">
        <f t="shared" si="79"/>
        <v>0</v>
      </c>
      <c r="FJ29" s="137">
        <f t="shared" si="80"/>
        <v>0</v>
      </c>
      <c r="FK29" s="135" t="str">
        <f t="shared" si="81"/>
        <v>F</v>
      </c>
      <c r="FL29" s="135" t="str">
        <f>VLOOKUP(RANK(FJ29,$FJ$10:$FJ$109),Sheet1!$A$381:$B$480,2,FALSE)</f>
        <v>1st</v>
      </c>
      <c r="FM29" s="164">
        <v>30</v>
      </c>
      <c r="FN29" s="165">
        <v>51</v>
      </c>
      <c r="FO29" s="137">
        <f t="shared" si="82"/>
        <v>81</v>
      </c>
      <c r="FP29" s="137" t="str">
        <f t="shared" si="83"/>
        <v>70</v>
      </c>
      <c r="FQ29" s="137">
        <f t="shared" si="84"/>
        <v>151</v>
      </c>
      <c r="FR29" s="137">
        <f t="shared" si="85"/>
        <v>75.5</v>
      </c>
      <c r="FS29" s="135" t="str">
        <f t="shared" si="86"/>
        <v>A</v>
      </c>
      <c r="FT29" s="135" t="str">
        <f>VLOOKUP(RANK(FR29,$FR$10:$FR$109),Sheet1!$A$381:$B$480,2,FALSE)</f>
        <v>1st</v>
      </c>
      <c r="FU29" s="148">
        <v>38</v>
      </c>
      <c r="FV29" s="150">
        <v>30</v>
      </c>
      <c r="FW29" s="137">
        <f t="shared" si="87"/>
        <v>68</v>
      </c>
      <c r="FX29" s="137" t="str">
        <f t="shared" si="88"/>
        <v>88</v>
      </c>
      <c r="FY29" s="137">
        <f t="shared" si="196"/>
        <v>68</v>
      </c>
      <c r="FZ29" s="137">
        <f t="shared" si="89"/>
        <v>34</v>
      </c>
      <c r="GA29" s="135" t="str">
        <f t="shared" si="90"/>
        <v>F</v>
      </c>
      <c r="GB29" s="135" t="str">
        <f>VLOOKUP(RANK(FZ29,$FZ$10:$FZ$109),Sheet1!$A$381:$B$480,2,FALSE)</f>
        <v>4th</v>
      </c>
      <c r="GC29" s="164">
        <v>30</v>
      </c>
      <c r="GD29" s="165">
        <v>40</v>
      </c>
      <c r="GE29" s="137">
        <f t="shared" si="91"/>
        <v>70</v>
      </c>
      <c r="GF29" s="137" t="str">
        <f t="shared" si="92"/>
        <v>60</v>
      </c>
      <c r="GG29" s="135">
        <f t="shared" si="197"/>
        <v>130</v>
      </c>
      <c r="GH29" s="137">
        <f t="shared" si="198"/>
        <v>65</v>
      </c>
      <c r="GI29" s="135" t="str">
        <f t="shared" si="93"/>
        <v>B</v>
      </c>
      <c r="GJ29" s="135" t="str">
        <f>VLOOKUP(RANK(GH29,$GH$10:$GH$109),Sheet1!$A$381:$B$480,2,FALSE)</f>
        <v>3rd</v>
      </c>
      <c r="GK29" s="164">
        <v>31</v>
      </c>
      <c r="GL29" s="165">
        <v>29</v>
      </c>
      <c r="GM29" s="137">
        <f t="shared" si="94"/>
        <v>60</v>
      </c>
      <c r="GN29" s="137" t="str">
        <f t="shared" si="95"/>
        <v>49</v>
      </c>
      <c r="GO29" s="135">
        <f t="shared" si="199"/>
        <v>109</v>
      </c>
      <c r="GP29" s="137">
        <f t="shared" si="96"/>
        <v>54.5</v>
      </c>
      <c r="GQ29" s="135" t="str">
        <f t="shared" si="97"/>
        <v>C</v>
      </c>
      <c r="GR29" s="135" t="str">
        <f>VLOOKUP(RANK(GP29,$GP$10:$GP$109),Sheet1!$A$381:$B$480,2,FALSE)</f>
        <v>3rd</v>
      </c>
      <c r="GS29" s="164">
        <v>28</v>
      </c>
      <c r="GT29" s="165">
        <v>56</v>
      </c>
      <c r="GU29" s="137">
        <f t="shared" si="98"/>
        <v>84</v>
      </c>
      <c r="GV29" s="137" t="str">
        <f t="shared" si="99"/>
        <v>71</v>
      </c>
      <c r="GW29" s="137">
        <f t="shared" si="100"/>
        <v>155</v>
      </c>
      <c r="GX29" s="137">
        <f t="shared" si="101"/>
        <v>77.5</v>
      </c>
      <c r="GY29" s="135" t="str">
        <f t="shared" si="102"/>
        <v>A</v>
      </c>
      <c r="GZ29" s="135" t="str">
        <f>VLOOKUP(RANK(GX29,$GX$10:$GX$109),Sheet1!$A$381:$B$480,2,FALSE)</f>
        <v>5th</v>
      </c>
      <c r="HA29" s="164">
        <v>31</v>
      </c>
      <c r="HB29" s="165">
        <v>31</v>
      </c>
      <c r="HC29" s="137">
        <f t="shared" si="103"/>
        <v>62</v>
      </c>
      <c r="HD29" s="137" t="str">
        <f t="shared" si="104"/>
        <v>45</v>
      </c>
      <c r="HE29" s="137">
        <f t="shared" si="105"/>
        <v>107</v>
      </c>
      <c r="HF29" s="137">
        <f t="shared" si="106"/>
        <v>53.5</v>
      </c>
      <c r="HG29" s="135" t="str">
        <f t="shared" si="107"/>
        <v>C</v>
      </c>
      <c r="HH29" s="135" t="str">
        <f>VLOOKUP(RANK(HF29,$HF$10:$HF$109),Sheet1!$A$381:$B$480,2,FALSE)</f>
        <v>7th</v>
      </c>
      <c r="HI29" s="148">
        <v>24</v>
      </c>
      <c r="HJ29" s="150">
        <v>47</v>
      </c>
      <c r="HK29" s="137">
        <f t="shared" si="108"/>
        <v>71</v>
      </c>
      <c r="HL29" s="137" t="str">
        <f t="shared" si="109"/>
        <v>66</v>
      </c>
      <c r="HM29" s="137">
        <f t="shared" si="110"/>
        <v>137</v>
      </c>
      <c r="HN29" s="137">
        <f t="shared" si="111"/>
        <v>68.5</v>
      </c>
      <c r="HO29" s="135" t="str">
        <f t="shared" si="112"/>
        <v>B</v>
      </c>
      <c r="HP29" s="135" t="str">
        <f>VLOOKUP(RANK(HN29,$HN$10:$HN$109),Sheet1!$A$381:$B$480,2,FALSE)</f>
        <v>28th</v>
      </c>
      <c r="HQ29" s="137"/>
      <c r="HR29" s="137"/>
      <c r="HS29" s="137">
        <f t="shared" si="113"/>
        <v>0</v>
      </c>
      <c r="HT29" s="137" t="str">
        <f t="shared" si="114"/>
        <v>0</v>
      </c>
      <c r="HU29" s="137">
        <f t="shared" si="115"/>
        <v>0</v>
      </c>
      <c r="HV29" s="137">
        <f t="shared" si="116"/>
        <v>0</v>
      </c>
      <c r="HW29" s="135" t="str">
        <f t="shared" si="117"/>
        <v>F</v>
      </c>
      <c r="HX29" s="135" t="str">
        <f>VLOOKUP(RANK(HV29,$HV$10:$HV$109),Sheet1!$A$381:$B$480,2,FALSE)</f>
        <v>1st</v>
      </c>
      <c r="HY29" s="137"/>
      <c r="HZ29" s="137"/>
      <c r="IA29" s="137">
        <f t="shared" si="118"/>
        <v>0</v>
      </c>
      <c r="IB29" s="137" t="str">
        <f t="shared" si="119"/>
        <v>0</v>
      </c>
      <c r="IC29" s="137">
        <f t="shared" si="120"/>
        <v>0</v>
      </c>
      <c r="ID29" s="137">
        <f t="shared" si="121"/>
        <v>0</v>
      </c>
      <c r="IE29" s="135" t="str">
        <f t="shared" si="122"/>
        <v>F</v>
      </c>
      <c r="IF29" s="135" t="str">
        <f>VLOOKUP(RANK(ID29,$ID$10:$ID$109),Sheet1!$A$381:$B$480,2,FALSE)</f>
        <v>1st</v>
      </c>
      <c r="IG29" s="135"/>
      <c r="IH29" s="135"/>
      <c r="II29" s="135">
        <f t="shared" si="200"/>
        <v>0</v>
      </c>
      <c r="IJ29" s="135" t="str">
        <f t="shared" si="201"/>
        <v>0</v>
      </c>
      <c r="IK29" s="135">
        <f t="shared" si="202"/>
        <v>0</v>
      </c>
      <c r="IL29" s="135">
        <f t="shared" si="203"/>
        <v>0</v>
      </c>
      <c r="IM29" s="135" t="str">
        <f t="shared" si="123"/>
        <v>F</v>
      </c>
      <c r="IN29" s="135" t="str">
        <f>VLOOKUP(RANK(IL29,$IL$10:$IL$109),Sheet1!$A$381:$B$480,2,FALSE)</f>
        <v>1st</v>
      </c>
      <c r="IO29" s="135">
        <f t="shared" si="204"/>
        <v>807</v>
      </c>
      <c r="IP29" s="177">
        <f t="shared" si="205"/>
        <v>47.470588235294102</v>
      </c>
      <c r="IQ29" s="135" t="str">
        <f>VLOOKUP(RANK(IP29,$IP$10:$IP$109),Sheet1!$A$381:$B$480,2,FALSE)</f>
        <v>3rd</v>
      </c>
      <c r="IR29" s="178"/>
      <c r="IS29" s="137"/>
      <c r="IT29" s="137"/>
      <c r="IU29" s="137"/>
      <c r="IV29" s="137"/>
      <c r="IW29" s="181"/>
      <c r="IX29" s="184"/>
      <c r="IY29" s="186"/>
      <c r="IZ29" s="186">
        <f t="shared" si="206"/>
        <v>0</v>
      </c>
      <c r="JA29" s="186" t="str">
        <f t="shared" si="124"/>
        <v>65</v>
      </c>
      <c r="JB29" s="186" t="str">
        <f t="shared" si="125"/>
        <v>76</v>
      </c>
      <c r="JC29" s="186">
        <f t="shared" si="207"/>
        <v>141</v>
      </c>
      <c r="JD29" s="186">
        <f t="shared" si="208"/>
        <v>47</v>
      </c>
      <c r="JE29" s="135" t="str">
        <f t="shared" si="126"/>
        <v>D</v>
      </c>
      <c r="JF29" s="151" t="str">
        <f>VLOOKUP(RANK(JD29,$JD$10:$JD$109),Sheet1!$A$381:$B$480,2,FALSE)</f>
        <v>35th</v>
      </c>
      <c r="JG29" s="186"/>
      <c r="JH29" s="186"/>
      <c r="JI29" s="186">
        <f t="shared" si="127"/>
        <v>0</v>
      </c>
      <c r="JJ29" s="186" t="str">
        <f t="shared" si="128"/>
        <v>91</v>
      </c>
      <c r="JK29" s="186" t="str">
        <f t="shared" si="129"/>
        <v>46</v>
      </c>
      <c r="JL29" s="186">
        <f t="shared" si="209"/>
        <v>137</v>
      </c>
      <c r="JM29" s="186">
        <f t="shared" si="210"/>
        <v>45.6666666666667</v>
      </c>
      <c r="JN29" s="135" t="str">
        <f t="shared" si="130"/>
        <v>D</v>
      </c>
      <c r="JO29" s="151" t="str">
        <f>VLOOKUP(RANK(JM29,$JM$10:$JM$109),Sheet1!$A$381:$B$480,2,FALSE)</f>
        <v>3rd</v>
      </c>
      <c r="JP29" s="186"/>
      <c r="JQ29" s="186"/>
      <c r="JR29" s="186">
        <f t="shared" si="131"/>
        <v>0</v>
      </c>
      <c r="JS29" s="186" t="str">
        <f t="shared" si="132"/>
        <v>65</v>
      </c>
      <c r="JT29" s="186" t="str">
        <f t="shared" si="133"/>
        <v>64</v>
      </c>
      <c r="JU29" s="186">
        <f t="shared" si="211"/>
        <v>129</v>
      </c>
      <c r="JV29" s="186">
        <f t="shared" si="212"/>
        <v>43</v>
      </c>
      <c r="JW29" s="135" t="str">
        <f t="shared" si="134"/>
        <v>D</v>
      </c>
      <c r="JX29" s="151" t="str">
        <f>VLOOKUP(RANK(JV29,$JV$10:$JV$109),Sheet1!$A$381:$B$480,2,FALSE)</f>
        <v>5th</v>
      </c>
      <c r="JY29" s="186"/>
      <c r="JZ29" s="186"/>
      <c r="KA29" s="186">
        <f t="shared" si="135"/>
        <v>0</v>
      </c>
      <c r="KB29" s="186" t="str">
        <f t="shared" si="136"/>
        <v>93</v>
      </c>
      <c r="KC29" s="186" t="str">
        <f t="shared" si="137"/>
        <v>82</v>
      </c>
      <c r="KD29" s="186">
        <f t="shared" si="213"/>
        <v>175</v>
      </c>
      <c r="KE29" s="186">
        <f t="shared" si="214"/>
        <v>58.3333333333333</v>
      </c>
      <c r="KF29" s="135" t="str">
        <f t="shared" si="138"/>
        <v>C</v>
      </c>
      <c r="KG29" s="151" t="str">
        <f>VLOOKUP(RANK(KE29,$KE$10:$KE$109),Sheet1!$A$381:$B$480,2,FALSE)</f>
        <v>1st</v>
      </c>
      <c r="KH29" s="186"/>
      <c r="KI29" s="186"/>
      <c r="KJ29" s="186">
        <f t="shared" si="139"/>
        <v>0</v>
      </c>
      <c r="KK29" s="186" t="str">
        <f t="shared" si="140"/>
        <v>93</v>
      </c>
      <c r="KL29" s="186" t="str">
        <f t="shared" si="141"/>
        <v>82</v>
      </c>
      <c r="KM29" s="186">
        <f t="shared" si="215"/>
        <v>175</v>
      </c>
      <c r="KN29" s="186">
        <f t="shared" si="216"/>
        <v>58.3333333333333</v>
      </c>
      <c r="KO29" s="135" t="str">
        <f t="shared" si="142"/>
        <v>C</v>
      </c>
      <c r="KP29" s="151" t="str">
        <f>VLOOKUP(RANK(KN29,$KN$10:$KN$109),Sheet1!$A$381:$B$480,2,FALSE)</f>
        <v>2nd</v>
      </c>
      <c r="KQ29" s="186"/>
      <c r="KR29" s="186"/>
      <c r="KS29" s="186">
        <f t="shared" si="143"/>
        <v>0</v>
      </c>
      <c r="KT29" s="186" t="str">
        <f t="shared" si="144"/>
        <v>0</v>
      </c>
      <c r="KU29" s="186" t="str">
        <f t="shared" si="145"/>
        <v>0</v>
      </c>
      <c r="KV29" s="186">
        <f t="shared" si="217"/>
        <v>0</v>
      </c>
      <c r="KW29" s="186">
        <f t="shared" si="218"/>
        <v>0</v>
      </c>
      <c r="KX29" s="135" t="str">
        <f t="shared" si="146"/>
        <v>F</v>
      </c>
      <c r="KY29" s="151" t="str">
        <f>VLOOKUP(RANK(KW29,$KW$10:$KW$109),Sheet1!$A$381:$B$480,2,FALSE)</f>
        <v>1st</v>
      </c>
      <c r="KZ29" s="186"/>
      <c r="LA29" s="186"/>
      <c r="LB29" s="186">
        <f t="shared" si="147"/>
        <v>0</v>
      </c>
      <c r="LC29" s="186" t="str">
        <f t="shared" si="148"/>
        <v>0</v>
      </c>
      <c r="LD29" s="186" t="str">
        <f t="shared" si="149"/>
        <v>0</v>
      </c>
      <c r="LE29" s="186">
        <f t="shared" si="219"/>
        <v>0</v>
      </c>
      <c r="LF29" s="186">
        <f t="shared" si="220"/>
        <v>0</v>
      </c>
      <c r="LG29" s="135" t="str">
        <f t="shared" si="150"/>
        <v>F</v>
      </c>
      <c r="LH29" s="151" t="str">
        <f>VLOOKUP(RANK(LF29,$LF$10:$LF$109),Sheet1!$A$381:$B$480,2,FALSE)</f>
        <v>1st</v>
      </c>
      <c r="LI29" s="186"/>
      <c r="LJ29" s="186"/>
      <c r="LK29" s="186">
        <f t="shared" si="151"/>
        <v>0</v>
      </c>
      <c r="LL29" s="186" t="str">
        <f t="shared" si="152"/>
        <v>70</v>
      </c>
      <c r="LM29" s="186" t="str">
        <f t="shared" si="153"/>
        <v>81</v>
      </c>
      <c r="LN29" s="186">
        <f t="shared" si="221"/>
        <v>151</v>
      </c>
      <c r="LO29" s="186">
        <f t="shared" si="222"/>
        <v>50.3333333333333</v>
      </c>
      <c r="LP29" s="135" t="str">
        <f t="shared" si="154"/>
        <v>C</v>
      </c>
      <c r="LQ29" s="151" t="str">
        <f>VLOOKUP(RANK(LO29,$LO$10:$LO$109),Sheet1!$A$381:$B$480,2,FALSE)</f>
        <v>1st</v>
      </c>
      <c r="LR29" s="186"/>
      <c r="LS29" s="186"/>
      <c r="LT29" s="186">
        <f t="shared" si="155"/>
        <v>0</v>
      </c>
      <c r="LU29" s="186" t="str">
        <f t="shared" si="156"/>
        <v>88</v>
      </c>
      <c r="LV29" s="186" t="str">
        <f t="shared" si="157"/>
        <v>68</v>
      </c>
      <c r="LW29" s="186">
        <f t="shared" si="223"/>
        <v>156</v>
      </c>
      <c r="LX29" s="186">
        <f t="shared" si="224"/>
        <v>52</v>
      </c>
      <c r="LY29" s="135" t="str">
        <f t="shared" si="158"/>
        <v>C</v>
      </c>
      <c r="LZ29" s="151" t="str">
        <f>VLOOKUP(RANK(LX29,$LX$10:$LX$109),Sheet1!$A$381:$B$480,2,FALSE)</f>
        <v>2nd</v>
      </c>
      <c r="MA29" s="186"/>
      <c r="MB29" s="186"/>
      <c r="MC29" s="186">
        <f t="shared" si="159"/>
        <v>0</v>
      </c>
      <c r="MD29" s="186" t="str">
        <f t="shared" si="160"/>
        <v>60</v>
      </c>
      <c r="ME29" s="186" t="str">
        <f t="shared" si="161"/>
        <v>70</v>
      </c>
      <c r="MF29" s="183">
        <f t="shared" si="225"/>
        <v>130</v>
      </c>
      <c r="MG29" s="151">
        <f t="shared" si="226"/>
        <v>43.3333333333333</v>
      </c>
      <c r="MH29" s="135" t="str">
        <f t="shared" si="162"/>
        <v>D</v>
      </c>
      <c r="MI29" s="151" t="str">
        <f>VLOOKUP(RANK(MG29,$MG$10:$MG$109),Sheet1!$A$381:$B$480,2,FALSE)</f>
        <v>3rd</v>
      </c>
      <c r="MJ29" s="186"/>
      <c r="MK29" s="186"/>
      <c r="ML29" s="186">
        <f t="shared" si="163"/>
        <v>0</v>
      </c>
      <c r="MM29" s="186" t="str">
        <f t="shared" si="164"/>
        <v>49</v>
      </c>
      <c r="MN29" s="186" t="str">
        <f t="shared" si="165"/>
        <v>60</v>
      </c>
      <c r="MO29" s="186">
        <f t="shared" si="227"/>
        <v>109</v>
      </c>
      <c r="MP29" s="186">
        <f t="shared" si="228"/>
        <v>36.3333333333333</v>
      </c>
      <c r="MQ29" s="135" t="str">
        <f t="shared" si="166"/>
        <v>E</v>
      </c>
      <c r="MR29" s="151" t="str">
        <f>VLOOKUP(RANK(MP29,$MP$10:$MP$109),Sheet1!$A$381:$B$480,2,FALSE)</f>
        <v>3rd</v>
      </c>
      <c r="MS29" s="186"/>
      <c r="MT29" s="186"/>
      <c r="MU29" s="186">
        <f t="shared" si="167"/>
        <v>0</v>
      </c>
      <c r="MV29" s="186" t="str">
        <f t="shared" si="168"/>
        <v>71</v>
      </c>
      <c r="MW29" s="186" t="str">
        <f t="shared" si="169"/>
        <v>84</v>
      </c>
      <c r="MX29" s="186">
        <f t="shared" si="229"/>
        <v>155</v>
      </c>
      <c r="MY29" s="186">
        <f t="shared" si="230"/>
        <v>51.6666666666667</v>
      </c>
      <c r="MZ29" s="135" t="str">
        <f t="shared" si="170"/>
        <v>C</v>
      </c>
      <c r="NA29" s="151" t="str">
        <f>VLOOKUP(RANK(MY29,$MY$10:$MY$109),Sheet1!$A$381:$B$480,2,FALSE)</f>
        <v>5th</v>
      </c>
      <c r="NB29" s="186"/>
      <c r="NC29" s="186"/>
      <c r="ND29" s="186">
        <f t="shared" si="171"/>
        <v>0</v>
      </c>
      <c r="NE29" s="186" t="str">
        <f t="shared" si="172"/>
        <v>45</v>
      </c>
      <c r="NF29" s="186" t="str">
        <f t="shared" si="173"/>
        <v>62</v>
      </c>
      <c r="NG29" s="186">
        <f t="shared" si="231"/>
        <v>107</v>
      </c>
      <c r="NH29" s="186">
        <f t="shared" si="232"/>
        <v>35.6666666666667</v>
      </c>
      <c r="NI29" s="135" t="str">
        <f t="shared" si="174"/>
        <v>E</v>
      </c>
      <c r="NJ29" s="151" t="str">
        <f>VLOOKUP(RANK(NH29,$NH$10:$NH$109),Sheet1!$A$381:$B$480,2,FALSE)</f>
        <v>7th</v>
      </c>
      <c r="NK29" s="186"/>
      <c r="NL29" s="186"/>
      <c r="NM29" s="186">
        <f t="shared" si="175"/>
        <v>0</v>
      </c>
      <c r="NN29" s="186" t="str">
        <f t="shared" si="176"/>
        <v>66</v>
      </c>
      <c r="NO29" s="186" t="str">
        <f t="shared" si="177"/>
        <v>71</v>
      </c>
      <c r="NP29" s="186">
        <f t="shared" si="233"/>
        <v>137</v>
      </c>
      <c r="NQ29" s="186">
        <f t="shared" si="178"/>
        <v>45.6666666666667</v>
      </c>
      <c r="NR29" s="135" t="str">
        <f t="shared" si="179"/>
        <v>D</v>
      </c>
      <c r="NS29" s="151" t="str">
        <f>VLOOKUP(RANK(NQ29,$NQ$10:$NQ$109),Sheet1!$A$381:$B$480,2,FALSE)</f>
        <v>28th</v>
      </c>
      <c r="NT29" s="186"/>
      <c r="NU29" s="186"/>
      <c r="NV29" s="186">
        <f t="shared" si="180"/>
        <v>0</v>
      </c>
      <c r="NW29" s="186" t="str">
        <f t="shared" si="181"/>
        <v>0</v>
      </c>
      <c r="NX29" s="186" t="str">
        <f t="shared" si="182"/>
        <v>0</v>
      </c>
      <c r="NY29" s="186">
        <f t="shared" si="234"/>
        <v>0</v>
      </c>
      <c r="NZ29" s="186">
        <f t="shared" si="183"/>
        <v>0</v>
      </c>
      <c r="OA29" s="135" t="str">
        <f t="shared" si="184"/>
        <v>F</v>
      </c>
      <c r="OB29" s="151" t="str">
        <f>VLOOKUP(RANK(NZ29,$NZ$10:$NZ$109),Sheet1!$A$381:$B$480,2,FALSE)</f>
        <v>1st</v>
      </c>
      <c r="OC29" s="186"/>
      <c r="OD29" s="186"/>
      <c r="OE29" s="186">
        <f t="shared" si="185"/>
        <v>0</v>
      </c>
      <c r="OF29" s="186" t="str">
        <f t="shared" si="186"/>
        <v>0</v>
      </c>
      <c r="OG29" s="186" t="str">
        <f t="shared" si="187"/>
        <v>0</v>
      </c>
      <c r="OH29" s="186">
        <f t="shared" si="235"/>
        <v>0</v>
      </c>
      <c r="OI29" s="186">
        <f t="shared" si="236"/>
        <v>0</v>
      </c>
      <c r="OJ29" s="135" t="str">
        <f t="shared" si="188"/>
        <v>F</v>
      </c>
      <c r="OK29" s="151" t="str">
        <f>VLOOKUP(RANK(OI29,$OI$10:$OI$109),Sheet1!$A$381:$B$480,2,FALSE)</f>
        <v>1st</v>
      </c>
      <c r="OL29" s="151"/>
      <c r="OM29" s="151"/>
      <c r="ON29" s="151">
        <f t="shared" si="237"/>
        <v>0</v>
      </c>
      <c r="OO29" s="151" t="str">
        <f t="shared" si="238"/>
        <v>0</v>
      </c>
      <c r="OP29" s="151" t="str">
        <f t="shared" si="239"/>
        <v>0</v>
      </c>
      <c r="OQ29" s="151">
        <f t="shared" si="240"/>
        <v>0</v>
      </c>
      <c r="OR29" s="151">
        <f t="shared" si="241"/>
        <v>0</v>
      </c>
      <c r="OS29" s="135" t="str">
        <f t="shared" si="189"/>
        <v>F</v>
      </c>
      <c r="OT29" s="151" t="str">
        <f>VLOOKUP(RANK(OR29,$OI$10:$OI$109),Sheet1!$A$381:$B$480,2,FALSE)</f>
        <v>1st</v>
      </c>
      <c r="OU29" s="151">
        <f t="shared" si="242"/>
        <v>567.33333333333303</v>
      </c>
      <c r="OV29" s="151">
        <f t="shared" si="243"/>
        <v>33.372549019607803</v>
      </c>
      <c r="OW29" s="151" t="str">
        <f>VLOOKUP(RANK(OV29,$OV$10:$OV$109),Sheet1!$A$381:$B$480,2,FALSE)</f>
        <v>3rd</v>
      </c>
      <c r="OX29" s="151"/>
      <c r="OY29" s="186"/>
      <c r="OZ29" s="186"/>
      <c r="PA29" s="186"/>
      <c r="PB29" s="186"/>
    </row>
    <row r="30" spans="1:418" s="118" customFormat="1" ht="18.75">
      <c r="A30" s="131">
        <v>21</v>
      </c>
      <c r="B30" s="132" t="s">
        <v>118</v>
      </c>
      <c r="C30" s="133" t="s">
        <v>97</v>
      </c>
      <c r="D30" s="134">
        <v>21</v>
      </c>
      <c r="E30" s="134">
        <v>31</v>
      </c>
      <c r="F30" s="137">
        <f t="shared" si="0"/>
        <v>52</v>
      </c>
      <c r="G30" s="137">
        <f t="shared" si="1"/>
        <v>52</v>
      </c>
      <c r="H30" s="135" t="str">
        <f t="shared" si="190"/>
        <v>C</v>
      </c>
      <c r="I30" s="135" t="str">
        <f>VLOOKUP(RANK(G30,$G$10:$G$109),Sheet1!$A$381:$B$480,2,FALSE)</f>
        <v>93rd</v>
      </c>
      <c r="J30" s="134">
        <v>30</v>
      </c>
      <c r="K30" s="134">
        <v>25</v>
      </c>
      <c r="L30" s="137">
        <f t="shared" si="2"/>
        <v>55</v>
      </c>
      <c r="M30" s="137">
        <f t="shared" si="3"/>
        <v>55</v>
      </c>
      <c r="N30" s="135" t="str">
        <f t="shared" si="4"/>
        <v>C</v>
      </c>
      <c r="O30" s="141" t="str">
        <f>VLOOKUP(RANK(M30,$M$10:$M$109),Sheet1!$A$381:$B$480,2,FALSE)</f>
        <v>36th</v>
      </c>
      <c r="P30" s="142">
        <v>31</v>
      </c>
      <c r="Q30" s="145">
        <v>1</v>
      </c>
      <c r="R30" s="147">
        <f t="shared" si="5"/>
        <v>32</v>
      </c>
      <c r="S30" s="137">
        <f t="shared" si="6"/>
        <v>32</v>
      </c>
      <c r="T30" s="135" t="str">
        <f t="shared" si="7"/>
        <v>F</v>
      </c>
      <c r="U30" s="135" t="str">
        <f>VLOOKUP(RANK(S30,$S$10:$S$109),Sheet1!$A$381:$B$480,2,FALSE)</f>
        <v>79th</v>
      </c>
      <c r="V30" s="134">
        <v>30</v>
      </c>
      <c r="W30" s="134">
        <v>28</v>
      </c>
      <c r="X30" s="137">
        <f t="shared" si="191"/>
        <v>58</v>
      </c>
      <c r="Y30" s="137">
        <f t="shared" si="244"/>
        <v>58</v>
      </c>
      <c r="Z30" s="135" t="str">
        <f t="shared" si="8"/>
        <v>C</v>
      </c>
      <c r="AA30" s="135" t="str">
        <f>VLOOKUP(RANK(Y30,$Y$10:$Y$109),Sheet1!$A$381:$B$480,2,FALSE)</f>
        <v>38th</v>
      </c>
      <c r="AB30" s="134">
        <v>30</v>
      </c>
      <c r="AC30" s="134">
        <v>30</v>
      </c>
      <c r="AD30" s="137">
        <f t="shared" si="9"/>
        <v>60</v>
      </c>
      <c r="AE30" s="137">
        <f t="shared" si="10"/>
        <v>60</v>
      </c>
      <c r="AF30" s="135" t="str">
        <f t="shared" si="11"/>
        <v>B</v>
      </c>
      <c r="AG30" s="135" t="str">
        <f>VLOOKUP(RANK(AE30,$AE$10:$AE$109),Sheet1!$A$381:$B$480,2,FALSE)</f>
        <v>51st</v>
      </c>
      <c r="AH30" s="137"/>
      <c r="AI30" s="137"/>
      <c r="AJ30" s="137">
        <f t="shared" si="12"/>
        <v>0</v>
      </c>
      <c r="AK30" s="137">
        <f t="shared" si="13"/>
        <v>0</v>
      </c>
      <c r="AL30" s="135" t="str">
        <f t="shared" si="14"/>
        <v>F</v>
      </c>
      <c r="AM30" s="135" t="str">
        <f>VLOOKUP(RANK(AK30,$AK$10:$AK$109),Sheet1!$A$381:$B$480,2,FALSE)</f>
        <v>1st</v>
      </c>
      <c r="AN30" s="134"/>
      <c r="AO30" s="134"/>
      <c r="AP30" s="137">
        <f t="shared" si="15"/>
        <v>0</v>
      </c>
      <c r="AQ30" s="137">
        <f t="shared" si="16"/>
        <v>0</v>
      </c>
      <c r="AR30" s="135" t="str">
        <f t="shared" si="17"/>
        <v>F</v>
      </c>
      <c r="AS30" s="135" t="str">
        <f>VLOOKUP(RANK(AQ30,$AQ$10:$AQ$109),Sheet1!$A$381:$B$480,2,FALSE)</f>
        <v>1st</v>
      </c>
      <c r="AT30" s="142">
        <v>20</v>
      </c>
      <c r="AU30" s="145">
        <v>30</v>
      </c>
      <c r="AV30" s="137">
        <f t="shared" si="18"/>
        <v>50</v>
      </c>
      <c r="AW30" s="137">
        <f t="shared" si="19"/>
        <v>50</v>
      </c>
      <c r="AX30" s="135" t="str">
        <f t="shared" si="20"/>
        <v>C</v>
      </c>
      <c r="AY30" s="141" t="str">
        <f>VLOOKUP(RANK(AW30,$AW$10:$AW$109),Sheet1!$A$381:$B$480,2,FALSE)</f>
        <v>58th</v>
      </c>
      <c r="AZ30" s="142">
        <v>34</v>
      </c>
      <c r="BA30" s="145">
        <v>26</v>
      </c>
      <c r="BB30" s="147">
        <f t="shared" si="21"/>
        <v>60</v>
      </c>
      <c r="BC30" s="137">
        <f t="shared" si="22"/>
        <v>60</v>
      </c>
      <c r="BD30" s="135" t="str">
        <f t="shared" si="23"/>
        <v>B</v>
      </c>
      <c r="BE30" s="135" t="str">
        <f>VLOOKUP(RANK(BC30,$BC$10:$BC$109),Sheet1!$A$381:$B$480,2,FALSE)</f>
        <v>30th</v>
      </c>
      <c r="BF30" s="142">
        <v>12</v>
      </c>
      <c r="BG30" s="145">
        <v>13</v>
      </c>
      <c r="BH30" s="137">
        <f t="shared" si="24"/>
        <v>25</v>
      </c>
      <c r="BI30" s="137">
        <f t="shared" si="25"/>
        <v>25</v>
      </c>
      <c r="BJ30" s="135" t="str">
        <f t="shared" si="26"/>
        <v>F</v>
      </c>
      <c r="BK30" s="141" t="str">
        <f>VLOOKUP(RANK(BI30,$BI$10:$BI$109),Sheet1!$A$381:$B$480,2,FALSE)</f>
        <v>78th</v>
      </c>
      <c r="BL30" s="148">
        <v>27</v>
      </c>
      <c r="BM30" s="150">
        <v>26</v>
      </c>
      <c r="BN30" s="147">
        <f t="shared" si="27"/>
        <v>53</v>
      </c>
      <c r="BO30" s="137">
        <f t="shared" si="28"/>
        <v>53</v>
      </c>
      <c r="BP30" s="135" t="str">
        <f t="shared" si="29"/>
        <v>C</v>
      </c>
      <c r="BQ30" s="141" t="str">
        <f>VLOOKUP(RANK(BO30,$BO$10:$BO$109),Sheet1!$A$381:$B$480,2,FALSE)</f>
        <v>36th</v>
      </c>
      <c r="BR30" s="148">
        <v>27</v>
      </c>
      <c r="BS30" s="150">
        <v>15</v>
      </c>
      <c r="BT30" s="147">
        <f t="shared" si="30"/>
        <v>42</v>
      </c>
      <c r="BU30" s="137">
        <f t="shared" si="31"/>
        <v>42</v>
      </c>
      <c r="BV30" s="135" t="str">
        <f t="shared" si="32"/>
        <v>D</v>
      </c>
      <c r="BW30" s="135" t="str">
        <f>VLOOKUP(RANK(BU30,$BU$10:$BU$109),Sheet1!$A$381:$B$480,2,FALSE)</f>
        <v>55th</v>
      </c>
      <c r="BX30" s="148">
        <v>33</v>
      </c>
      <c r="BY30" s="150">
        <v>10</v>
      </c>
      <c r="BZ30" s="137">
        <f t="shared" si="33"/>
        <v>43</v>
      </c>
      <c r="CA30" s="137">
        <f t="shared" si="34"/>
        <v>43</v>
      </c>
      <c r="CB30" s="135" t="str">
        <f t="shared" si="35"/>
        <v>D</v>
      </c>
      <c r="CC30" s="135" t="str">
        <f>VLOOKUP(RANK(CA30,$CA$10:$CA$109),Sheet1!$A$381:$B$480,2,FALSE)</f>
        <v>28th</v>
      </c>
      <c r="CD30" s="148">
        <v>30</v>
      </c>
      <c r="CE30" s="150">
        <v>27</v>
      </c>
      <c r="CF30" s="137">
        <f t="shared" si="36"/>
        <v>57</v>
      </c>
      <c r="CG30" s="137">
        <f t="shared" si="37"/>
        <v>57</v>
      </c>
      <c r="CH30" s="135" t="str">
        <f t="shared" si="38"/>
        <v>C</v>
      </c>
      <c r="CI30" s="135" t="str">
        <f>VLOOKUP(RANK(CG30,$CG$10:$CG$109),Sheet1!$A$381:$B$480,2,FALSE)</f>
        <v>38th</v>
      </c>
      <c r="CJ30" s="137"/>
      <c r="CK30" s="137"/>
      <c r="CL30" s="137">
        <f t="shared" si="39"/>
        <v>0</v>
      </c>
      <c r="CM30" s="137">
        <f t="shared" si="40"/>
        <v>0</v>
      </c>
      <c r="CN30" s="135" t="str">
        <f t="shared" si="41"/>
        <v>F</v>
      </c>
      <c r="CO30" s="135" t="str">
        <f>VLOOKUP(RANK(CM30,$CM$10:$CM$109),Sheet1!$A$381:$B$480,2,FALSE)</f>
        <v>1st</v>
      </c>
      <c r="CP30" s="137"/>
      <c r="CQ30" s="137"/>
      <c r="CR30" s="137">
        <f t="shared" si="42"/>
        <v>0</v>
      </c>
      <c r="CS30" s="137">
        <f t="shared" si="43"/>
        <v>0</v>
      </c>
      <c r="CT30" s="135" t="str">
        <f t="shared" si="44"/>
        <v>F</v>
      </c>
      <c r="CU30" s="135" t="str">
        <f>VLOOKUP(RANK(CS30,$CS$10:$CS$109),Sheet1!$A$381:$B$480,2,FALSE)</f>
        <v>1st</v>
      </c>
      <c r="CV30" s="151"/>
      <c r="CW30" s="135"/>
      <c r="CX30" s="151">
        <f t="shared" si="192"/>
        <v>0</v>
      </c>
      <c r="CY30" s="151">
        <f t="shared" si="193"/>
        <v>0</v>
      </c>
      <c r="CZ30" s="135" t="str">
        <f t="shared" si="45"/>
        <v>F</v>
      </c>
      <c r="DA30" s="135" t="str">
        <f>VLOOKUP(RANK(CY30,$CY$10:$CY$109),Sheet1!$A$381:$B$480,2,FALSE)</f>
        <v>1st</v>
      </c>
      <c r="DB30" s="135"/>
      <c r="DC30" s="151">
        <f t="shared" si="194"/>
        <v>587</v>
      </c>
      <c r="DD30" s="151">
        <f t="shared" si="195"/>
        <v>34.529411764705898</v>
      </c>
      <c r="DE30" s="135" t="str">
        <f>VLOOKUP(RANK(DD30,$DD$10:$DD$109),Sheet1!$A$381:$B$480,2,FALSE)</f>
        <v>61st</v>
      </c>
      <c r="DF30" s="137"/>
      <c r="DG30" s="160">
        <f t="shared" si="46"/>
        <v>621.52941176470597</v>
      </c>
      <c r="DH30" s="119"/>
      <c r="DI30" s="162">
        <v>23</v>
      </c>
      <c r="DJ30" s="162">
        <v>30</v>
      </c>
      <c r="DK30" s="137">
        <f t="shared" si="47"/>
        <v>53</v>
      </c>
      <c r="DL30" s="137" t="str">
        <f t="shared" si="48"/>
        <v>52</v>
      </c>
      <c r="DM30" s="137">
        <f t="shared" si="49"/>
        <v>105</v>
      </c>
      <c r="DN30" s="137">
        <f t="shared" si="50"/>
        <v>52.5</v>
      </c>
      <c r="DO30" s="135" t="str">
        <f t="shared" si="51"/>
        <v>C</v>
      </c>
      <c r="DP30" s="135" t="str">
        <f>VLOOKUP(RANK(DN30,$DN$10:$DN$109),Sheet1!$A$381:$B$480,2,FALSE)</f>
        <v>86th</v>
      </c>
      <c r="DQ30" s="164">
        <v>25</v>
      </c>
      <c r="DR30" s="165">
        <v>16</v>
      </c>
      <c r="DS30" s="137">
        <f t="shared" si="52"/>
        <v>41</v>
      </c>
      <c r="DT30" s="137" t="str">
        <f t="shared" si="53"/>
        <v>55</v>
      </c>
      <c r="DU30" s="137">
        <f t="shared" si="54"/>
        <v>96</v>
      </c>
      <c r="DV30" s="137">
        <f t="shared" si="55"/>
        <v>48</v>
      </c>
      <c r="DW30" s="135" t="str">
        <f t="shared" si="56"/>
        <v>D</v>
      </c>
      <c r="DX30" s="135" t="str">
        <f>VLOOKUP(RANK(DV30,$DV$10:$DV$109),Sheet1!$A$381:$B$480,2,FALSE)</f>
        <v>57th</v>
      </c>
      <c r="DY30" s="167">
        <v>31</v>
      </c>
      <c r="DZ30" s="165">
        <v>15</v>
      </c>
      <c r="EA30" s="137">
        <f t="shared" si="57"/>
        <v>46</v>
      </c>
      <c r="EB30" s="137" t="str">
        <f t="shared" si="58"/>
        <v>32</v>
      </c>
      <c r="EC30" s="137">
        <f t="shared" si="59"/>
        <v>78</v>
      </c>
      <c r="ED30" s="137">
        <f t="shared" si="60"/>
        <v>39</v>
      </c>
      <c r="EE30" s="135" t="str">
        <f t="shared" si="61"/>
        <v>E</v>
      </c>
      <c r="EF30" s="135" t="str">
        <f>VLOOKUP(RANK(ED30,$ED$10:$ED$109),Sheet1!$A$381:$B$480,2,FALSE)</f>
        <v>71st</v>
      </c>
      <c r="EG30" s="162">
        <v>13</v>
      </c>
      <c r="EH30" s="162">
        <v>24</v>
      </c>
      <c r="EI30" s="137">
        <f t="shared" si="62"/>
        <v>37</v>
      </c>
      <c r="EJ30" s="137" t="str">
        <f t="shared" si="63"/>
        <v>58</v>
      </c>
      <c r="EK30" s="137">
        <f t="shared" si="64"/>
        <v>95</v>
      </c>
      <c r="EL30" s="137">
        <f t="shared" si="65"/>
        <v>47.5</v>
      </c>
      <c r="EM30" s="135" t="str">
        <f t="shared" si="66"/>
        <v>D</v>
      </c>
      <c r="EN30" s="135" t="str">
        <f>VLOOKUP(RANK(EL30,$EL$10:$EL$109),Sheet1!$A$381:$B$480,2,FALSE)</f>
        <v>71st</v>
      </c>
      <c r="EO30" s="162">
        <v>29</v>
      </c>
      <c r="EP30" s="162">
        <v>12</v>
      </c>
      <c r="EQ30" s="137">
        <f t="shared" si="67"/>
        <v>41</v>
      </c>
      <c r="ER30" s="137" t="str">
        <f t="shared" si="68"/>
        <v>60</v>
      </c>
      <c r="ES30" s="137">
        <f t="shared" si="69"/>
        <v>101</v>
      </c>
      <c r="ET30" s="137">
        <f t="shared" si="70"/>
        <v>50.5</v>
      </c>
      <c r="EU30" s="135" t="str">
        <f t="shared" si="71"/>
        <v>C</v>
      </c>
      <c r="EV30" s="135" t="str">
        <f>VLOOKUP(RANK(ET30,$ET$10:$ET$109),Sheet1!$A$381:$B$480,2,FALSE)</f>
        <v>58th</v>
      </c>
      <c r="EW30" s="137"/>
      <c r="EX30" s="137"/>
      <c r="EY30" s="137">
        <f t="shared" si="72"/>
        <v>0</v>
      </c>
      <c r="EZ30" s="137" t="str">
        <f t="shared" si="73"/>
        <v>0</v>
      </c>
      <c r="FA30" s="137">
        <f t="shared" si="74"/>
        <v>0</v>
      </c>
      <c r="FB30" s="137">
        <f t="shared" si="75"/>
        <v>0</v>
      </c>
      <c r="FC30" s="135" t="str">
        <f t="shared" si="76"/>
        <v>F</v>
      </c>
      <c r="FD30" s="135" t="str">
        <f>VLOOKUP(RANK(FB30,$FB$10:$FB$109),Sheet1!$A$381:$B$480,2,FALSE)</f>
        <v>1st</v>
      </c>
      <c r="FE30" s="137"/>
      <c r="FF30" s="137"/>
      <c r="FG30" s="137">
        <f t="shared" si="77"/>
        <v>0</v>
      </c>
      <c r="FH30" s="137" t="str">
        <f t="shared" si="78"/>
        <v>0</v>
      </c>
      <c r="FI30" s="137">
        <f t="shared" si="79"/>
        <v>0</v>
      </c>
      <c r="FJ30" s="137">
        <f t="shared" si="80"/>
        <v>0</v>
      </c>
      <c r="FK30" s="135" t="str">
        <f t="shared" si="81"/>
        <v>F</v>
      </c>
      <c r="FL30" s="135" t="str">
        <f>VLOOKUP(RANK(FJ30,$FJ$10:$FJ$109),Sheet1!$A$381:$B$480,2,FALSE)</f>
        <v>1st</v>
      </c>
      <c r="FM30" s="164">
        <v>28</v>
      </c>
      <c r="FN30" s="165">
        <v>22</v>
      </c>
      <c r="FO30" s="137">
        <f t="shared" si="82"/>
        <v>50</v>
      </c>
      <c r="FP30" s="137" t="str">
        <f t="shared" si="83"/>
        <v>50</v>
      </c>
      <c r="FQ30" s="137">
        <f t="shared" si="84"/>
        <v>100</v>
      </c>
      <c r="FR30" s="137">
        <f t="shared" si="85"/>
        <v>50</v>
      </c>
      <c r="FS30" s="135" t="str">
        <f t="shared" si="86"/>
        <v>C</v>
      </c>
      <c r="FT30" s="135" t="str">
        <f>VLOOKUP(RANK(FR30,$FR$10:$FR$109),Sheet1!$A$381:$B$480,2,FALSE)</f>
        <v>77th</v>
      </c>
      <c r="FU30" s="148">
        <v>15</v>
      </c>
      <c r="FV30" s="150">
        <v>24</v>
      </c>
      <c r="FW30" s="137">
        <f t="shared" si="87"/>
        <v>39</v>
      </c>
      <c r="FX30" s="137" t="str">
        <f t="shared" si="88"/>
        <v>60</v>
      </c>
      <c r="FY30" s="137">
        <f t="shared" si="196"/>
        <v>39</v>
      </c>
      <c r="FZ30" s="137">
        <f t="shared" si="89"/>
        <v>19.5</v>
      </c>
      <c r="GA30" s="135" t="str">
        <f t="shared" si="90"/>
        <v>F</v>
      </c>
      <c r="GB30" s="135" t="str">
        <f>VLOOKUP(RANK(FZ30,$FZ$10:$FZ$109),Sheet1!$A$381:$B$480,2,FALSE)</f>
        <v>79th</v>
      </c>
      <c r="GC30" s="164">
        <v>4</v>
      </c>
      <c r="GD30" s="165">
        <v>23</v>
      </c>
      <c r="GE30" s="137">
        <f t="shared" si="91"/>
        <v>27</v>
      </c>
      <c r="GF30" s="137" t="str">
        <f t="shared" si="92"/>
        <v>25</v>
      </c>
      <c r="GG30" s="135">
        <f t="shared" si="197"/>
        <v>52</v>
      </c>
      <c r="GH30" s="137">
        <f t="shared" si="198"/>
        <v>26</v>
      </c>
      <c r="GI30" s="135" t="str">
        <f t="shared" si="93"/>
        <v>F</v>
      </c>
      <c r="GJ30" s="135" t="str">
        <f>VLOOKUP(RANK(GH30,$GH$10:$GH$109),Sheet1!$A$381:$B$480,2,FALSE)</f>
        <v>93rd</v>
      </c>
      <c r="GK30" s="164">
        <v>27</v>
      </c>
      <c r="GL30" s="165">
        <v>17</v>
      </c>
      <c r="GM30" s="137">
        <f t="shared" si="94"/>
        <v>44</v>
      </c>
      <c r="GN30" s="137" t="str">
        <f t="shared" si="95"/>
        <v>53</v>
      </c>
      <c r="GO30" s="135">
        <f t="shared" si="199"/>
        <v>97</v>
      </c>
      <c r="GP30" s="137">
        <f t="shared" si="96"/>
        <v>48.5</v>
      </c>
      <c r="GQ30" s="135" t="str">
        <f t="shared" si="97"/>
        <v>D</v>
      </c>
      <c r="GR30" s="135" t="str">
        <f>VLOOKUP(RANK(GP30,$GP$10:$GP$109),Sheet1!$A$381:$B$480,2,FALSE)</f>
        <v>38th</v>
      </c>
      <c r="GS30" s="164">
        <v>17</v>
      </c>
      <c r="GT30" s="165">
        <v>15</v>
      </c>
      <c r="GU30" s="137">
        <f t="shared" si="98"/>
        <v>32</v>
      </c>
      <c r="GV30" s="137" t="str">
        <f t="shared" si="99"/>
        <v>42</v>
      </c>
      <c r="GW30" s="137">
        <f t="shared" si="100"/>
        <v>74</v>
      </c>
      <c r="GX30" s="137">
        <f t="shared" si="101"/>
        <v>37</v>
      </c>
      <c r="GY30" s="135" t="str">
        <f t="shared" si="102"/>
        <v>E</v>
      </c>
      <c r="GZ30" s="135" t="str">
        <f>VLOOKUP(RANK(GX30,$GX$10:$GX$109),Sheet1!$A$381:$B$480,2,FALSE)</f>
        <v>80th</v>
      </c>
      <c r="HA30" s="164">
        <v>28</v>
      </c>
      <c r="HB30" s="165">
        <v>7</v>
      </c>
      <c r="HC30" s="137">
        <f t="shared" si="103"/>
        <v>35</v>
      </c>
      <c r="HD30" s="137" t="str">
        <f t="shared" si="104"/>
        <v>43</v>
      </c>
      <c r="HE30" s="137">
        <f t="shared" si="105"/>
        <v>78</v>
      </c>
      <c r="HF30" s="137">
        <f t="shared" si="106"/>
        <v>39</v>
      </c>
      <c r="HG30" s="135" t="str">
        <f t="shared" si="107"/>
        <v>E</v>
      </c>
      <c r="HH30" s="135" t="str">
        <f>VLOOKUP(RANK(HF30,$HF$10:$HF$109),Sheet1!$A$381:$B$480,2,FALSE)</f>
        <v>71st</v>
      </c>
      <c r="HI30" s="148">
        <v>24</v>
      </c>
      <c r="HJ30" s="150">
        <v>39</v>
      </c>
      <c r="HK30" s="137">
        <f t="shared" si="108"/>
        <v>63</v>
      </c>
      <c r="HL30" s="137" t="str">
        <f t="shared" si="109"/>
        <v>57</v>
      </c>
      <c r="HM30" s="137">
        <f t="shared" si="110"/>
        <v>120</v>
      </c>
      <c r="HN30" s="137">
        <f t="shared" si="111"/>
        <v>60</v>
      </c>
      <c r="HO30" s="135" t="str">
        <f t="shared" si="112"/>
        <v>B</v>
      </c>
      <c r="HP30" s="135" t="str">
        <f>VLOOKUP(RANK(HN30,$HN$10:$HN$109),Sheet1!$A$381:$B$480,2,FALSE)</f>
        <v>68th</v>
      </c>
      <c r="HQ30" s="137"/>
      <c r="HR30" s="137"/>
      <c r="HS30" s="137">
        <f t="shared" si="113"/>
        <v>0</v>
      </c>
      <c r="HT30" s="137" t="str">
        <f t="shared" si="114"/>
        <v>0</v>
      </c>
      <c r="HU30" s="137">
        <f t="shared" si="115"/>
        <v>0</v>
      </c>
      <c r="HV30" s="137">
        <f t="shared" si="116"/>
        <v>0</v>
      </c>
      <c r="HW30" s="135" t="str">
        <f t="shared" si="117"/>
        <v>F</v>
      </c>
      <c r="HX30" s="135" t="str">
        <f>VLOOKUP(RANK(HV30,$HV$10:$HV$109),Sheet1!$A$381:$B$480,2,FALSE)</f>
        <v>1st</v>
      </c>
      <c r="HY30" s="137"/>
      <c r="HZ30" s="137"/>
      <c r="IA30" s="137">
        <f t="shared" si="118"/>
        <v>0</v>
      </c>
      <c r="IB30" s="137" t="str">
        <f t="shared" si="119"/>
        <v>0</v>
      </c>
      <c r="IC30" s="137">
        <f t="shared" si="120"/>
        <v>0</v>
      </c>
      <c r="ID30" s="137">
        <f t="shared" si="121"/>
        <v>0</v>
      </c>
      <c r="IE30" s="135" t="str">
        <f t="shared" si="122"/>
        <v>F</v>
      </c>
      <c r="IF30" s="135" t="str">
        <f>VLOOKUP(RANK(ID30,$ID$10:$ID$109),Sheet1!$A$381:$B$480,2,FALSE)</f>
        <v>1st</v>
      </c>
      <c r="IG30" s="135"/>
      <c r="IH30" s="135"/>
      <c r="II30" s="135">
        <f t="shared" si="200"/>
        <v>0</v>
      </c>
      <c r="IJ30" s="135" t="str">
        <f t="shared" si="201"/>
        <v>0</v>
      </c>
      <c r="IK30" s="135">
        <f t="shared" si="202"/>
        <v>0</v>
      </c>
      <c r="IL30" s="135">
        <f t="shared" si="203"/>
        <v>0</v>
      </c>
      <c r="IM30" s="135" t="str">
        <f t="shared" si="123"/>
        <v>F</v>
      </c>
      <c r="IN30" s="135" t="str">
        <f>VLOOKUP(RANK(IL30,$IL$10:$IL$109),Sheet1!$A$381:$B$480,2,FALSE)</f>
        <v>1st</v>
      </c>
      <c r="IO30" s="135">
        <f t="shared" si="204"/>
        <v>517.5</v>
      </c>
      <c r="IP30" s="177">
        <f t="shared" si="205"/>
        <v>30.4411764705882</v>
      </c>
      <c r="IQ30" s="135" t="str">
        <f>VLOOKUP(RANK(IP30,$IP$10:$IP$109),Sheet1!$A$381:$B$480,2,FALSE)</f>
        <v>81st</v>
      </c>
      <c r="IR30" s="178"/>
      <c r="IS30" s="137"/>
      <c r="IT30" s="137"/>
      <c r="IU30" s="137"/>
      <c r="IV30" s="137"/>
      <c r="IW30" s="181"/>
      <c r="IX30" s="184"/>
      <c r="IY30" s="186"/>
      <c r="IZ30" s="186">
        <f t="shared" si="206"/>
        <v>0</v>
      </c>
      <c r="JA30" s="186" t="str">
        <f t="shared" si="124"/>
        <v>52</v>
      </c>
      <c r="JB30" s="186" t="str">
        <f t="shared" si="125"/>
        <v>53</v>
      </c>
      <c r="JC30" s="186">
        <f t="shared" si="207"/>
        <v>105</v>
      </c>
      <c r="JD30" s="186">
        <f t="shared" si="208"/>
        <v>35</v>
      </c>
      <c r="JE30" s="135" t="str">
        <f t="shared" si="126"/>
        <v>E</v>
      </c>
      <c r="JF30" s="151" t="str">
        <f>VLOOKUP(RANK(JD30,$JD$10:$JD$109),Sheet1!$A$381:$B$480,2,FALSE)</f>
        <v>86th</v>
      </c>
      <c r="JG30" s="186"/>
      <c r="JH30" s="186"/>
      <c r="JI30" s="186">
        <f t="shared" si="127"/>
        <v>0</v>
      </c>
      <c r="JJ30" s="186" t="str">
        <f t="shared" si="128"/>
        <v>55</v>
      </c>
      <c r="JK30" s="186" t="str">
        <f t="shared" si="129"/>
        <v>41</v>
      </c>
      <c r="JL30" s="186">
        <f t="shared" si="209"/>
        <v>96</v>
      </c>
      <c r="JM30" s="186">
        <f t="shared" si="210"/>
        <v>32</v>
      </c>
      <c r="JN30" s="135" t="str">
        <f t="shared" si="130"/>
        <v>F</v>
      </c>
      <c r="JO30" s="151" t="str">
        <f>VLOOKUP(RANK(JM30,$JM$10:$JM$109),Sheet1!$A$381:$B$480,2,FALSE)</f>
        <v>57th</v>
      </c>
      <c r="JP30" s="186"/>
      <c r="JQ30" s="186"/>
      <c r="JR30" s="186">
        <f t="shared" si="131"/>
        <v>0</v>
      </c>
      <c r="JS30" s="186" t="str">
        <f t="shared" si="132"/>
        <v>32</v>
      </c>
      <c r="JT30" s="186" t="str">
        <f t="shared" si="133"/>
        <v>46</v>
      </c>
      <c r="JU30" s="186">
        <f t="shared" si="211"/>
        <v>78</v>
      </c>
      <c r="JV30" s="186">
        <f t="shared" si="212"/>
        <v>26</v>
      </c>
      <c r="JW30" s="135" t="str">
        <f t="shared" si="134"/>
        <v>F</v>
      </c>
      <c r="JX30" s="151" t="str">
        <f>VLOOKUP(RANK(JV30,$JV$10:$JV$109),Sheet1!$A$381:$B$480,2,FALSE)</f>
        <v>71st</v>
      </c>
      <c r="JY30" s="186"/>
      <c r="JZ30" s="186"/>
      <c r="KA30" s="186">
        <f t="shared" si="135"/>
        <v>0</v>
      </c>
      <c r="KB30" s="186" t="str">
        <f t="shared" si="136"/>
        <v>58</v>
      </c>
      <c r="KC30" s="186" t="str">
        <f t="shared" si="137"/>
        <v>37</v>
      </c>
      <c r="KD30" s="186">
        <f t="shared" si="213"/>
        <v>95</v>
      </c>
      <c r="KE30" s="186">
        <f t="shared" si="214"/>
        <v>31.6666666666667</v>
      </c>
      <c r="KF30" s="135" t="str">
        <f t="shared" si="138"/>
        <v>F</v>
      </c>
      <c r="KG30" s="151" t="str">
        <f>VLOOKUP(RANK(KE30,$KE$10:$KE$109),Sheet1!$A$381:$B$480,2,FALSE)</f>
        <v>71st</v>
      </c>
      <c r="KH30" s="186"/>
      <c r="KI30" s="186"/>
      <c r="KJ30" s="186">
        <f t="shared" si="139"/>
        <v>0</v>
      </c>
      <c r="KK30" s="186" t="str">
        <f t="shared" si="140"/>
        <v>60</v>
      </c>
      <c r="KL30" s="186" t="str">
        <f t="shared" si="141"/>
        <v>41</v>
      </c>
      <c r="KM30" s="186">
        <f t="shared" si="215"/>
        <v>101</v>
      </c>
      <c r="KN30" s="186">
        <f t="shared" si="216"/>
        <v>33.6666666666667</v>
      </c>
      <c r="KO30" s="135" t="str">
        <f t="shared" si="142"/>
        <v>F</v>
      </c>
      <c r="KP30" s="151" t="str">
        <f>VLOOKUP(RANK(KN30,$KN$10:$KN$109),Sheet1!$A$381:$B$480,2,FALSE)</f>
        <v>58th</v>
      </c>
      <c r="KQ30" s="186"/>
      <c r="KR30" s="186"/>
      <c r="KS30" s="186">
        <f t="shared" si="143"/>
        <v>0</v>
      </c>
      <c r="KT30" s="186" t="str">
        <f t="shared" si="144"/>
        <v>0</v>
      </c>
      <c r="KU30" s="186" t="str">
        <f t="shared" si="145"/>
        <v>0</v>
      </c>
      <c r="KV30" s="186">
        <f t="shared" si="217"/>
        <v>0</v>
      </c>
      <c r="KW30" s="186">
        <f t="shared" si="218"/>
        <v>0</v>
      </c>
      <c r="KX30" s="135" t="str">
        <f t="shared" si="146"/>
        <v>F</v>
      </c>
      <c r="KY30" s="151" t="str">
        <f>VLOOKUP(RANK(KW30,$KW$10:$KW$109),Sheet1!$A$381:$B$480,2,FALSE)</f>
        <v>1st</v>
      </c>
      <c r="KZ30" s="186"/>
      <c r="LA30" s="186"/>
      <c r="LB30" s="186">
        <f t="shared" si="147"/>
        <v>0</v>
      </c>
      <c r="LC30" s="186" t="str">
        <f t="shared" si="148"/>
        <v>0</v>
      </c>
      <c r="LD30" s="186" t="str">
        <f t="shared" si="149"/>
        <v>0</v>
      </c>
      <c r="LE30" s="186">
        <f t="shared" si="219"/>
        <v>0</v>
      </c>
      <c r="LF30" s="186">
        <f t="shared" si="220"/>
        <v>0</v>
      </c>
      <c r="LG30" s="135" t="str">
        <f t="shared" si="150"/>
        <v>F</v>
      </c>
      <c r="LH30" s="151" t="str">
        <f>VLOOKUP(RANK(LF30,$LF$10:$LF$109),Sheet1!$A$381:$B$480,2,FALSE)</f>
        <v>1st</v>
      </c>
      <c r="LI30" s="186"/>
      <c r="LJ30" s="186"/>
      <c r="LK30" s="186">
        <f t="shared" si="151"/>
        <v>0</v>
      </c>
      <c r="LL30" s="186" t="str">
        <f t="shared" si="152"/>
        <v>50</v>
      </c>
      <c r="LM30" s="186" t="str">
        <f t="shared" si="153"/>
        <v>50</v>
      </c>
      <c r="LN30" s="186">
        <f t="shared" si="221"/>
        <v>100</v>
      </c>
      <c r="LO30" s="186">
        <f t="shared" si="222"/>
        <v>33.3333333333333</v>
      </c>
      <c r="LP30" s="135" t="str">
        <f t="shared" si="154"/>
        <v>F</v>
      </c>
      <c r="LQ30" s="151" t="str">
        <f>VLOOKUP(RANK(LO30,$LO$10:$LO$109),Sheet1!$A$381:$B$480,2,FALSE)</f>
        <v>77th</v>
      </c>
      <c r="LR30" s="186"/>
      <c r="LS30" s="186"/>
      <c r="LT30" s="186">
        <f t="shared" si="155"/>
        <v>0</v>
      </c>
      <c r="LU30" s="186" t="str">
        <f t="shared" si="156"/>
        <v>60</v>
      </c>
      <c r="LV30" s="186" t="str">
        <f t="shared" si="157"/>
        <v>39</v>
      </c>
      <c r="LW30" s="186">
        <f t="shared" si="223"/>
        <v>99</v>
      </c>
      <c r="LX30" s="186">
        <f t="shared" si="224"/>
        <v>33</v>
      </c>
      <c r="LY30" s="135" t="str">
        <f t="shared" si="158"/>
        <v>F</v>
      </c>
      <c r="LZ30" s="151" t="str">
        <f>VLOOKUP(RANK(LX30,$LX$10:$LX$109),Sheet1!$A$381:$B$480,2,FALSE)</f>
        <v>58th</v>
      </c>
      <c r="MA30" s="186"/>
      <c r="MB30" s="186"/>
      <c r="MC30" s="186">
        <f t="shared" si="159"/>
        <v>0</v>
      </c>
      <c r="MD30" s="186" t="str">
        <f t="shared" si="160"/>
        <v>25</v>
      </c>
      <c r="ME30" s="186" t="str">
        <f t="shared" si="161"/>
        <v>27</v>
      </c>
      <c r="MF30" s="183">
        <f t="shared" si="225"/>
        <v>52</v>
      </c>
      <c r="MG30" s="151">
        <f t="shared" si="226"/>
        <v>17.3333333333333</v>
      </c>
      <c r="MH30" s="135" t="str">
        <f t="shared" si="162"/>
        <v>F</v>
      </c>
      <c r="MI30" s="151" t="str">
        <f>VLOOKUP(RANK(MG30,$MG$10:$MG$109),Sheet1!$A$381:$B$480,2,FALSE)</f>
        <v>93rd</v>
      </c>
      <c r="MJ30" s="186"/>
      <c r="MK30" s="186"/>
      <c r="ML30" s="186">
        <f t="shared" si="163"/>
        <v>0</v>
      </c>
      <c r="MM30" s="186" t="str">
        <f t="shared" si="164"/>
        <v>53</v>
      </c>
      <c r="MN30" s="186" t="str">
        <f t="shared" si="165"/>
        <v>44</v>
      </c>
      <c r="MO30" s="186">
        <f t="shared" si="227"/>
        <v>97</v>
      </c>
      <c r="MP30" s="186">
        <f t="shared" si="228"/>
        <v>32.3333333333333</v>
      </c>
      <c r="MQ30" s="135" t="str">
        <f t="shared" si="166"/>
        <v>F</v>
      </c>
      <c r="MR30" s="151" t="str">
        <f>VLOOKUP(RANK(MP30,$MP$10:$MP$109),Sheet1!$A$381:$B$480,2,FALSE)</f>
        <v>38th</v>
      </c>
      <c r="MS30" s="186"/>
      <c r="MT30" s="186"/>
      <c r="MU30" s="186">
        <f t="shared" si="167"/>
        <v>0</v>
      </c>
      <c r="MV30" s="186" t="str">
        <f t="shared" si="168"/>
        <v>42</v>
      </c>
      <c r="MW30" s="186" t="str">
        <f t="shared" si="169"/>
        <v>32</v>
      </c>
      <c r="MX30" s="186">
        <f t="shared" si="229"/>
        <v>74</v>
      </c>
      <c r="MY30" s="186">
        <f t="shared" si="230"/>
        <v>24.6666666666667</v>
      </c>
      <c r="MZ30" s="135" t="str">
        <f t="shared" si="170"/>
        <v>F</v>
      </c>
      <c r="NA30" s="151" t="str">
        <f>VLOOKUP(RANK(MY30,$MY$10:$MY$109),Sheet1!$A$381:$B$480,2,FALSE)</f>
        <v>80th</v>
      </c>
      <c r="NB30" s="186"/>
      <c r="NC30" s="186"/>
      <c r="ND30" s="186">
        <f t="shared" si="171"/>
        <v>0</v>
      </c>
      <c r="NE30" s="186" t="str">
        <f t="shared" si="172"/>
        <v>43</v>
      </c>
      <c r="NF30" s="186" t="str">
        <f t="shared" si="173"/>
        <v>35</v>
      </c>
      <c r="NG30" s="186">
        <f t="shared" si="231"/>
        <v>78</v>
      </c>
      <c r="NH30" s="186">
        <f t="shared" si="232"/>
        <v>26</v>
      </c>
      <c r="NI30" s="135" t="str">
        <f t="shared" si="174"/>
        <v>F</v>
      </c>
      <c r="NJ30" s="151" t="str">
        <f>VLOOKUP(RANK(NH30,$NH$10:$NH$109),Sheet1!$A$381:$B$480,2,FALSE)</f>
        <v>71st</v>
      </c>
      <c r="NK30" s="186"/>
      <c r="NL30" s="186"/>
      <c r="NM30" s="186">
        <f t="shared" si="175"/>
        <v>0</v>
      </c>
      <c r="NN30" s="186" t="str">
        <f t="shared" si="176"/>
        <v>57</v>
      </c>
      <c r="NO30" s="186" t="str">
        <f t="shared" si="177"/>
        <v>63</v>
      </c>
      <c r="NP30" s="186">
        <f t="shared" si="233"/>
        <v>120</v>
      </c>
      <c r="NQ30" s="186">
        <f t="shared" si="178"/>
        <v>40</v>
      </c>
      <c r="NR30" s="135" t="str">
        <f t="shared" si="179"/>
        <v>D</v>
      </c>
      <c r="NS30" s="151" t="str">
        <f>VLOOKUP(RANK(NQ30,$NQ$10:$NQ$109),Sheet1!$A$381:$B$480,2,FALSE)</f>
        <v>68th</v>
      </c>
      <c r="NT30" s="186"/>
      <c r="NU30" s="186"/>
      <c r="NV30" s="186">
        <f t="shared" si="180"/>
        <v>0</v>
      </c>
      <c r="NW30" s="186" t="str">
        <f t="shared" si="181"/>
        <v>0</v>
      </c>
      <c r="NX30" s="186" t="str">
        <f t="shared" si="182"/>
        <v>0</v>
      </c>
      <c r="NY30" s="186">
        <f t="shared" si="234"/>
        <v>0</v>
      </c>
      <c r="NZ30" s="186">
        <f t="shared" si="183"/>
        <v>0</v>
      </c>
      <c r="OA30" s="135" t="str">
        <f t="shared" si="184"/>
        <v>F</v>
      </c>
      <c r="OB30" s="151" t="str">
        <f>VLOOKUP(RANK(NZ30,$NZ$10:$NZ$109),Sheet1!$A$381:$B$480,2,FALSE)</f>
        <v>1st</v>
      </c>
      <c r="OC30" s="186"/>
      <c r="OD30" s="186"/>
      <c r="OE30" s="186">
        <f t="shared" si="185"/>
        <v>0</v>
      </c>
      <c r="OF30" s="186" t="str">
        <f t="shared" si="186"/>
        <v>0</v>
      </c>
      <c r="OG30" s="186" t="str">
        <f t="shared" si="187"/>
        <v>0</v>
      </c>
      <c r="OH30" s="186">
        <f t="shared" si="235"/>
        <v>0</v>
      </c>
      <c r="OI30" s="186">
        <f t="shared" si="236"/>
        <v>0</v>
      </c>
      <c r="OJ30" s="135" t="str">
        <f t="shared" si="188"/>
        <v>F</v>
      </c>
      <c r="OK30" s="151" t="str">
        <f>VLOOKUP(RANK(OI30,$OI$10:$OI$109),Sheet1!$A$381:$B$480,2,FALSE)</f>
        <v>1st</v>
      </c>
      <c r="OL30" s="151"/>
      <c r="OM30" s="151"/>
      <c r="ON30" s="151">
        <f t="shared" si="237"/>
        <v>0</v>
      </c>
      <c r="OO30" s="151" t="str">
        <f t="shared" si="238"/>
        <v>0</v>
      </c>
      <c r="OP30" s="151" t="str">
        <f t="shared" si="239"/>
        <v>0</v>
      </c>
      <c r="OQ30" s="151">
        <f t="shared" si="240"/>
        <v>0</v>
      </c>
      <c r="OR30" s="151">
        <f t="shared" si="241"/>
        <v>0</v>
      </c>
      <c r="OS30" s="135" t="str">
        <f t="shared" si="189"/>
        <v>F</v>
      </c>
      <c r="OT30" s="151" t="str">
        <f>VLOOKUP(RANK(OR30,$OI$10:$OI$109),Sheet1!$A$381:$B$480,2,FALSE)</f>
        <v>1st</v>
      </c>
      <c r="OU30" s="151">
        <f t="shared" si="242"/>
        <v>365</v>
      </c>
      <c r="OV30" s="151">
        <f t="shared" si="243"/>
        <v>21.470588235294102</v>
      </c>
      <c r="OW30" s="151" t="str">
        <f>VLOOKUP(RANK(OV30,$OV$10:$OV$109),Sheet1!$A$381:$B$480,2,FALSE)</f>
        <v>78th</v>
      </c>
      <c r="OX30" s="151"/>
      <c r="OY30" s="186"/>
      <c r="OZ30" s="186"/>
      <c r="PA30" s="186"/>
      <c r="PB30" s="186"/>
    </row>
    <row r="31" spans="1:418" s="118" customFormat="1" ht="18.75">
      <c r="A31" s="131">
        <v>22</v>
      </c>
      <c r="B31" s="132" t="s">
        <v>119</v>
      </c>
      <c r="C31" s="133" t="s">
        <v>97</v>
      </c>
      <c r="D31" s="134">
        <v>25</v>
      </c>
      <c r="E31" s="134">
        <v>40</v>
      </c>
      <c r="F31" s="137">
        <f t="shared" si="0"/>
        <v>65</v>
      </c>
      <c r="G31" s="137">
        <f t="shared" si="1"/>
        <v>65</v>
      </c>
      <c r="H31" s="135" t="str">
        <f t="shared" si="190"/>
        <v>B</v>
      </c>
      <c r="I31" s="135" t="str">
        <f>VLOOKUP(RANK(G31,$G$10:$G$109),Sheet1!$A$381:$B$480,2,FALSE)</f>
        <v>56th</v>
      </c>
      <c r="J31" s="134">
        <v>28</v>
      </c>
      <c r="K31" s="134">
        <v>25</v>
      </c>
      <c r="L31" s="137">
        <f t="shared" si="2"/>
        <v>53</v>
      </c>
      <c r="M31" s="137">
        <f t="shared" si="3"/>
        <v>53</v>
      </c>
      <c r="N31" s="135" t="str">
        <f t="shared" si="4"/>
        <v>C</v>
      </c>
      <c r="O31" s="141" t="str">
        <f>VLOOKUP(RANK(M31,$M$10:$M$109),Sheet1!$A$381:$B$480,2,FALSE)</f>
        <v>45th</v>
      </c>
      <c r="P31" s="142">
        <v>32</v>
      </c>
      <c r="Q31" s="145">
        <v>20</v>
      </c>
      <c r="R31" s="147">
        <f t="shared" si="5"/>
        <v>52</v>
      </c>
      <c r="S31" s="137">
        <f t="shared" si="6"/>
        <v>52</v>
      </c>
      <c r="T31" s="135" t="str">
        <f t="shared" si="7"/>
        <v>C</v>
      </c>
      <c r="U31" s="135" t="str">
        <f>VLOOKUP(RANK(S31,$S$10:$S$109),Sheet1!$A$381:$B$480,2,FALSE)</f>
        <v>25th</v>
      </c>
      <c r="V31" s="134">
        <v>26</v>
      </c>
      <c r="W31" s="134">
        <v>25</v>
      </c>
      <c r="X31" s="137">
        <f t="shared" si="191"/>
        <v>51</v>
      </c>
      <c r="Y31" s="137">
        <f t="shared" si="244"/>
        <v>51</v>
      </c>
      <c r="Z31" s="135" t="str">
        <f t="shared" si="8"/>
        <v>C</v>
      </c>
      <c r="AA31" s="135" t="str">
        <f>VLOOKUP(RANK(Y31,$Y$10:$Y$109),Sheet1!$A$381:$B$480,2,FALSE)</f>
        <v>54th</v>
      </c>
      <c r="AB31" s="134">
        <v>29</v>
      </c>
      <c r="AC31" s="134">
        <v>15</v>
      </c>
      <c r="AD31" s="137">
        <f t="shared" si="9"/>
        <v>44</v>
      </c>
      <c r="AE31" s="137">
        <f t="shared" si="10"/>
        <v>44</v>
      </c>
      <c r="AF31" s="135" t="str">
        <f t="shared" si="11"/>
        <v>D</v>
      </c>
      <c r="AG31" s="135" t="str">
        <f>VLOOKUP(RANK(AE31,$AE$10:$AE$109),Sheet1!$A$381:$B$480,2,FALSE)</f>
        <v>73rd</v>
      </c>
      <c r="AH31" s="137"/>
      <c r="AI31" s="137"/>
      <c r="AJ31" s="137">
        <f t="shared" si="12"/>
        <v>0</v>
      </c>
      <c r="AK31" s="137">
        <f t="shared" si="13"/>
        <v>0</v>
      </c>
      <c r="AL31" s="135" t="str">
        <f t="shared" si="14"/>
        <v>F</v>
      </c>
      <c r="AM31" s="135" t="str">
        <f>VLOOKUP(RANK(AK31,$AK$10:$AK$109),Sheet1!$A$381:$B$480,2,FALSE)</f>
        <v>1st</v>
      </c>
      <c r="AN31" s="134"/>
      <c r="AO31" s="134"/>
      <c r="AP31" s="137">
        <f t="shared" si="15"/>
        <v>0</v>
      </c>
      <c r="AQ31" s="137">
        <f t="shared" si="16"/>
        <v>0</v>
      </c>
      <c r="AR31" s="135" t="str">
        <f t="shared" si="17"/>
        <v>F</v>
      </c>
      <c r="AS31" s="135" t="str">
        <f>VLOOKUP(RANK(AQ31,$AQ$10:$AQ$109),Sheet1!$A$381:$B$480,2,FALSE)</f>
        <v>1st</v>
      </c>
      <c r="AT31" s="142">
        <v>24</v>
      </c>
      <c r="AU31" s="145">
        <v>27</v>
      </c>
      <c r="AV31" s="137">
        <f t="shared" si="18"/>
        <v>51</v>
      </c>
      <c r="AW31" s="137">
        <f t="shared" si="19"/>
        <v>51</v>
      </c>
      <c r="AX31" s="135" t="str">
        <f t="shared" si="20"/>
        <v>C</v>
      </c>
      <c r="AY31" s="141" t="str">
        <f>VLOOKUP(RANK(AW31,$AW$10:$AW$109),Sheet1!$A$381:$B$480,2,FALSE)</f>
        <v>45th</v>
      </c>
      <c r="AZ31" s="142">
        <v>33</v>
      </c>
      <c r="BA31" s="145">
        <v>22</v>
      </c>
      <c r="BB31" s="147">
        <f t="shared" si="21"/>
        <v>55</v>
      </c>
      <c r="BC31" s="137">
        <f t="shared" si="22"/>
        <v>55</v>
      </c>
      <c r="BD31" s="135" t="str">
        <f t="shared" si="23"/>
        <v>C</v>
      </c>
      <c r="BE31" s="135" t="str">
        <f>VLOOKUP(RANK(BC31,$BC$10:$BC$109),Sheet1!$A$381:$B$480,2,FALSE)</f>
        <v>43rd</v>
      </c>
      <c r="BF31" s="142">
        <v>12</v>
      </c>
      <c r="BG31" s="145">
        <v>13</v>
      </c>
      <c r="BH31" s="137">
        <f t="shared" si="24"/>
        <v>25</v>
      </c>
      <c r="BI31" s="137">
        <f t="shared" si="25"/>
        <v>25</v>
      </c>
      <c r="BJ31" s="135" t="str">
        <f t="shared" si="26"/>
        <v>F</v>
      </c>
      <c r="BK31" s="141" t="str">
        <f>VLOOKUP(RANK(BI31,$BI$10:$BI$109),Sheet1!$A$381:$B$480,2,FALSE)</f>
        <v>78th</v>
      </c>
      <c r="BL31" s="148">
        <v>24</v>
      </c>
      <c r="BM31" s="150">
        <v>26</v>
      </c>
      <c r="BN31" s="147">
        <f t="shared" si="27"/>
        <v>50</v>
      </c>
      <c r="BO31" s="137">
        <f t="shared" si="28"/>
        <v>50</v>
      </c>
      <c r="BP31" s="135" t="str">
        <f t="shared" si="29"/>
        <v>C</v>
      </c>
      <c r="BQ31" s="141" t="str">
        <f>VLOOKUP(RANK(BO31,$BO$10:$BO$109),Sheet1!$A$381:$B$480,2,FALSE)</f>
        <v>85th</v>
      </c>
      <c r="BR31" s="148">
        <v>29</v>
      </c>
      <c r="BS31" s="150">
        <v>10</v>
      </c>
      <c r="BT31" s="147">
        <f t="shared" si="30"/>
        <v>39</v>
      </c>
      <c r="BU31" s="137">
        <f t="shared" si="31"/>
        <v>39</v>
      </c>
      <c r="BV31" s="135" t="str">
        <f t="shared" si="32"/>
        <v>E</v>
      </c>
      <c r="BW31" s="135" t="str">
        <f>VLOOKUP(RANK(BU31,$BU$10:$BU$109),Sheet1!$A$381:$B$480,2,FALSE)</f>
        <v>65th</v>
      </c>
      <c r="BX31" s="148">
        <v>26</v>
      </c>
      <c r="BY31" s="150">
        <v>10</v>
      </c>
      <c r="BZ31" s="137">
        <f t="shared" si="33"/>
        <v>36</v>
      </c>
      <c r="CA31" s="137">
        <f t="shared" si="34"/>
        <v>36</v>
      </c>
      <c r="CB31" s="135" t="str">
        <f t="shared" si="35"/>
        <v>E</v>
      </c>
      <c r="CC31" s="135" t="str">
        <f>VLOOKUP(RANK(CA31,$CA$10:$CA$109),Sheet1!$A$381:$B$480,2,FALSE)</f>
        <v>91st</v>
      </c>
      <c r="CD31" s="148">
        <v>30</v>
      </c>
      <c r="CE31" s="150">
        <v>48</v>
      </c>
      <c r="CF31" s="137">
        <f t="shared" si="36"/>
        <v>78</v>
      </c>
      <c r="CG31" s="137">
        <f t="shared" si="37"/>
        <v>78</v>
      </c>
      <c r="CH31" s="135" t="str">
        <f t="shared" si="38"/>
        <v>A</v>
      </c>
      <c r="CI31" s="135" t="str">
        <f>VLOOKUP(RANK(CG31,$CG$10:$CG$109),Sheet1!$A$381:$B$480,2,FALSE)</f>
        <v>10th</v>
      </c>
      <c r="CJ31" s="137"/>
      <c r="CK31" s="137"/>
      <c r="CL31" s="137">
        <f t="shared" si="39"/>
        <v>0</v>
      </c>
      <c r="CM31" s="137">
        <f t="shared" si="40"/>
        <v>0</v>
      </c>
      <c r="CN31" s="135" t="str">
        <f t="shared" si="41"/>
        <v>F</v>
      </c>
      <c r="CO31" s="135" t="str">
        <f>VLOOKUP(RANK(CM31,$CM$10:$CM$109),Sheet1!$A$381:$B$480,2,FALSE)</f>
        <v>1st</v>
      </c>
      <c r="CP31" s="137"/>
      <c r="CQ31" s="137"/>
      <c r="CR31" s="137">
        <f t="shared" si="42"/>
        <v>0</v>
      </c>
      <c r="CS31" s="137">
        <f t="shared" si="43"/>
        <v>0</v>
      </c>
      <c r="CT31" s="135" t="str">
        <f t="shared" si="44"/>
        <v>F</v>
      </c>
      <c r="CU31" s="135" t="str">
        <f>VLOOKUP(RANK(CS31,$CS$10:$CS$109),Sheet1!$A$381:$B$480,2,FALSE)</f>
        <v>1st</v>
      </c>
      <c r="CV31" s="151"/>
      <c r="CW31" s="135"/>
      <c r="CX31" s="151">
        <f t="shared" si="192"/>
        <v>0</v>
      </c>
      <c r="CY31" s="151">
        <f t="shared" si="193"/>
        <v>0</v>
      </c>
      <c r="CZ31" s="135" t="str">
        <f t="shared" si="45"/>
        <v>F</v>
      </c>
      <c r="DA31" s="135" t="str">
        <f>VLOOKUP(RANK(CY31,$CY$10:$CY$109),Sheet1!$A$381:$B$480,2,FALSE)</f>
        <v>1st</v>
      </c>
      <c r="DB31" s="135"/>
      <c r="DC31" s="151">
        <f t="shared" si="194"/>
        <v>599</v>
      </c>
      <c r="DD31" s="151">
        <f t="shared" si="195"/>
        <v>35.235294117647101</v>
      </c>
      <c r="DE31" s="135" t="str">
        <f>VLOOKUP(RANK(DD31,$DD$10:$DD$109),Sheet1!$A$381:$B$480,2,FALSE)</f>
        <v>57th</v>
      </c>
      <c r="DF31" s="137"/>
      <c r="DG31" s="160">
        <f t="shared" si="46"/>
        <v>634.23529411764696</v>
      </c>
      <c r="DH31" s="119"/>
      <c r="DI31" s="162">
        <v>18</v>
      </c>
      <c r="DJ31" s="162">
        <v>52</v>
      </c>
      <c r="DK31" s="137">
        <f t="shared" si="47"/>
        <v>70</v>
      </c>
      <c r="DL31" s="137" t="str">
        <f t="shared" si="48"/>
        <v>65</v>
      </c>
      <c r="DM31" s="137">
        <f t="shared" si="49"/>
        <v>135</v>
      </c>
      <c r="DN31" s="137">
        <f t="shared" si="50"/>
        <v>67.5</v>
      </c>
      <c r="DO31" s="135" t="str">
        <f t="shared" si="51"/>
        <v>B</v>
      </c>
      <c r="DP31" s="135" t="str">
        <f>VLOOKUP(RANK(DN31,$DN$10:$DN$109),Sheet1!$A$381:$B$480,2,FALSE)</f>
        <v>47th</v>
      </c>
      <c r="DQ31" s="164">
        <v>23</v>
      </c>
      <c r="DR31" s="165">
        <v>23</v>
      </c>
      <c r="DS31" s="137">
        <f t="shared" si="52"/>
        <v>46</v>
      </c>
      <c r="DT31" s="137" t="str">
        <f t="shared" si="53"/>
        <v>53</v>
      </c>
      <c r="DU31" s="137">
        <f t="shared" si="54"/>
        <v>99</v>
      </c>
      <c r="DV31" s="137">
        <f t="shared" si="55"/>
        <v>49.5</v>
      </c>
      <c r="DW31" s="135" t="str">
        <f t="shared" si="56"/>
        <v>D</v>
      </c>
      <c r="DX31" s="135" t="str">
        <f>VLOOKUP(RANK(DV31,$DV$10:$DV$109),Sheet1!$A$381:$B$480,2,FALSE)</f>
        <v>45th</v>
      </c>
      <c r="DY31" s="167">
        <v>24</v>
      </c>
      <c r="DZ31" s="165">
        <v>19</v>
      </c>
      <c r="EA31" s="137">
        <f t="shared" si="57"/>
        <v>43</v>
      </c>
      <c r="EB31" s="137" t="str">
        <f t="shared" si="58"/>
        <v>52</v>
      </c>
      <c r="EC31" s="137">
        <f t="shared" si="59"/>
        <v>95</v>
      </c>
      <c r="ED31" s="137">
        <f t="shared" si="60"/>
        <v>47.5</v>
      </c>
      <c r="EE31" s="135" t="str">
        <f t="shared" si="61"/>
        <v>D</v>
      </c>
      <c r="EF31" s="135" t="str">
        <f>VLOOKUP(RANK(ED31,$ED$10:$ED$109),Sheet1!$A$381:$B$480,2,FALSE)</f>
        <v>44th</v>
      </c>
      <c r="EG31" s="162">
        <v>16</v>
      </c>
      <c r="EH31" s="162">
        <v>35</v>
      </c>
      <c r="EI31" s="137">
        <f t="shared" si="62"/>
        <v>51</v>
      </c>
      <c r="EJ31" s="137" t="str">
        <f t="shared" si="63"/>
        <v>51</v>
      </c>
      <c r="EK31" s="137">
        <f t="shared" si="64"/>
        <v>102</v>
      </c>
      <c r="EL31" s="137">
        <f t="shared" si="65"/>
        <v>51</v>
      </c>
      <c r="EM31" s="135" t="str">
        <f t="shared" si="66"/>
        <v>C</v>
      </c>
      <c r="EN31" s="135" t="str">
        <f>VLOOKUP(RANK(EL31,$EL$10:$EL$109),Sheet1!$A$381:$B$480,2,FALSE)</f>
        <v>60th</v>
      </c>
      <c r="EO31" s="162">
        <v>32</v>
      </c>
      <c r="EP31" s="162">
        <v>26</v>
      </c>
      <c r="EQ31" s="137">
        <f t="shared" si="67"/>
        <v>58</v>
      </c>
      <c r="ER31" s="137" t="str">
        <f t="shared" si="68"/>
        <v>44</v>
      </c>
      <c r="ES31" s="137">
        <f t="shared" si="69"/>
        <v>102</v>
      </c>
      <c r="ET31" s="137">
        <f t="shared" si="70"/>
        <v>51</v>
      </c>
      <c r="EU31" s="135" t="str">
        <f t="shared" si="71"/>
        <v>C</v>
      </c>
      <c r="EV31" s="135" t="str">
        <f>VLOOKUP(RANK(ET31,$ET$10:$ET$109),Sheet1!$A$381:$B$480,2,FALSE)</f>
        <v>56th</v>
      </c>
      <c r="EW31" s="137"/>
      <c r="EX31" s="137"/>
      <c r="EY31" s="137">
        <f t="shared" si="72"/>
        <v>0</v>
      </c>
      <c r="EZ31" s="137" t="str">
        <f t="shared" si="73"/>
        <v>0</v>
      </c>
      <c r="FA31" s="137">
        <f t="shared" si="74"/>
        <v>0</v>
      </c>
      <c r="FB31" s="137">
        <f t="shared" si="75"/>
        <v>0</v>
      </c>
      <c r="FC31" s="135" t="str">
        <f t="shared" si="76"/>
        <v>F</v>
      </c>
      <c r="FD31" s="135" t="str">
        <f>VLOOKUP(RANK(FB31,$FB$10:$FB$109),Sheet1!$A$381:$B$480,2,FALSE)</f>
        <v>1st</v>
      </c>
      <c r="FE31" s="137"/>
      <c r="FF31" s="137"/>
      <c r="FG31" s="137">
        <f t="shared" si="77"/>
        <v>0</v>
      </c>
      <c r="FH31" s="137" t="str">
        <f t="shared" si="78"/>
        <v>0</v>
      </c>
      <c r="FI31" s="137">
        <f t="shared" si="79"/>
        <v>0</v>
      </c>
      <c r="FJ31" s="137">
        <f t="shared" si="80"/>
        <v>0</v>
      </c>
      <c r="FK31" s="135" t="str">
        <f t="shared" si="81"/>
        <v>F</v>
      </c>
      <c r="FL31" s="135" t="str">
        <f>VLOOKUP(RANK(FJ31,$FJ$10:$FJ$109),Sheet1!$A$381:$B$480,2,FALSE)</f>
        <v>1st</v>
      </c>
      <c r="FM31" s="164">
        <v>28</v>
      </c>
      <c r="FN31" s="165">
        <v>30</v>
      </c>
      <c r="FO31" s="137">
        <f t="shared" si="82"/>
        <v>58</v>
      </c>
      <c r="FP31" s="137" t="str">
        <f t="shared" si="83"/>
        <v>51</v>
      </c>
      <c r="FQ31" s="137">
        <f t="shared" si="84"/>
        <v>109</v>
      </c>
      <c r="FR31" s="137">
        <f t="shared" si="85"/>
        <v>54.5</v>
      </c>
      <c r="FS31" s="135" t="str">
        <f t="shared" si="86"/>
        <v>C</v>
      </c>
      <c r="FT31" s="135" t="str">
        <f>VLOOKUP(RANK(FR31,$FR$10:$FR$109),Sheet1!$A$381:$B$480,2,FALSE)</f>
        <v>28th</v>
      </c>
      <c r="FU31" s="148">
        <v>35</v>
      </c>
      <c r="FV31" s="150">
        <v>17</v>
      </c>
      <c r="FW31" s="137">
        <f t="shared" si="87"/>
        <v>52</v>
      </c>
      <c r="FX31" s="137" t="str">
        <f t="shared" si="88"/>
        <v>55</v>
      </c>
      <c r="FY31" s="137">
        <f t="shared" si="196"/>
        <v>52</v>
      </c>
      <c r="FZ31" s="137">
        <f t="shared" si="89"/>
        <v>26</v>
      </c>
      <c r="GA31" s="135" t="str">
        <f t="shared" si="90"/>
        <v>F</v>
      </c>
      <c r="GB31" s="135" t="str">
        <f>VLOOKUP(RANK(FZ31,$FZ$10:$FZ$109),Sheet1!$A$381:$B$480,2,FALSE)</f>
        <v>48th</v>
      </c>
      <c r="GC31" s="164">
        <v>12</v>
      </c>
      <c r="GD31" s="165">
        <v>25</v>
      </c>
      <c r="GE31" s="137">
        <f t="shared" si="91"/>
        <v>37</v>
      </c>
      <c r="GF31" s="137" t="str">
        <f t="shared" si="92"/>
        <v>25</v>
      </c>
      <c r="GG31" s="135">
        <f t="shared" si="197"/>
        <v>62</v>
      </c>
      <c r="GH31" s="137">
        <f t="shared" si="198"/>
        <v>31</v>
      </c>
      <c r="GI31" s="135" t="str">
        <f t="shared" si="93"/>
        <v>F</v>
      </c>
      <c r="GJ31" s="135" t="str">
        <f>VLOOKUP(RANK(GH31,$GH$10:$GH$109),Sheet1!$A$381:$B$480,2,FALSE)</f>
        <v>79th</v>
      </c>
      <c r="GK31" s="164">
        <v>26</v>
      </c>
      <c r="GL31" s="165">
        <v>21</v>
      </c>
      <c r="GM31" s="137">
        <f t="shared" si="94"/>
        <v>47</v>
      </c>
      <c r="GN31" s="137" t="str">
        <f t="shared" si="95"/>
        <v>50</v>
      </c>
      <c r="GO31" s="135">
        <f t="shared" si="199"/>
        <v>97</v>
      </c>
      <c r="GP31" s="137">
        <f t="shared" si="96"/>
        <v>48.5</v>
      </c>
      <c r="GQ31" s="135" t="str">
        <f t="shared" si="97"/>
        <v>D</v>
      </c>
      <c r="GR31" s="135" t="str">
        <f>VLOOKUP(RANK(GP31,$GP$10:$GP$109),Sheet1!$A$381:$B$480,2,FALSE)</f>
        <v>38th</v>
      </c>
      <c r="GS31" s="164">
        <v>19</v>
      </c>
      <c r="GT31" s="165">
        <v>44</v>
      </c>
      <c r="GU31" s="137">
        <f t="shared" si="98"/>
        <v>63</v>
      </c>
      <c r="GV31" s="137" t="str">
        <f t="shared" si="99"/>
        <v>39</v>
      </c>
      <c r="GW31" s="137">
        <f t="shared" si="100"/>
        <v>102</v>
      </c>
      <c r="GX31" s="137">
        <f t="shared" si="101"/>
        <v>51</v>
      </c>
      <c r="GY31" s="135" t="str">
        <f t="shared" si="102"/>
        <v>C</v>
      </c>
      <c r="GZ31" s="135" t="str">
        <f>VLOOKUP(RANK(GX31,$GX$10:$GX$109),Sheet1!$A$381:$B$480,2,FALSE)</f>
        <v>46th</v>
      </c>
      <c r="HA31" s="164">
        <v>30</v>
      </c>
      <c r="HB31" s="165">
        <v>22</v>
      </c>
      <c r="HC31" s="137">
        <f t="shared" si="103"/>
        <v>52</v>
      </c>
      <c r="HD31" s="137" t="str">
        <f t="shared" si="104"/>
        <v>36</v>
      </c>
      <c r="HE31" s="137">
        <f t="shared" si="105"/>
        <v>88</v>
      </c>
      <c r="HF31" s="137">
        <f t="shared" si="106"/>
        <v>44</v>
      </c>
      <c r="HG31" s="135" t="str">
        <f t="shared" si="107"/>
        <v>D</v>
      </c>
      <c r="HH31" s="135" t="str">
        <f>VLOOKUP(RANK(HF31,$HF$10:$HF$109),Sheet1!$A$381:$B$480,2,FALSE)</f>
        <v>30th</v>
      </c>
      <c r="HI31" s="148">
        <v>27</v>
      </c>
      <c r="HJ31" s="150">
        <v>54</v>
      </c>
      <c r="HK31" s="137">
        <f t="shared" si="108"/>
        <v>81</v>
      </c>
      <c r="HL31" s="137" t="str">
        <f t="shared" si="109"/>
        <v>78</v>
      </c>
      <c r="HM31" s="137">
        <f t="shared" si="110"/>
        <v>159</v>
      </c>
      <c r="HN31" s="137">
        <f t="shared" si="111"/>
        <v>79.5</v>
      </c>
      <c r="HO31" s="135" t="str">
        <f t="shared" si="112"/>
        <v>A</v>
      </c>
      <c r="HP31" s="135" t="str">
        <f>VLOOKUP(RANK(HN31,$HN$10:$HN$109),Sheet1!$A$381:$B$480,2,FALSE)</f>
        <v>4th</v>
      </c>
      <c r="HQ31" s="137"/>
      <c r="HR31" s="137"/>
      <c r="HS31" s="137">
        <f t="shared" si="113"/>
        <v>0</v>
      </c>
      <c r="HT31" s="137" t="str">
        <f t="shared" si="114"/>
        <v>0</v>
      </c>
      <c r="HU31" s="137">
        <f t="shared" si="115"/>
        <v>0</v>
      </c>
      <c r="HV31" s="137">
        <f t="shared" si="116"/>
        <v>0</v>
      </c>
      <c r="HW31" s="135" t="str">
        <f t="shared" si="117"/>
        <v>F</v>
      </c>
      <c r="HX31" s="135" t="str">
        <f>VLOOKUP(RANK(HV31,$HV$10:$HV$109),Sheet1!$A$381:$B$480,2,FALSE)</f>
        <v>1st</v>
      </c>
      <c r="HY31" s="137"/>
      <c r="HZ31" s="137"/>
      <c r="IA31" s="137">
        <f t="shared" si="118"/>
        <v>0</v>
      </c>
      <c r="IB31" s="137" t="str">
        <f t="shared" si="119"/>
        <v>0</v>
      </c>
      <c r="IC31" s="137">
        <f t="shared" si="120"/>
        <v>0</v>
      </c>
      <c r="ID31" s="137">
        <f t="shared" si="121"/>
        <v>0</v>
      </c>
      <c r="IE31" s="135" t="str">
        <f t="shared" si="122"/>
        <v>F</v>
      </c>
      <c r="IF31" s="135" t="str">
        <f>VLOOKUP(RANK(ID31,$ID$10:$ID$109),Sheet1!$A$381:$B$480,2,FALSE)</f>
        <v>1st</v>
      </c>
      <c r="IG31" s="135"/>
      <c r="IH31" s="135"/>
      <c r="II31" s="135">
        <f t="shared" si="200"/>
        <v>0</v>
      </c>
      <c r="IJ31" s="135" t="str">
        <f t="shared" si="201"/>
        <v>0</v>
      </c>
      <c r="IK31" s="135">
        <f t="shared" si="202"/>
        <v>0</v>
      </c>
      <c r="IL31" s="135">
        <f t="shared" si="203"/>
        <v>0</v>
      </c>
      <c r="IM31" s="135" t="str">
        <f t="shared" si="123"/>
        <v>F</v>
      </c>
      <c r="IN31" s="135" t="str">
        <f>VLOOKUP(RANK(IL31,$IL$10:$IL$109),Sheet1!$A$381:$B$480,2,FALSE)</f>
        <v>1st</v>
      </c>
      <c r="IO31" s="135">
        <f t="shared" si="204"/>
        <v>601</v>
      </c>
      <c r="IP31" s="177">
        <f t="shared" si="205"/>
        <v>35.352941176470601</v>
      </c>
      <c r="IQ31" s="135" t="str">
        <f>VLOOKUP(RANK(IP31,$IP$10:$IP$109),Sheet1!$A$381:$B$480,2,FALSE)</f>
        <v>46th</v>
      </c>
      <c r="IR31" s="178"/>
      <c r="IS31" s="137"/>
      <c r="IT31" s="137"/>
      <c r="IU31" s="137"/>
      <c r="IV31" s="137"/>
      <c r="IW31" s="181"/>
      <c r="IX31" s="184"/>
      <c r="IY31" s="186"/>
      <c r="IZ31" s="186">
        <f t="shared" si="206"/>
        <v>0</v>
      </c>
      <c r="JA31" s="186" t="str">
        <f t="shared" si="124"/>
        <v>65</v>
      </c>
      <c r="JB31" s="186" t="str">
        <f t="shared" si="125"/>
        <v>70</v>
      </c>
      <c r="JC31" s="186">
        <f t="shared" si="207"/>
        <v>135</v>
      </c>
      <c r="JD31" s="186">
        <f t="shared" si="208"/>
        <v>45</v>
      </c>
      <c r="JE31" s="135" t="str">
        <f t="shared" si="126"/>
        <v>D</v>
      </c>
      <c r="JF31" s="151" t="str">
        <f>VLOOKUP(RANK(JD31,$JD$10:$JD$109),Sheet1!$A$381:$B$480,2,FALSE)</f>
        <v>47th</v>
      </c>
      <c r="JG31" s="186"/>
      <c r="JH31" s="186"/>
      <c r="JI31" s="186">
        <f t="shared" si="127"/>
        <v>0</v>
      </c>
      <c r="JJ31" s="186" t="str">
        <f t="shared" si="128"/>
        <v>53</v>
      </c>
      <c r="JK31" s="186" t="str">
        <f t="shared" si="129"/>
        <v>46</v>
      </c>
      <c r="JL31" s="186">
        <f t="shared" si="209"/>
        <v>99</v>
      </c>
      <c r="JM31" s="186">
        <f t="shared" si="210"/>
        <v>33</v>
      </c>
      <c r="JN31" s="135" t="str">
        <f t="shared" si="130"/>
        <v>F</v>
      </c>
      <c r="JO31" s="151" t="str">
        <f>VLOOKUP(RANK(JM31,$JM$10:$JM$109),Sheet1!$A$381:$B$480,2,FALSE)</f>
        <v>45th</v>
      </c>
      <c r="JP31" s="186"/>
      <c r="JQ31" s="186"/>
      <c r="JR31" s="186">
        <f t="shared" si="131"/>
        <v>0</v>
      </c>
      <c r="JS31" s="186" t="str">
        <f t="shared" si="132"/>
        <v>52</v>
      </c>
      <c r="JT31" s="186" t="str">
        <f t="shared" si="133"/>
        <v>43</v>
      </c>
      <c r="JU31" s="186">
        <f t="shared" si="211"/>
        <v>95</v>
      </c>
      <c r="JV31" s="186">
        <f t="shared" si="212"/>
        <v>31.6666666666667</v>
      </c>
      <c r="JW31" s="135" t="str">
        <f t="shared" si="134"/>
        <v>F</v>
      </c>
      <c r="JX31" s="151" t="str">
        <f>VLOOKUP(RANK(JV31,$JV$10:$JV$109),Sheet1!$A$381:$B$480,2,FALSE)</f>
        <v>44th</v>
      </c>
      <c r="JY31" s="186"/>
      <c r="JZ31" s="186"/>
      <c r="KA31" s="186">
        <f t="shared" si="135"/>
        <v>0</v>
      </c>
      <c r="KB31" s="186" t="str">
        <f t="shared" si="136"/>
        <v>51</v>
      </c>
      <c r="KC31" s="186" t="str">
        <f t="shared" si="137"/>
        <v>51</v>
      </c>
      <c r="KD31" s="186">
        <f t="shared" si="213"/>
        <v>102</v>
      </c>
      <c r="KE31" s="186">
        <f t="shared" si="214"/>
        <v>34</v>
      </c>
      <c r="KF31" s="135" t="str">
        <f t="shared" si="138"/>
        <v>F</v>
      </c>
      <c r="KG31" s="151" t="str">
        <f>VLOOKUP(RANK(KE31,$KE$10:$KE$109),Sheet1!$A$381:$B$480,2,FALSE)</f>
        <v>60th</v>
      </c>
      <c r="KH31" s="186"/>
      <c r="KI31" s="186"/>
      <c r="KJ31" s="186">
        <f t="shared" si="139"/>
        <v>0</v>
      </c>
      <c r="KK31" s="186" t="str">
        <f t="shared" si="140"/>
        <v>44</v>
      </c>
      <c r="KL31" s="186" t="str">
        <f t="shared" si="141"/>
        <v>58</v>
      </c>
      <c r="KM31" s="186">
        <f t="shared" si="215"/>
        <v>102</v>
      </c>
      <c r="KN31" s="186">
        <f t="shared" si="216"/>
        <v>34</v>
      </c>
      <c r="KO31" s="135" t="str">
        <f t="shared" si="142"/>
        <v>F</v>
      </c>
      <c r="KP31" s="151" t="str">
        <f>VLOOKUP(RANK(KN31,$KN$10:$KN$109),Sheet1!$A$381:$B$480,2,FALSE)</f>
        <v>56th</v>
      </c>
      <c r="KQ31" s="186"/>
      <c r="KR31" s="186"/>
      <c r="KS31" s="186">
        <f t="shared" si="143"/>
        <v>0</v>
      </c>
      <c r="KT31" s="186" t="str">
        <f t="shared" si="144"/>
        <v>0</v>
      </c>
      <c r="KU31" s="186" t="str">
        <f t="shared" si="145"/>
        <v>0</v>
      </c>
      <c r="KV31" s="186">
        <f t="shared" si="217"/>
        <v>0</v>
      </c>
      <c r="KW31" s="186">
        <f t="shared" si="218"/>
        <v>0</v>
      </c>
      <c r="KX31" s="135" t="str">
        <f t="shared" si="146"/>
        <v>F</v>
      </c>
      <c r="KY31" s="151" t="str">
        <f>VLOOKUP(RANK(KW31,$KW$10:$KW$109),Sheet1!$A$381:$B$480,2,FALSE)</f>
        <v>1st</v>
      </c>
      <c r="KZ31" s="186"/>
      <c r="LA31" s="186"/>
      <c r="LB31" s="186">
        <f t="shared" si="147"/>
        <v>0</v>
      </c>
      <c r="LC31" s="186" t="str">
        <f t="shared" si="148"/>
        <v>0</v>
      </c>
      <c r="LD31" s="186" t="str">
        <f t="shared" si="149"/>
        <v>0</v>
      </c>
      <c r="LE31" s="186">
        <f t="shared" si="219"/>
        <v>0</v>
      </c>
      <c r="LF31" s="186">
        <f t="shared" si="220"/>
        <v>0</v>
      </c>
      <c r="LG31" s="135" t="str">
        <f t="shared" si="150"/>
        <v>F</v>
      </c>
      <c r="LH31" s="151" t="str">
        <f>VLOOKUP(RANK(LF31,$LF$10:$LF$109),Sheet1!$A$381:$B$480,2,FALSE)</f>
        <v>1st</v>
      </c>
      <c r="LI31" s="186"/>
      <c r="LJ31" s="186"/>
      <c r="LK31" s="186">
        <f t="shared" si="151"/>
        <v>0</v>
      </c>
      <c r="LL31" s="186" t="str">
        <f t="shared" si="152"/>
        <v>51</v>
      </c>
      <c r="LM31" s="186" t="str">
        <f t="shared" si="153"/>
        <v>58</v>
      </c>
      <c r="LN31" s="186">
        <f t="shared" si="221"/>
        <v>109</v>
      </c>
      <c r="LO31" s="186">
        <f t="shared" si="222"/>
        <v>36.3333333333333</v>
      </c>
      <c r="LP31" s="135" t="str">
        <f t="shared" si="154"/>
        <v>E</v>
      </c>
      <c r="LQ31" s="151" t="str">
        <f>VLOOKUP(RANK(LO31,$LO$10:$LO$109),Sheet1!$A$381:$B$480,2,FALSE)</f>
        <v>28th</v>
      </c>
      <c r="LR31" s="186"/>
      <c r="LS31" s="186"/>
      <c r="LT31" s="186">
        <f t="shared" si="155"/>
        <v>0</v>
      </c>
      <c r="LU31" s="186" t="str">
        <f t="shared" si="156"/>
        <v>55</v>
      </c>
      <c r="LV31" s="186" t="str">
        <f t="shared" si="157"/>
        <v>52</v>
      </c>
      <c r="LW31" s="186">
        <f t="shared" si="223"/>
        <v>107</v>
      </c>
      <c r="LX31" s="186">
        <f t="shared" si="224"/>
        <v>35.6666666666667</v>
      </c>
      <c r="LY31" s="135" t="str">
        <f t="shared" si="158"/>
        <v>E</v>
      </c>
      <c r="LZ31" s="151" t="str">
        <f>VLOOKUP(RANK(LX31,$LX$10:$LX$109),Sheet1!$A$381:$B$480,2,FALSE)</f>
        <v>42nd</v>
      </c>
      <c r="MA31" s="186"/>
      <c r="MB31" s="186"/>
      <c r="MC31" s="186">
        <f t="shared" si="159"/>
        <v>0</v>
      </c>
      <c r="MD31" s="186" t="str">
        <f t="shared" si="160"/>
        <v>25</v>
      </c>
      <c r="ME31" s="186" t="str">
        <f t="shared" si="161"/>
        <v>37</v>
      </c>
      <c r="MF31" s="183">
        <f t="shared" si="225"/>
        <v>62</v>
      </c>
      <c r="MG31" s="151">
        <f t="shared" si="226"/>
        <v>20.6666666666667</v>
      </c>
      <c r="MH31" s="135" t="str">
        <f t="shared" si="162"/>
        <v>F</v>
      </c>
      <c r="MI31" s="151" t="str">
        <f>VLOOKUP(RANK(MG31,$MG$10:$MG$109),Sheet1!$A$381:$B$480,2,FALSE)</f>
        <v>79th</v>
      </c>
      <c r="MJ31" s="186"/>
      <c r="MK31" s="186"/>
      <c r="ML31" s="186">
        <f t="shared" si="163"/>
        <v>0</v>
      </c>
      <c r="MM31" s="186" t="str">
        <f t="shared" si="164"/>
        <v>50</v>
      </c>
      <c r="MN31" s="186" t="str">
        <f t="shared" si="165"/>
        <v>47</v>
      </c>
      <c r="MO31" s="186">
        <f t="shared" si="227"/>
        <v>97</v>
      </c>
      <c r="MP31" s="186">
        <f t="shared" si="228"/>
        <v>32.3333333333333</v>
      </c>
      <c r="MQ31" s="135" t="str">
        <f t="shared" si="166"/>
        <v>F</v>
      </c>
      <c r="MR31" s="151" t="str">
        <f>VLOOKUP(RANK(MP31,$MP$10:$MP$109),Sheet1!$A$381:$B$480,2,FALSE)</f>
        <v>38th</v>
      </c>
      <c r="MS31" s="186"/>
      <c r="MT31" s="186"/>
      <c r="MU31" s="186">
        <f t="shared" si="167"/>
        <v>0</v>
      </c>
      <c r="MV31" s="186" t="str">
        <f t="shared" si="168"/>
        <v>39</v>
      </c>
      <c r="MW31" s="186" t="str">
        <f t="shared" si="169"/>
        <v>63</v>
      </c>
      <c r="MX31" s="186">
        <f t="shared" si="229"/>
        <v>102</v>
      </c>
      <c r="MY31" s="186">
        <f t="shared" si="230"/>
        <v>34</v>
      </c>
      <c r="MZ31" s="135" t="str">
        <f t="shared" si="170"/>
        <v>F</v>
      </c>
      <c r="NA31" s="151" t="str">
        <f>VLOOKUP(RANK(MY31,$MY$10:$MY$109),Sheet1!$A$381:$B$480,2,FALSE)</f>
        <v>46th</v>
      </c>
      <c r="NB31" s="186"/>
      <c r="NC31" s="186"/>
      <c r="ND31" s="186">
        <f t="shared" si="171"/>
        <v>0</v>
      </c>
      <c r="NE31" s="186" t="str">
        <f t="shared" si="172"/>
        <v>36</v>
      </c>
      <c r="NF31" s="186" t="str">
        <f t="shared" si="173"/>
        <v>52</v>
      </c>
      <c r="NG31" s="186">
        <f t="shared" si="231"/>
        <v>88</v>
      </c>
      <c r="NH31" s="186">
        <f t="shared" si="232"/>
        <v>29.3333333333333</v>
      </c>
      <c r="NI31" s="135" t="str">
        <f t="shared" si="174"/>
        <v>F</v>
      </c>
      <c r="NJ31" s="151" t="str">
        <f>VLOOKUP(RANK(NH31,$NH$10:$NH$109),Sheet1!$A$381:$B$480,2,FALSE)</f>
        <v>30th</v>
      </c>
      <c r="NK31" s="186"/>
      <c r="NL31" s="186"/>
      <c r="NM31" s="186">
        <f t="shared" si="175"/>
        <v>0</v>
      </c>
      <c r="NN31" s="186" t="str">
        <f t="shared" si="176"/>
        <v>78</v>
      </c>
      <c r="NO31" s="186" t="str">
        <f t="shared" si="177"/>
        <v>81</v>
      </c>
      <c r="NP31" s="186">
        <f t="shared" si="233"/>
        <v>159</v>
      </c>
      <c r="NQ31" s="186">
        <f t="shared" si="178"/>
        <v>53</v>
      </c>
      <c r="NR31" s="135" t="str">
        <f t="shared" si="179"/>
        <v>C</v>
      </c>
      <c r="NS31" s="151" t="str">
        <f>VLOOKUP(RANK(NQ31,$NQ$10:$NQ$109),Sheet1!$A$381:$B$480,2,FALSE)</f>
        <v>4th</v>
      </c>
      <c r="NT31" s="186"/>
      <c r="NU31" s="186"/>
      <c r="NV31" s="186">
        <f t="shared" si="180"/>
        <v>0</v>
      </c>
      <c r="NW31" s="186" t="str">
        <f t="shared" si="181"/>
        <v>0</v>
      </c>
      <c r="NX31" s="186" t="str">
        <f t="shared" si="182"/>
        <v>0</v>
      </c>
      <c r="NY31" s="186">
        <f t="shared" si="234"/>
        <v>0</v>
      </c>
      <c r="NZ31" s="186">
        <f t="shared" si="183"/>
        <v>0</v>
      </c>
      <c r="OA31" s="135" t="str">
        <f t="shared" si="184"/>
        <v>F</v>
      </c>
      <c r="OB31" s="151" t="str">
        <f>VLOOKUP(RANK(NZ31,$NZ$10:$NZ$109),Sheet1!$A$381:$B$480,2,FALSE)</f>
        <v>1st</v>
      </c>
      <c r="OC31" s="186"/>
      <c r="OD31" s="186"/>
      <c r="OE31" s="186">
        <f t="shared" si="185"/>
        <v>0</v>
      </c>
      <c r="OF31" s="186" t="str">
        <f t="shared" si="186"/>
        <v>0</v>
      </c>
      <c r="OG31" s="186" t="str">
        <f t="shared" si="187"/>
        <v>0</v>
      </c>
      <c r="OH31" s="186">
        <f t="shared" si="235"/>
        <v>0</v>
      </c>
      <c r="OI31" s="186">
        <f t="shared" si="236"/>
        <v>0</v>
      </c>
      <c r="OJ31" s="135" t="str">
        <f t="shared" si="188"/>
        <v>F</v>
      </c>
      <c r="OK31" s="151" t="str">
        <f>VLOOKUP(RANK(OI31,$OI$10:$OI$109),Sheet1!$A$381:$B$480,2,FALSE)</f>
        <v>1st</v>
      </c>
      <c r="OL31" s="151"/>
      <c r="OM31" s="151"/>
      <c r="ON31" s="151">
        <f t="shared" si="237"/>
        <v>0</v>
      </c>
      <c r="OO31" s="151" t="str">
        <f t="shared" si="238"/>
        <v>0</v>
      </c>
      <c r="OP31" s="151" t="str">
        <f t="shared" si="239"/>
        <v>0</v>
      </c>
      <c r="OQ31" s="151">
        <f t="shared" si="240"/>
        <v>0</v>
      </c>
      <c r="OR31" s="151">
        <f t="shared" si="241"/>
        <v>0</v>
      </c>
      <c r="OS31" s="135" t="str">
        <f t="shared" si="189"/>
        <v>F</v>
      </c>
      <c r="OT31" s="151" t="str">
        <f>VLOOKUP(RANK(OR31,$OI$10:$OI$109),Sheet1!$A$381:$B$480,2,FALSE)</f>
        <v>1st</v>
      </c>
      <c r="OU31" s="151">
        <f t="shared" si="242"/>
        <v>419</v>
      </c>
      <c r="OV31" s="151">
        <f t="shared" si="243"/>
        <v>24.647058823529399</v>
      </c>
      <c r="OW31" s="151" t="str">
        <f>VLOOKUP(RANK(OV31,$OV$10:$OV$109),Sheet1!$A$381:$B$480,2,FALSE)</f>
        <v>44th</v>
      </c>
      <c r="OX31" s="151"/>
      <c r="OY31" s="186"/>
      <c r="OZ31" s="186"/>
      <c r="PA31" s="186"/>
      <c r="PB31" s="186"/>
    </row>
    <row r="32" spans="1:418" s="118" customFormat="1" ht="18.75">
      <c r="A32" s="131">
        <v>23</v>
      </c>
      <c r="B32" s="132" t="s">
        <v>120</v>
      </c>
      <c r="C32" s="133" t="s">
        <v>97</v>
      </c>
      <c r="D32" s="134">
        <v>33</v>
      </c>
      <c r="E32" s="134">
        <v>45</v>
      </c>
      <c r="F32" s="137">
        <f t="shared" si="0"/>
        <v>78</v>
      </c>
      <c r="G32" s="137">
        <f t="shared" si="1"/>
        <v>78</v>
      </c>
      <c r="H32" s="135" t="str">
        <f t="shared" si="190"/>
        <v>A</v>
      </c>
      <c r="I32" s="135" t="str">
        <f>VLOOKUP(RANK(G32,$G$10:$G$109),Sheet1!$A$381:$B$480,2,FALSE)</f>
        <v>14th</v>
      </c>
      <c r="J32" s="134">
        <v>35</v>
      </c>
      <c r="K32" s="134">
        <v>25</v>
      </c>
      <c r="L32" s="137">
        <f t="shared" si="2"/>
        <v>60</v>
      </c>
      <c r="M32" s="137">
        <f t="shared" si="3"/>
        <v>60</v>
      </c>
      <c r="N32" s="135" t="str">
        <f t="shared" si="4"/>
        <v>B</v>
      </c>
      <c r="O32" s="141" t="str">
        <f>VLOOKUP(RANK(M32,$M$10:$M$109),Sheet1!$A$381:$B$480,2,FALSE)</f>
        <v>26th</v>
      </c>
      <c r="P32" s="142">
        <v>36</v>
      </c>
      <c r="Q32" s="145">
        <v>25</v>
      </c>
      <c r="R32" s="147">
        <f t="shared" si="5"/>
        <v>61</v>
      </c>
      <c r="S32" s="137">
        <f t="shared" si="6"/>
        <v>61</v>
      </c>
      <c r="T32" s="135" t="str">
        <f t="shared" si="7"/>
        <v>B</v>
      </c>
      <c r="U32" s="135" t="str">
        <f>VLOOKUP(RANK(S32,$S$10:$S$109),Sheet1!$A$381:$B$480,2,FALSE)</f>
        <v>11th</v>
      </c>
      <c r="V32" s="134">
        <v>37</v>
      </c>
      <c r="W32" s="134">
        <v>50</v>
      </c>
      <c r="X32" s="137">
        <f t="shared" si="191"/>
        <v>87</v>
      </c>
      <c r="Y32" s="137">
        <f t="shared" si="244"/>
        <v>87</v>
      </c>
      <c r="Z32" s="135" t="str">
        <f t="shared" si="8"/>
        <v>A</v>
      </c>
      <c r="AA32" s="135" t="str">
        <f>VLOOKUP(RANK(Y32,$Y$10:$Y$109),Sheet1!$A$381:$B$480,2,FALSE)</f>
        <v>4th</v>
      </c>
      <c r="AB32" s="134">
        <v>32</v>
      </c>
      <c r="AC32" s="134">
        <v>42</v>
      </c>
      <c r="AD32" s="137">
        <f t="shared" si="9"/>
        <v>74</v>
      </c>
      <c r="AE32" s="137">
        <f t="shared" si="10"/>
        <v>74</v>
      </c>
      <c r="AF32" s="135" t="str">
        <f t="shared" si="11"/>
        <v>B</v>
      </c>
      <c r="AG32" s="135" t="str">
        <f>VLOOKUP(RANK(AE32,$AE$10:$AE$109),Sheet1!$A$381:$B$480,2,FALSE)</f>
        <v>27th</v>
      </c>
      <c r="AH32" s="137"/>
      <c r="AI32" s="137"/>
      <c r="AJ32" s="137">
        <f t="shared" si="12"/>
        <v>0</v>
      </c>
      <c r="AK32" s="137">
        <f t="shared" si="13"/>
        <v>0</v>
      </c>
      <c r="AL32" s="135" t="str">
        <f t="shared" si="14"/>
        <v>F</v>
      </c>
      <c r="AM32" s="135" t="str">
        <f>VLOOKUP(RANK(AK32,$AK$10:$AK$109),Sheet1!$A$381:$B$480,2,FALSE)</f>
        <v>1st</v>
      </c>
      <c r="AN32" s="134"/>
      <c r="AO32" s="134"/>
      <c r="AP32" s="137">
        <f t="shared" si="15"/>
        <v>0</v>
      </c>
      <c r="AQ32" s="137">
        <f t="shared" si="16"/>
        <v>0</v>
      </c>
      <c r="AR32" s="135" t="str">
        <f t="shared" si="17"/>
        <v>F</v>
      </c>
      <c r="AS32" s="135" t="str">
        <f>VLOOKUP(RANK(AQ32,$AQ$10:$AQ$109),Sheet1!$A$381:$B$480,2,FALSE)</f>
        <v>1st</v>
      </c>
      <c r="AT32" s="142">
        <v>25</v>
      </c>
      <c r="AU32" s="145">
        <v>45</v>
      </c>
      <c r="AV32" s="137">
        <f t="shared" si="18"/>
        <v>70</v>
      </c>
      <c r="AW32" s="137">
        <f t="shared" si="19"/>
        <v>70</v>
      </c>
      <c r="AX32" s="135" t="str">
        <f t="shared" si="20"/>
        <v>B</v>
      </c>
      <c r="AY32" s="141" t="str">
        <f>VLOOKUP(RANK(AW32,$AW$10:$AW$109),Sheet1!$A$381:$B$480,2,FALSE)</f>
        <v>2nd</v>
      </c>
      <c r="AZ32" s="142">
        <v>36</v>
      </c>
      <c r="BA32" s="145">
        <v>35</v>
      </c>
      <c r="BB32" s="147">
        <f t="shared" si="21"/>
        <v>71</v>
      </c>
      <c r="BC32" s="137">
        <f t="shared" si="22"/>
        <v>71</v>
      </c>
      <c r="BD32" s="135" t="str">
        <f t="shared" si="23"/>
        <v>B</v>
      </c>
      <c r="BE32" s="135" t="str">
        <f>VLOOKUP(RANK(BC32,$BC$10:$BC$109),Sheet1!$A$381:$B$480,2,FALSE)</f>
        <v>8th</v>
      </c>
      <c r="BF32" s="142">
        <v>21</v>
      </c>
      <c r="BG32" s="145">
        <v>42</v>
      </c>
      <c r="BH32" s="137">
        <f t="shared" si="24"/>
        <v>63</v>
      </c>
      <c r="BI32" s="137">
        <f t="shared" si="25"/>
        <v>63</v>
      </c>
      <c r="BJ32" s="135" t="str">
        <f t="shared" si="26"/>
        <v>B</v>
      </c>
      <c r="BK32" s="141" t="str">
        <f>VLOOKUP(RANK(BI32,$BI$10:$BI$109),Sheet1!$A$381:$B$480,2,FALSE)</f>
        <v>4th</v>
      </c>
      <c r="BL32" s="148">
        <v>27</v>
      </c>
      <c r="BM32" s="150">
        <v>24</v>
      </c>
      <c r="BN32" s="147">
        <f t="shared" si="27"/>
        <v>51</v>
      </c>
      <c r="BO32" s="137">
        <f t="shared" si="28"/>
        <v>51</v>
      </c>
      <c r="BP32" s="135" t="str">
        <f t="shared" si="29"/>
        <v>C</v>
      </c>
      <c r="BQ32" s="141" t="str">
        <f>VLOOKUP(RANK(BO32,$BO$10:$BO$109),Sheet1!$A$381:$B$480,2,FALSE)</f>
        <v>69th</v>
      </c>
      <c r="BR32" s="148">
        <v>27</v>
      </c>
      <c r="BS32" s="150">
        <v>50</v>
      </c>
      <c r="BT32" s="147">
        <f t="shared" si="30"/>
        <v>77</v>
      </c>
      <c r="BU32" s="137">
        <f t="shared" si="31"/>
        <v>77</v>
      </c>
      <c r="BV32" s="135" t="str">
        <f t="shared" si="32"/>
        <v>A</v>
      </c>
      <c r="BW32" s="135" t="str">
        <f>VLOOKUP(RANK(BU32,$BU$10:$BU$109),Sheet1!$A$381:$B$480,2,FALSE)</f>
        <v>4th</v>
      </c>
      <c r="BX32" s="148">
        <v>27</v>
      </c>
      <c r="BY32" s="150">
        <v>15</v>
      </c>
      <c r="BZ32" s="137">
        <f t="shared" si="33"/>
        <v>42</v>
      </c>
      <c r="CA32" s="137">
        <f t="shared" si="34"/>
        <v>42</v>
      </c>
      <c r="CB32" s="135" t="str">
        <f t="shared" si="35"/>
        <v>D</v>
      </c>
      <c r="CC32" s="135" t="str">
        <f>VLOOKUP(RANK(CA32,$CA$10:$CA$109),Sheet1!$A$381:$B$480,2,FALSE)</f>
        <v>32nd</v>
      </c>
      <c r="CD32" s="148">
        <v>32</v>
      </c>
      <c r="CE32" s="150">
        <v>55</v>
      </c>
      <c r="CF32" s="137">
        <f t="shared" si="36"/>
        <v>87</v>
      </c>
      <c r="CG32" s="137">
        <f t="shared" si="37"/>
        <v>87</v>
      </c>
      <c r="CH32" s="135" t="str">
        <f t="shared" si="38"/>
        <v>A</v>
      </c>
      <c r="CI32" s="135" t="str">
        <f>VLOOKUP(RANK(CG32,$CG$10:$CG$109),Sheet1!$A$381:$B$480,2,FALSE)</f>
        <v>1st</v>
      </c>
      <c r="CJ32" s="137"/>
      <c r="CK32" s="137"/>
      <c r="CL32" s="137">
        <f t="shared" si="39"/>
        <v>0</v>
      </c>
      <c r="CM32" s="137">
        <f t="shared" si="40"/>
        <v>0</v>
      </c>
      <c r="CN32" s="135" t="str">
        <f t="shared" si="41"/>
        <v>F</v>
      </c>
      <c r="CO32" s="135" t="str">
        <f>VLOOKUP(RANK(CM32,$CM$10:$CM$109),Sheet1!$A$381:$B$480,2,FALSE)</f>
        <v>1st</v>
      </c>
      <c r="CP32" s="137"/>
      <c r="CQ32" s="137"/>
      <c r="CR32" s="137">
        <f t="shared" si="42"/>
        <v>0</v>
      </c>
      <c r="CS32" s="137">
        <f t="shared" si="43"/>
        <v>0</v>
      </c>
      <c r="CT32" s="135" t="str">
        <f t="shared" si="44"/>
        <v>F</v>
      </c>
      <c r="CU32" s="135" t="str">
        <f>VLOOKUP(RANK(CS32,$CS$10:$CS$109),Sheet1!$A$381:$B$480,2,FALSE)</f>
        <v>1st</v>
      </c>
      <c r="CV32" s="151"/>
      <c r="CW32" s="135"/>
      <c r="CX32" s="151">
        <f t="shared" si="192"/>
        <v>0</v>
      </c>
      <c r="CY32" s="151">
        <f t="shared" si="193"/>
        <v>0</v>
      </c>
      <c r="CZ32" s="135" t="str">
        <f t="shared" si="45"/>
        <v>F</v>
      </c>
      <c r="DA32" s="135" t="str">
        <f>VLOOKUP(RANK(CY32,$CY$10:$CY$109),Sheet1!$A$381:$B$480,2,FALSE)</f>
        <v>1st</v>
      </c>
      <c r="DB32" s="135"/>
      <c r="DC32" s="151">
        <f t="shared" si="194"/>
        <v>821</v>
      </c>
      <c r="DD32" s="151">
        <f t="shared" si="195"/>
        <v>48.294117647058798</v>
      </c>
      <c r="DE32" s="135" t="str">
        <f>VLOOKUP(RANK(DD32,$DD$10:$DD$109),Sheet1!$A$381:$B$480,2,FALSE)</f>
        <v>5th</v>
      </c>
      <c r="DF32" s="137"/>
      <c r="DG32" s="160">
        <f t="shared" si="46"/>
        <v>869.29411764705901</v>
      </c>
      <c r="DH32" s="119"/>
      <c r="DI32" s="162">
        <v>29</v>
      </c>
      <c r="DJ32" s="162">
        <v>53</v>
      </c>
      <c r="DK32" s="137">
        <f t="shared" si="47"/>
        <v>82</v>
      </c>
      <c r="DL32" s="137" t="str">
        <f t="shared" si="48"/>
        <v>78</v>
      </c>
      <c r="DM32" s="137">
        <f t="shared" si="49"/>
        <v>160</v>
      </c>
      <c r="DN32" s="137">
        <f t="shared" si="50"/>
        <v>80</v>
      </c>
      <c r="DO32" s="135" t="str">
        <f t="shared" si="51"/>
        <v>A</v>
      </c>
      <c r="DP32" s="135" t="str">
        <f>VLOOKUP(RANK(DN32,$DN$10:$DN$109),Sheet1!$A$381:$B$480,2,FALSE)</f>
        <v>6th</v>
      </c>
      <c r="DQ32" s="164">
        <v>23</v>
      </c>
      <c r="DR32" s="165">
        <v>34</v>
      </c>
      <c r="DS32" s="137">
        <f t="shared" si="52"/>
        <v>57</v>
      </c>
      <c r="DT32" s="137" t="str">
        <f t="shared" si="53"/>
        <v>60</v>
      </c>
      <c r="DU32" s="137">
        <f t="shared" si="54"/>
        <v>117</v>
      </c>
      <c r="DV32" s="137">
        <f t="shared" si="55"/>
        <v>58.5</v>
      </c>
      <c r="DW32" s="135" t="str">
        <f t="shared" si="56"/>
        <v>C</v>
      </c>
      <c r="DX32" s="135" t="str">
        <f>VLOOKUP(RANK(DV32,$DV$10:$DV$109),Sheet1!$A$381:$B$480,2,FALSE)</f>
        <v>16th</v>
      </c>
      <c r="DY32" s="167">
        <v>29</v>
      </c>
      <c r="DZ32" s="165">
        <v>34</v>
      </c>
      <c r="EA32" s="137">
        <f t="shared" si="57"/>
        <v>63</v>
      </c>
      <c r="EB32" s="137" t="str">
        <f t="shared" si="58"/>
        <v>61</v>
      </c>
      <c r="EC32" s="137">
        <f t="shared" si="59"/>
        <v>124</v>
      </c>
      <c r="ED32" s="137">
        <f t="shared" si="60"/>
        <v>62</v>
      </c>
      <c r="EE32" s="135" t="str">
        <f t="shared" si="61"/>
        <v>B</v>
      </c>
      <c r="EF32" s="135" t="str">
        <f>VLOOKUP(RANK(ED32,$ED$10:$ED$109),Sheet1!$A$381:$B$480,2,FALSE)</f>
        <v>7th</v>
      </c>
      <c r="EG32" s="162">
        <v>33</v>
      </c>
      <c r="EH32" s="162">
        <v>31</v>
      </c>
      <c r="EI32" s="137">
        <f t="shared" si="62"/>
        <v>64</v>
      </c>
      <c r="EJ32" s="137" t="str">
        <f t="shared" si="63"/>
        <v>87</v>
      </c>
      <c r="EK32" s="137">
        <f t="shared" si="64"/>
        <v>151</v>
      </c>
      <c r="EL32" s="137">
        <f t="shared" si="65"/>
        <v>75.5</v>
      </c>
      <c r="EM32" s="135" t="str">
        <f t="shared" si="66"/>
        <v>A</v>
      </c>
      <c r="EN32" s="135" t="str">
        <f>VLOOKUP(RANK(EL32,$EL$10:$EL$109),Sheet1!$A$381:$B$480,2,FALSE)</f>
        <v>8th</v>
      </c>
      <c r="EO32" s="162">
        <v>33</v>
      </c>
      <c r="EP32" s="162">
        <v>46</v>
      </c>
      <c r="EQ32" s="137">
        <f t="shared" si="67"/>
        <v>79</v>
      </c>
      <c r="ER32" s="137" t="str">
        <f t="shared" si="68"/>
        <v>74</v>
      </c>
      <c r="ES32" s="137">
        <f t="shared" si="69"/>
        <v>153</v>
      </c>
      <c r="ET32" s="137">
        <f t="shared" si="70"/>
        <v>76.5</v>
      </c>
      <c r="EU32" s="135" t="str">
        <f t="shared" si="71"/>
        <v>A</v>
      </c>
      <c r="EV32" s="135" t="str">
        <f>VLOOKUP(RANK(ET32,$ET$10:$ET$109),Sheet1!$A$381:$B$480,2,FALSE)</f>
        <v>9th</v>
      </c>
      <c r="EW32" s="137"/>
      <c r="EX32" s="137"/>
      <c r="EY32" s="137">
        <f t="shared" si="72"/>
        <v>0</v>
      </c>
      <c r="EZ32" s="137" t="str">
        <f t="shared" si="73"/>
        <v>0</v>
      </c>
      <c r="FA32" s="137">
        <f t="shared" si="74"/>
        <v>0</v>
      </c>
      <c r="FB32" s="137">
        <f t="shared" si="75"/>
        <v>0</v>
      </c>
      <c r="FC32" s="135" t="str">
        <f t="shared" si="76"/>
        <v>F</v>
      </c>
      <c r="FD32" s="135" t="str">
        <f>VLOOKUP(RANK(FB32,$FB$10:$FB$109),Sheet1!$A$381:$B$480,2,FALSE)</f>
        <v>1st</v>
      </c>
      <c r="FE32" s="137"/>
      <c r="FF32" s="137"/>
      <c r="FG32" s="137">
        <f t="shared" si="77"/>
        <v>0</v>
      </c>
      <c r="FH32" s="137" t="str">
        <f t="shared" si="78"/>
        <v>0</v>
      </c>
      <c r="FI32" s="137">
        <f t="shared" si="79"/>
        <v>0</v>
      </c>
      <c r="FJ32" s="137">
        <f t="shared" si="80"/>
        <v>0</v>
      </c>
      <c r="FK32" s="135" t="str">
        <f t="shared" si="81"/>
        <v>F</v>
      </c>
      <c r="FL32" s="135" t="str">
        <f>VLOOKUP(RANK(FJ32,$FJ$10:$FJ$109),Sheet1!$A$381:$B$480,2,FALSE)</f>
        <v>1st</v>
      </c>
      <c r="FM32" s="164">
        <v>30</v>
      </c>
      <c r="FN32" s="165">
        <v>43</v>
      </c>
      <c r="FO32" s="137">
        <f t="shared" si="82"/>
        <v>73</v>
      </c>
      <c r="FP32" s="137" t="str">
        <f t="shared" si="83"/>
        <v>70</v>
      </c>
      <c r="FQ32" s="137">
        <f t="shared" si="84"/>
        <v>143</v>
      </c>
      <c r="FR32" s="137">
        <f t="shared" si="85"/>
        <v>71.5</v>
      </c>
      <c r="FS32" s="135" t="str">
        <f t="shared" si="86"/>
        <v>B</v>
      </c>
      <c r="FT32" s="135" t="str">
        <f>VLOOKUP(RANK(FR32,$FR$10:$FR$109),Sheet1!$A$381:$B$480,2,FALSE)</f>
        <v>3rd</v>
      </c>
      <c r="FU32" s="148">
        <v>27</v>
      </c>
      <c r="FV32" s="150">
        <v>15</v>
      </c>
      <c r="FW32" s="137">
        <f t="shared" si="87"/>
        <v>42</v>
      </c>
      <c r="FX32" s="137" t="str">
        <f t="shared" si="88"/>
        <v>71</v>
      </c>
      <c r="FY32" s="137">
        <f t="shared" si="196"/>
        <v>42</v>
      </c>
      <c r="FZ32" s="137">
        <f t="shared" si="89"/>
        <v>21</v>
      </c>
      <c r="GA32" s="135" t="str">
        <f t="shared" si="90"/>
        <v>F</v>
      </c>
      <c r="GB32" s="135" t="str">
        <f>VLOOKUP(RANK(FZ32,$FZ$10:$FZ$109),Sheet1!$A$381:$B$480,2,FALSE)</f>
        <v>70th</v>
      </c>
      <c r="GC32" s="164">
        <v>27</v>
      </c>
      <c r="GD32" s="165">
        <v>30</v>
      </c>
      <c r="GE32" s="137">
        <f t="shared" si="91"/>
        <v>57</v>
      </c>
      <c r="GF32" s="137" t="str">
        <f t="shared" si="92"/>
        <v>63</v>
      </c>
      <c r="GG32" s="135">
        <f t="shared" si="197"/>
        <v>120</v>
      </c>
      <c r="GH32" s="137">
        <f t="shared" si="198"/>
        <v>60</v>
      </c>
      <c r="GI32" s="135" t="str">
        <f t="shared" si="93"/>
        <v>B</v>
      </c>
      <c r="GJ32" s="135" t="str">
        <f>VLOOKUP(RANK(GH32,$GH$10:$GH$109),Sheet1!$A$381:$B$480,2,FALSE)</f>
        <v>5th</v>
      </c>
      <c r="GK32" s="164">
        <v>29</v>
      </c>
      <c r="GL32" s="165">
        <v>24</v>
      </c>
      <c r="GM32" s="137">
        <f t="shared" si="94"/>
        <v>53</v>
      </c>
      <c r="GN32" s="137" t="str">
        <f t="shared" si="95"/>
        <v>51</v>
      </c>
      <c r="GO32" s="135">
        <f t="shared" si="199"/>
        <v>104</v>
      </c>
      <c r="GP32" s="137">
        <f t="shared" si="96"/>
        <v>52</v>
      </c>
      <c r="GQ32" s="135" t="str">
        <f t="shared" si="97"/>
        <v>C</v>
      </c>
      <c r="GR32" s="135" t="str">
        <f>VLOOKUP(RANK(GP32,$GP$10:$GP$109),Sheet1!$A$381:$B$480,2,FALSE)</f>
        <v>9th</v>
      </c>
      <c r="GS32" s="164">
        <v>30</v>
      </c>
      <c r="GT32" s="165">
        <v>50</v>
      </c>
      <c r="GU32" s="137">
        <f t="shared" si="98"/>
        <v>80</v>
      </c>
      <c r="GV32" s="137" t="str">
        <f t="shared" si="99"/>
        <v>77</v>
      </c>
      <c r="GW32" s="137">
        <f t="shared" si="100"/>
        <v>157</v>
      </c>
      <c r="GX32" s="137">
        <f t="shared" si="101"/>
        <v>78.5</v>
      </c>
      <c r="GY32" s="135" t="str">
        <f t="shared" si="102"/>
        <v>A</v>
      </c>
      <c r="GZ32" s="135" t="str">
        <f>VLOOKUP(RANK(GX32,$GX$10:$GX$109),Sheet1!$A$381:$B$480,2,FALSE)</f>
        <v>3rd</v>
      </c>
      <c r="HA32" s="164">
        <v>29</v>
      </c>
      <c r="HB32" s="165">
        <v>35</v>
      </c>
      <c r="HC32" s="137">
        <f t="shared" si="103"/>
        <v>64</v>
      </c>
      <c r="HD32" s="137" t="str">
        <f t="shared" si="104"/>
        <v>42</v>
      </c>
      <c r="HE32" s="137">
        <f t="shared" si="105"/>
        <v>106</v>
      </c>
      <c r="HF32" s="137">
        <f t="shared" si="106"/>
        <v>53</v>
      </c>
      <c r="HG32" s="135" t="str">
        <f t="shared" si="107"/>
        <v>C</v>
      </c>
      <c r="HH32" s="135" t="str">
        <f>VLOOKUP(RANK(HF32,$HF$10:$HF$109),Sheet1!$A$381:$B$480,2,FALSE)</f>
        <v>8th</v>
      </c>
      <c r="HI32" s="148">
        <v>26</v>
      </c>
      <c r="HJ32" s="150">
        <v>58</v>
      </c>
      <c r="HK32" s="137">
        <f t="shared" si="108"/>
        <v>84</v>
      </c>
      <c r="HL32" s="137" t="str">
        <f t="shared" si="109"/>
        <v>87</v>
      </c>
      <c r="HM32" s="137">
        <f t="shared" si="110"/>
        <v>171</v>
      </c>
      <c r="HN32" s="137">
        <f t="shared" si="111"/>
        <v>85.5</v>
      </c>
      <c r="HO32" s="135" t="str">
        <f t="shared" si="112"/>
        <v>A</v>
      </c>
      <c r="HP32" s="135" t="str">
        <f>VLOOKUP(RANK(HN32,$HN$10:$HN$109),Sheet1!$A$381:$B$480,2,FALSE)</f>
        <v>1st</v>
      </c>
      <c r="HQ32" s="137"/>
      <c r="HR32" s="137"/>
      <c r="HS32" s="137">
        <f t="shared" si="113"/>
        <v>0</v>
      </c>
      <c r="HT32" s="137" t="str">
        <f t="shared" si="114"/>
        <v>0</v>
      </c>
      <c r="HU32" s="137">
        <f t="shared" si="115"/>
        <v>0</v>
      </c>
      <c r="HV32" s="137">
        <f t="shared" si="116"/>
        <v>0</v>
      </c>
      <c r="HW32" s="135" t="str">
        <f t="shared" si="117"/>
        <v>F</v>
      </c>
      <c r="HX32" s="135" t="str">
        <f>VLOOKUP(RANK(HV32,$HV$10:$HV$109),Sheet1!$A$381:$B$480,2,FALSE)</f>
        <v>1st</v>
      </c>
      <c r="HY32" s="137"/>
      <c r="HZ32" s="137"/>
      <c r="IA32" s="137">
        <f t="shared" si="118"/>
        <v>0</v>
      </c>
      <c r="IB32" s="137" t="str">
        <f t="shared" si="119"/>
        <v>0</v>
      </c>
      <c r="IC32" s="137">
        <f t="shared" si="120"/>
        <v>0</v>
      </c>
      <c r="ID32" s="137">
        <f t="shared" si="121"/>
        <v>0</v>
      </c>
      <c r="IE32" s="135" t="str">
        <f t="shared" si="122"/>
        <v>F</v>
      </c>
      <c r="IF32" s="135" t="str">
        <f>VLOOKUP(RANK(ID32,$ID$10:$ID$109),Sheet1!$A$381:$B$480,2,FALSE)</f>
        <v>1st</v>
      </c>
      <c r="IG32" s="135"/>
      <c r="IH32" s="135"/>
      <c r="II32" s="135">
        <f t="shared" si="200"/>
        <v>0</v>
      </c>
      <c r="IJ32" s="135" t="str">
        <f t="shared" si="201"/>
        <v>0</v>
      </c>
      <c r="IK32" s="135">
        <f t="shared" si="202"/>
        <v>0</v>
      </c>
      <c r="IL32" s="135">
        <f t="shared" si="203"/>
        <v>0</v>
      </c>
      <c r="IM32" s="135" t="str">
        <f t="shared" si="123"/>
        <v>F</v>
      </c>
      <c r="IN32" s="135" t="str">
        <f>VLOOKUP(RANK(IL32,$IL$10:$IL$109),Sheet1!$A$381:$B$480,2,FALSE)</f>
        <v>1st</v>
      </c>
      <c r="IO32" s="135">
        <f t="shared" si="204"/>
        <v>774</v>
      </c>
      <c r="IP32" s="177">
        <f t="shared" si="205"/>
        <v>45.529411764705898</v>
      </c>
      <c r="IQ32" s="135" t="str">
        <f>VLOOKUP(RANK(IP32,$IP$10:$IP$109),Sheet1!$A$381:$B$480,2,FALSE)</f>
        <v>5th</v>
      </c>
      <c r="IR32" s="178"/>
      <c r="IS32" s="137"/>
      <c r="IT32" s="137"/>
      <c r="IU32" s="137"/>
      <c r="IV32" s="137"/>
      <c r="IW32" s="181"/>
      <c r="IX32" s="184"/>
      <c r="IY32" s="186"/>
      <c r="IZ32" s="186">
        <f t="shared" si="206"/>
        <v>0</v>
      </c>
      <c r="JA32" s="186" t="str">
        <f t="shared" si="124"/>
        <v>78</v>
      </c>
      <c r="JB32" s="186" t="str">
        <f t="shared" si="125"/>
        <v>82</v>
      </c>
      <c r="JC32" s="186">
        <f t="shared" si="207"/>
        <v>160</v>
      </c>
      <c r="JD32" s="186">
        <f t="shared" si="208"/>
        <v>53.3333333333333</v>
      </c>
      <c r="JE32" s="135" t="str">
        <f t="shared" si="126"/>
        <v>C</v>
      </c>
      <c r="JF32" s="151" t="str">
        <f>VLOOKUP(RANK(JD32,$JD$10:$JD$109),Sheet1!$A$381:$B$480,2,FALSE)</f>
        <v>6th</v>
      </c>
      <c r="JG32" s="186"/>
      <c r="JH32" s="186"/>
      <c r="JI32" s="186">
        <f t="shared" si="127"/>
        <v>0</v>
      </c>
      <c r="JJ32" s="186" t="str">
        <f t="shared" si="128"/>
        <v>60</v>
      </c>
      <c r="JK32" s="186" t="str">
        <f t="shared" si="129"/>
        <v>57</v>
      </c>
      <c r="JL32" s="186">
        <f t="shared" si="209"/>
        <v>117</v>
      </c>
      <c r="JM32" s="186">
        <f t="shared" si="210"/>
        <v>39</v>
      </c>
      <c r="JN32" s="135" t="str">
        <f t="shared" si="130"/>
        <v>E</v>
      </c>
      <c r="JO32" s="151" t="str">
        <f>VLOOKUP(RANK(JM32,$JM$10:$JM$109),Sheet1!$A$381:$B$480,2,FALSE)</f>
        <v>16th</v>
      </c>
      <c r="JP32" s="186"/>
      <c r="JQ32" s="186"/>
      <c r="JR32" s="186">
        <f t="shared" si="131"/>
        <v>0</v>
      </c>
      <c r="JS32" s="186" t="str">
        <f t="shared" si="132"/>
        <v>61</v>
      </c>
      <c r="JT32" s="186" t="str">
        <f t="shared" si="133"/>
        <v>63</v>
      </c>
      <c r="JU32" s="186">
        <f t="shared" si="211"/>
        <v>124</v>
      </c>
      <c r="JV32" s="186">
        <f t="shared" si="212"/>
        <v>41.3333333333333</v>
      </c>
      <c r="JW32" s="135" t="str">
        <f t="shared" si="134"/>
        <v>D</v>
      </c>
      <c r="JX32" s="151" t="str">
        <f>VLOOKUP(RANK(JV32,$JV$10:$JV$109),Sheet1!$A$381:$B$480,2,FALSE)</f>
        <v>7th</v>
      </c>
      <c r="JY32" s="186"/>
      <c r="JZ32" s="186"/>
      <c r="KA32" s="186">
        <f t="shared" si="135"/>
        <v>0</v>
      </c>
      <c r="KB32" s="186" t="str">
        <f t="shared" si="136"/>
        <v>87</v>
      </c>
      <c r="KC32" s="186" t="str">
        <f t="shared" si="137"/>
        <v>64</v>
      </c>
      <c r="KD32" s="186">
        <f t="shared" si="213"/>
        <v>151</v>
      </c>
      <c r="KE32" s="186">
        <f t="shared" si="214"/>
        <v>50.3333333333333</v>
      </c>
      <c r="KF32" s="135" t="str">
        <f t="shared" si="138"/>
        <v>C</v>
      </c>
      <c r="KG32" s="151" t="str">
        <f>VLOOKUP(RANK(KE32,$KE$10:$KE$109),Sheet1!$A$381:$B$480,2,FALSE)</f>
        <v>8th</v>
      </c>
      <c r="KH32" s="186"/>
      <c r="KI32" s="186"/>
      <c r="KJ32" s="186">
        <f t="shared" si="139"/>
        <v>0</v>
      </c>
      <c r="KK32" s="186" t="str">
        <f t="shared" si="140"/>
        <v>74</v>
      </c>
      <c r="KL32" s="186" t="str">
        <f t="shared" si="141"/>
        <v>79</v>
      </c>
      <c r="KM32" s="186">
        <f t="shared" si="215"/>
        <v>153</v>
      </c>
      <c r="KN32" s="186">
        <f t="shared" si="216"/>
        <v>51</v>
      </c>
      <c r="KO32" s="135" t="str">
        <f t="shared" si="142"/>
        <v>C</v>
      </c>
      <c r="KP32" s="151" t="str">
        <f>VLOOKUP(RANK(KN32,$KN$10:$KN$109),Sheet1!$A$381:$B$480,2,FALSE)</f>
        <v>9th</v>
      </c>
      <c r="KQ32" s="186"/>
      <c r="KR32" s="186"/>
      <c r="KS32" s="186">
        <f t="shared" si="143"/>
        <v>0</v>
      </c>
      <c r="KT32" s="186" t="str">
        <f t="shared" si="144"/>
        <v>0</v>
      </c>
      <c r="KU32" s="186" t="str">
        <f t="shared" si="145"/>
        <v>0</v>
      </c>
      <c r="KV32" s="186">
        <f t="shared" si="217"/>
        <v>0</v>
      </c>
      <c r="KW32" s="186">
        <f t="shared" si="218"/>
        <v>0</v>
      </c>
      <c r="KX32" s="135" t="str">
        <f t="shared" si="146"/>
        <v>F</v>
      </c>
      <c r="KY32" s="151" t="str">
        <f>VLOOKUP(RANK(KW32,$KW$10:$KW$109),Sheet1!$A$381:$B$480,2,FALSE)</f>
        <v>1st</v>
      </c>
      <c r="KZ32" s="186"/>
      <c r="LA32" s="186"/>
      <c r="LB32" s="186">
        <f t="shared" si="147"/>
        <v>0</v>
      </c>
      <c r="LC32" s="186" t="str">
        <f t="shared" si="148"/>
        <v>0</v>
      </c>
      <c r="LD32" s="186" t="str">
        <f t="shared" si="149"/>
        <v>0</v>
      </c>
      <c r="LE32" s="186">
        <f t="shared" si="219"/>
        <v>0</v>
      </c>
      <c r="LF32" s="186">
        <f t="shared" si="220"/>
        <v>0</v>
      </c>
      <c r="LG32" s="135" t="str">
        <f t="shared" si="150"/>
        <v>F</v>
      </c>
      <c r="LH32" s="151" t="str">
        <f>VLOOKUP(RANK(LF32,$LF$10:$LF$109),Sheet1!$A$381:$B$480,2,FALSE)</f>
        <v>1st</v>
      </c>
      <c r="LI32" s="186"/>
      <c r="LJ32" s="186"/>
      <c r="LK32" s="186">
        <f t="shared" si="151"/>
        <v>0</v>
      </c>
      <c r="LL32" s="186" t="str">
        <f t="shared" si="152"/>
        <v>70</v>
      </c>
      <c r="LM32" s="186" t="str">
        <f t="shared" si="153"/>
        <v>73</v>
      </c>
      <c r="LN32" s="186">
        <f t="shared" si="221"/>
        <v>143</v>
      </c>
      <c r="LO32" s="186">
        <f t="shared" si="222"/>
        <v>47.6666666666667</v>
      </c>
      <c r="LP32" s="135" t="str">
        <f t="shared" si="154"/>
        <v>D</v>
      </c>
      <c r="LQ32" s="151" t="str">
        <f>VLOOKUP(RANK(LO32,$LO$10:$LO$109),Sheet1!$A$381:$B$480,2,FALSE)</f>
        <v>3rd</v>
      </c>
      <c r="LR32" s="186"/>
      <c r="LS32" s="186"/>
      <c r="LT32" s="186">
        <f t="shared" si="155"/>
        <v>0</v>
      </c>
      <c r="LU32" s="186" t="str">
        <f t="shared" si="156"/>
        <v>71</v>
      </c>
      <c r="LV32" s="186" t="str">
        <f t="shared" si="157"/>
        <v>42</v>
      </c>
      <c r="LW32" s="186">
        <f t="shared" si="223"/>
        <v>113</v>
      </c>
      <c r="LX32" s="186">
        <f t="shared" si="224"/>
        <v>37.6666666666667</v>
      </c>
      <c r="LY32" s="135" t="str">
        <f t="shared" si="158"/>
        <v>E</v>
      </c>
      <c r="LZ32" s="151" t="str">
        <f>VLOOKUP(RANK(LX32,$LX$10:$LX$109),Sheet1!$A$381:$B$480,2,FALSE)</f>
        <v>33rd</v>
      </c>
      <c r="MA32" s="186"/>
      <c r="MB32" s="186"/>
      <c r="MC32" s="186">
        <f t="shared" si="159"/>
        <v>0</v>
      </c>
      <c r="MD32" s="186" t="str">
        <f t="shared" si="160"/>
        <v>63</v>
      </c>
      <c r="ME32" s="186" t="str">
        <f t="shared" si="161"/>
        <v>57</v>
      </c>
      <c r="MF32" s="183">
        <f t="shared" si="225"/>
        <v>120</v>
      </c>
      <c r="MG32" s="151">
        <f t="shared" si="226"/>
        <v>40</v>
      </c>
      <c r="MH32" s="135" t="str">
        <f t="shared" si="162"/>
        <v>D</v>
      </c>
      <c r="MI32" s="151" t="str">
        <f>VLOOKUP(RANK(MG32,$MG$10:$MG$109),Sheet1!$A$381:$B$480,2,FALSE)</f>
        <v>5th</v>
      </c>
      <c r="MJ32" s="186"/>
      <c r="MK32" s="186"/>
      <c r="ML32" s="186">
        <f t="shared" si="163"/>
        <v>0</v>
      </c>
      <c r="MM32" s="186" t="str">
        <f t="shared" si="164"/>
        <v>51</v>
      </c>
      <c r="MN32" s="186" t="str">
        <f t="shared" si="165"/>
        <v>53</v>
      </c>
      <c r="MO32" s="186">
        <f t="shared" si="227"/>
        <v>104</v>
      </c>
      <c r="MP32" s="186">
        <f t="shared" si="228"/>
        <v>34.6666666666667</v>
      </c>
      <c r="MQ32" s="135" t="str">
        <f t="shared" si="166"/>
        <v>F</v>
      </c>
      <c r="MR32" s="151" t="str">
        <f>VLOOKUP(RANK(MP32,$MP$10:$MP$109),Sheet1!$A$381:$B$480,2,FALSE)</f>
        <v>9th</v>
      </c>
      <c r="MS32" s="186"/>
      <c r="MT32" s="186"/>
      <c r="MU32" s="186">
        <f t="shared" si="167"/>
        <v>0</v>
      </c>
      <c r="MV32" s="186" t="str">
        <f t="shared" si="168"/>
        <v>77</v>
      </c>
      <c r="MW32" s="186" t="str">
        <f t="shared" si="169"/>
        <v>80</v>
      </c>
      <c r="MX32" s="186">
        <f t="shared" si="229"/>
        <v>157</v>
      </c>
      <c r="MY32" s="186">
        <f t="shared" si="230"/>
        <v>52.3333333333333</v>
      </c>
      <c r="MZ32" s="135" t="str">
        <f t="shared" si="170"/>
        <v>C</v>
      </c>
      <c r="NA32" s="151" t="str">
        <f>VLOOKUP(RANK(MY32,$MY$10:$MY$109),Sheet1!$A$381:$B$480,2,FALSE)</f>
        <v>3rd</v>
      </c>
      <c r="NB32" s="186"/>
      <c r="NC32" s="186"/>
      <c r="ND32" s="186">
        <f t="shared" si="171"/>
        <v>0</v>
      </c>
      <c r="NE32" s="186" t="str">
        <f t="shared" si="172"/>
        <v>42</v>
      </c>
      <c r="NF32" s="186" t="str">
        <f t="shared" si="173"/>
        <v>64</v>
      </c>
      <c r="NG32" s="186">
        <f t="shared" si="231"/>
        <v>106</v>
      </c>
      <c r="NH32" s="186">
        <f t="shared" si="232"/>
        <v>35.3333333333333</v>
      </c>
      <c r="NI32" s="135" t="str">
        <f t="shared" si="174"/>
        <v>E</v>
      </c>
      <c r="NJ32" s="151" t="str">
        <f>VLOOKUP(RANK(NH32,$NH$10:$NH$109),Sheet1!$A$381:$B$480,2,FALSE)</f>
        <v>8th</v>
      </c>
      <c r="NK32" s="186"/>
      <c r="NL32" s="186"/>
      <c r="NM32" s="186">
        <f t="shared" si="175"/>
        <v>0</v>
      </c>
      <c r="NN32" s="186" t="str">
        <f t="shared" si="176"/>
        <v>87</v>
      </c>
      <c r="NO32" s="186" t="str">
        <f t="shared" si="177"/>
        <v>84</v>
      </c>
      <c r="NP32" s="186">
        <f t="shared" si="233"/>
        <v>171</v>
      </c>
      <c r="NQ32" s="186">
        <f t="shared" si="178"/>
        <v>57</v>
      </c>
      <c r="NR32" s="135" t="str">
        <f t="shared" si="179"/>
        <v>C</v>
      </c>
      <c r="NS32" s="151" t="str">
        <f>VLOOKUP(RANK(NQ32,$NQ$10:$NQ$109),Sheet1!$A$381:$B$480,2,FALSE)</f>
        <v>1st</v>
      </c>
      <c r="NT32" s="186"/>
      <c r="NU32" s="186"/>
      <c r="NV32" s="186">
        <f t="shared" si="180"/>
        <v>0</v>
      </c>
      <c r="NW32" s="186" t="str">
        <f t="shared" si="181"/>
        <v>0</v>
      </c>
      <c r="NX32" s="186" t="str">
        <f t="shared" si="182"/>
        <v>0</v>
      </c>
      <c r="NY32" s="186">
        <f t="shared" si="234"/>
        <v>0</v>
      </c>
      <c r="NZ32" s="186">
        <f t="shared" si="183"/>
        <v>0</v>
      </c>
      <c r="OA32" s="135" t="str">
        <f t="shared" si="184"/>
        <v>F</v>
      </c>
      <c r="OB32" s="151" t="str">
        <f>VLOOKUP(RANK(NZ32,$NZ$10:$NZ$109),Sheet1!$A$381:$B$480,2,FALSE)</f>
        <v>1st</v>
      </c>
      <c r="OC32" s="186"/>
      <c r="OD32" s="186"/>
      <c r="OE32" s="186">
        <f t="shared" si="185"/>
        <v>0</v>
      </c>
      <c r="OF32" s="186" t="str">
        <f t="shared" si="186"/>
        <v>0</v>
      </c>
      <c r="OG32" s="186" t="str">
        <f t="shared" si="187"/>
        <v>0</v>
      </c>
      <c r="OH32" s="186">
        <f t="shared" si="235"/>
        <v>0</v>
      </c>
      <c r="OI32" s="186">
        <f t="shared" si="236"/>
        <v>0</v>
      </c>
      <c r="OJ32" s="135" t="str">
        <f t="shared" si="188"/>
        <v>F</v>
      </c>
      <c r="OK32" s="151" t="str">
        <f>VLOOKUP(RANK(OI32,$OI$10:$OI$109),Sheet1!$A$381:$B$480,2,FALSE)</f>
        <v>1st</v>
      </c>
      <c r="OL32" s="151"/>
      <c r="OM32" s="151"/>
      <c r="ON32" s="151">
        <f t="shared" si="237"/>
        <v>0</v>
      </c>
      <c r="OO32" s="151" t="str">
        <f t="shared" si="238"/>
        <v>0</v>
      </c>
      <c r="OP32" s="151" t="str">
        <f t="shared" si="239"/>
        <v>0</v>
      </c>
      <c r="OQ32" s="151">
        <f t="shared" si="240"/>
        <v>0</v>
      </c>
      <c r="OR32" s="151">
        <f t="shared" si="241"/>
        <v>0</v>
      </c>
      <c r="OS32" s="135" t="str">
        <f t="shared" si="189"/>
        <v>F</v>
      </c>
      <c r="OT32" s="151" t="str">
        <f>VLOOKUP(RANK(OR32,$OI$10:$OI$109),Sheet1!$A$381:$B$480,2,FALSE)</f>
        <v>1st</v>
      </c>
      <c r="OU32" s="151">
        <f t="shared" si="242"/>
        <v>539.66666666666697</v>
      </c>
      <c r="OV32" s="151">
        <f t="shared" si="243"/>
        <v>31.745098039215701</v>
      </c>
      <c r="OW32" s="151" t="str">
        <f>VLOOKUP(RANK(OV32,$OV$10:$OV$109),Sheet1!$A$381:$B$480,2,FALSE)</f>
        <v>5th</v>
      </c>
      <c r="OX32" s="151"/>
      <c r="OY32" s="186"/>
      <c r="OZ32" s="186"/>
      <c r="PA32" s="186"/>
      <c r="PB32" s="186"/>
    </row>
    <row r="33" spans="1:418" s="118" customFormat="1" ht="18.75">
      <c r="A33" s="131">
        <v>24</v>
      </c>
      <c r="B33" s="132" t="s">
        <v>121</v>
      </c>
      <c r="C33" s="133" t="s">
        <v>97</v>
      </c>
      <c r="D33" s="138"/>
      <c r="E33" s="138"/>
      <c r="F33" s="137">
        <f t="shared" si="0"/>
        <v>0</v>
      </c>
      <c r="G33" s="137">
        <f t="shared" si="1"/>
        <v>0</v>
      </c>
      <c r="H33" s="135" t="str">
        <f t="shared" si="190"/>
        <v>F</v>
      </c>
      <c r="I33" s="135" t="str">
        <f>VLOOKUP(RANK(G33,$G$10:$G$109),Sheet1!$A$381:$B$480,2,FALSE)</f>
        <v>97th</v>
      </c>
      <c r="J33" s="136">
        <v>25</v>
      </c>
      <c r="K33" s="136">
        <v>38</v>
      </c>
      <c r="L33" s="137">
        <f t="shared" si="2"/>
        <v>63</v>
      </c>
      <c r="M33" s="137">
        <f t="shared" si="3"/>
        <v>63</v>
      </c>
      <c r="N33" s="135" t="str">
        <f t="shared" si="4"/>
        <v>B</v>
      </c>
      <c r="O33" s="141" t="str">
        <f>VLOOKUP(RANK(M33,$M$10:$M$109),Sheet1!$A$381:$B$480,2,FALSE)</f>
        <v>19th</v>
      </c>
      <c r="P33" s="142">
        <v>30</v>
      </c>
      <c r="Q33" s="145">
        <v>25</v>
      </c>
      <c r="R33" s="147">
        <f t="shared" si="5"/>
        <v>55</v>
      </c>
      <c r="S33" s="137">
        <f t="shared" si="6"/>
        <v>55</v>
      </c>
      <c r="T33" s="135" t="str">
        <f t="shared" si="7"/>
        <v>C</v>
      </c>
      <c r="U33" s="135" t="str">
        <f>VLOOKUP(RANK(S33,$S$10:$S$109),Sheet1!$A$381:$B$480,2,FALSE)</f>
        <v>21st</v>
      </c>
      <c r="V33" s="136">
        <v>31</v>
      </c>
      <c r="W33" s="136">
        <v>38</v>
      </c>
      <c r="X33" s="137">
        <f t="shared" si="191"/>
        <v>69</v>
      </c>
      <c r="Y33" s="137">
        <f t="shared" si="244"/>
        <v>69</v>
      </c>
      <c r="Z33" s="135" t="str">
        <f t="shared" si="8"/>
        <v>B</v>
      </c>
      <c r="AA33" s="135" t="str">
        <f>VLOOKUP(RANK(Y33,$Y$10:$Y$109),Sheet1!$A$381:$B$480,2,FALSE)</f>
        <v>25th</v>
      </c>
      <c r="AB33" s="136">
        <v>30</v>
      </c>
      <c r="AC33" s="136">
        <v>30</v>
      </c>
      <c r="AD33" s="137">
        <f t="shared" si="9"/>
        <v>60</v>
      </c>
      <c r="AE33" s="137">
        <f t="shared" si="10"/>
        <v>60</v>
      </c>
      <c r="AF33" s="135" t="str">
        <f t="shared" si="11"/>
        <v>B</v>
      </c>
      <c r="AG33" s="135" t="str">
        <f>VLOOKUP(RANK(AE33,$AE$10:$AE$109),Sheet1!$A$381:$B$480,2,FALSE)</f>
        <v>51st</v>
      </c>
      <c r="AH33" s="137"/>
      <c r="AI33" s="137"/>
      <c r="AJ33" s="137">
        <f t="shared" si="12"/>
        <v>0</v>
      </c>
      <c r="AK33" s="137">
        <f t="shared" si="13"/>
        <v>0</v>
      </c>
      <c r="AL33" s="135" t="str">
        <f t="shared" si="14"/>
        <v>F</v>
      </c>
      <c r="AM33" s="135" t="str">
        <f>VLOOKUP(RANK(AK33,$AK$10:$AK$109),Sheet1!$A$381:$B$480,2,FALSE)</f>
        <v>1st</v>
      </c>
      <c r="AN33" s="136"/>
      <c r="AO33" s="136"/>
      <c r="AP33" s="137">
        <f t="shared" si="15"/>
        <v>0</v>
      </c>
      <c r="AQ33" s="137">
        <f t="shared" si="16"/>
        <v>0</v>
      </c>
      <c r="AR33" s="135" t="str">
        <f t="shared" si="17"/>
        <v>F</v>
      </c>
      <c r="AS33" s="135" t="str">
        <f>VLOOKUP(RANK(AQ33,$AQ$10:$AQ$109),Sheet1!$A$381:$B$480,2,FALSE)</f>
        <v>1st</v>
      </c>
      <c r="AT33" s="142">
        <v>20</v>
      </c>
      <c r="AU33" s="145">
        <v>30</v>
      </c>
      <c r="AV33" s="137">
        <f t="shared" si="18"/>
        <v>50</v>
      </c>
      <c r="AW33" s="137">
        <f t="shared" si="19"/>
        <v>50</v>
      </c>
      <c r="AX33" s="135" t="str">
        <f t="shared" si="20"/>
        <v>C</v>
      </c>
      <c r="AY33" s="141" t="str">
        <f>VLOOKUP(RANK(AW33,$AW$10:$AW$109),Sheet1!$A$381:$B$480,2,FALSE)</f>
        <v>58th</v>
      </c>
      <c r="AZ33" s="142">
        <v>34</v>
      </c>
      <c r="BA33" s="145">
        <v>30</v>
      </c>
      <c r="BB33" s="147">
        <f t="shared" si="21"/>
        <v>64</v>
      </c>
      <c r="BC33" s="137">
        <f t="shared" si="22"/>
        <v>64</v>
      </c>
      <c r="BD33" s="135" t="str">
        <f t="shared" si="23"/>
        <v>B</v>
      </c>
      <c r="BE33" s="135" t="str">
        <f>VLOOKUP(RANK(BC33,$BC$10:$BC$109),Sheet1!$A$381:$B$480,2,FALSE)</f>
        <v>21st</v>
      </c>
      <c r="BF33" s="142">
        <v>12</v>
      </c>
      <c r="BG33" s="145">
        <v>39</v>
      </c>
      <c r="BH33" s="137">
        <f t="shared" si="24"/>
        <v>51</v>
      </c>
      <c r="BI33" s="137">
        <f t="shared" si="25"/>
        <v>51</v>
      </c>
      <c r="BJ33" s="135" t="str">
        <f t="shared" si="26"/>
        <v>C</v>
      </c>
      <c r="BK33" s="141" t="str">
        <f>VLOOKUP(RANK(BI33,$BI$10:$BI$109),Sheet1!$A$381:$B$480,2,FALSE)</f>
        <v>13th</v>
      </c>
      <c r="BL33" s="148">
        <v>28</v>
      </c>
      <c r="BM33" s="150">
        <v>24</v>
      </c>
      <c r="BN33" s="147">
        <f t="shared" si="27"/>
        <v>52</v>
      </c>
      <c r="BO33" s="137">
        <f t="shared" si="28"/>
        <v>52</v>
      </c>
      <c r="BP33" s="135" t="str">
        <f t="shared" si="29"/>
        <v>C</v>
      </c>
      <c r="BQ33" s="141" t="str">
        <f>VLOOKUP(RANK(BO33,$BO$10:$BO$109),Sheet1!$A$381:$B$480,2,FALSE)</f>
        <v>56th</v>
      </c>
      <c r="BR33" s="148">
        <v>28</v>
      </c>
      <c r="BS33" s="150">
        <v>25</v>
      </c>
      <c r="BT33" s="147">
        <f t="shared" si="30"/>
        <v>53</v>
      </c>
      <c r="BU33" s="137">
        <f t="shared" si="31"/>
        <v>53</v>
      </c>
      <c r="BV33" s="135" t="str">
        <f t="shared" si="32"/>
        <v>C</v>
      </c>
      <c r="BW33" s="135" t="str">
        <f>VLOOKUP(RANK(BU33,$BU$10:$BU$109),Sheet1!$A$381:$B$480,2,FALSE)</f>
        <v>36th</v>
      </c>
      <c r="BX33" s="148">
        <v>27</v>
      </c>
      <c r="BY33" s="150">
        <v>10</v>
      </c>
      <c r="BZ33" s="137">
        <f t="shared" si="33"/>
        <v>37</v>
      </c>
      <c r="CA33" s="137">
        <f t="shared" si="34"/>
        <v>37</v>
      </c>
      <c r="CB33" s="135" t="str">
        <f t="shared" si="35"/>
        <v>E</v>
      </c>
      <c r="CC33" s="135" t="str">
        <f>VLOOKUP(RANK(CA33,$CA$10:$CA$109),Sheet1!$A$381:$B$480,2,FALSE)</f>
        <v>70th</v>
      </c>
      <c r="CD33" s="148">
        <v>32</v>
      </c>
      <c r="CE33" s="150">
        <v>41</v>
      </c>
      <c r="CF33" s="137">
        <f t="shared" si="36"/>
        <v>73</v>
      </c>
      <c r="CG33" s="137">
        <f t="shared" si="37"/>
        <v>73</v>
      </c>
      <c r="CH33" s="135" t="str">
        <f t="shared" si="38"/>
        <v>B</v>
      </c>
      <c r="CI33" s="135" t="str">
        <f>VLOOKUP(RANK(CG33,$CG$10:$CG$109),Sheet1!$A$381:$B$480,2,FALSE)</f>
        <v>16th</v>
      </c>
      <c r="CJ33" s="137"/>
      <c r="CK33" s="137"/>
      <c r="CL33" s="137">
        <f t="shared" si="39"/>
        <v>0</v>
      </c>
      <c r="CM33" s="137">
        <f t="shared" si="40"/>
        <v>0</v>
      </c>
      <c r="CN33" s="135" t="str">
        <f t="shared" si="41"/>
        <v>F</v>
      </c>
      <c r="CO33" s="135" t="str">
        <f>VLOOKUP(RANK(CM33,$CM$10:$CM$109),Sheet1!$A$381:$B$480,2,FALSE)</f>
        <v>1st</v>
      </c>
      <c r="CP33" s="137"/>
      <c r="CQ33" s="137"/>
      <c r="CR33" s="137">
        <f t="shared" si="42"/>
        <v>0</v>
      </c>
      <c r="CS33" s="137">
        <f t="shared" si="43"/>
        <v>0</v>
      </c>
      <c r="CT33" s="135" t="str">
        <f t="shared" si="44"/>
        <v>F</v>
      </c>
      <c r="CU33" s="135" t="str">
        <f>VLOOKUP(RANK(CS33,$CS$10:$CS$109),Sheet1!$A$381:$B$480,2,FALSE)</f>
        <v>1st</v>
      </c>
      <c r="CV33" s="151"/>
      <c r="CW33" s="135"/>
      <c r="CX33" s="151">
        <f t="shared" si="192"/>
        <v>0</v>
      </c>
      <c r="CY33" s="151">
        <f t="shared" si="193"/>
        <v>0</v>
      </c>
      <c r="CZ33" s="135" t="str">
        <f t="shared" si="45"/>
        <v>F</v>
      </c>
      <c r="DA33" s="135" t="str">
        <f>VLOOKUP(RANK(CY33,$CY$10:$CY$109),Sheet1!$A$381:$B$480,2,FALSE)</f>
        <v>1st</v>
      </c>
      <c r="DB33" s="135"/>
      <c r="DC33" s="151">
        <f t="shared" si="194"/>
        <v>627</v>
      </c>
      <c r="DD33" s="151">
        <f t="shared" si="195"/>
        <v>36.882352941176499</v>
      </c>
      <c r="DE33" s="135" t="str">
        <f>VLOOKUP(RANK(DD33,$DD$10:$DD$109),Sheet1!$A$381:$B$480,2,FALSE)</f>
        <v>46th</v>
      </c>
      <c r="DF33" s="137"/>
      <c r="DG33" s="160">
        <f t="shared" si="46"/>
        <v>663.88235294117601</v>
      </c>
      <c r="DH33" s="119"/>
      <c r="DI33" s="163">
        <v>26</v>
      </c>
      <c r="DJ33" s="163">
        <v>38</v>
      </c>
      <c r="DK33" s="137">
        <f t="shared" si="47"/>
        <v>64</v>
      </c>
      <c r="DL33" s="137" t="str">
        <f t="shared" si="48"/>
        <v>0</v>
      </c>
      <c r="DM33" s="137">
        <f t="shared" si="49"/>
        <v>64</v>
      </c>
      <c r="DN33" s="137">
        <f t="shared" si="50"/>
        <v>32</v>
      </c>
      <c r="DO33" s="135" t="str">
        <f t="shared" si="51"/>
        <v>F</v>
      </c>
      <c r="DP33" s="135" t="str">
        <f>VLOOKUP(RANK(DN33,$DN$10:$DN$109),Sheet1!$A$381:$B$480,2,FALSE)</f>
        <v>98th</v>
      </c>
      <c r="DQ33" s="164">
        <v>24</v>
      </c>
      <c r="DR33" s="165">
        <v>0</v>
      </c>
      <c r="DS33" s="137">
        <f t="shared" si="52"/>
        <v>24</v>
      </c>
      <c r="DT33" s="137" t="str">
        <f t="shared" si="53"/>
        <v>63</v>
      </c>
      <c r="DU33" s="137">
        <f t="shared" si="54"/>
        <v>87</v>
      </c>
      <c r="DV33" s="137">
        <f t="shared" si="55"/>
        <v>43.5</v>
      </c>
      <c r="DW33" s="135" t="str">
        <f t="shared" si="56"/>
        <v>D</v>
      </c>
      <c r="DX33" s="135" t="str">
        <f>VLOOKUP(RANK(DV33,$DV$10:$DV$109),Sheet1!$A$381:$B$480,2,FALSE)</f>
        <v>79th</v>
      </c>
      <c r="DY33" s="167">
        <v>21</v>
      </c>
      <c r="DZ33" s="165">
        <v>23</v>
      </c>
      <c r="EA33" s="137">
        <f t="shared" si="57"/>
        <v>44</v>
      </c>
      <c r="EB33" s="137" t="str">
        <f t="shared" si="58"/>
        <v>55</v>
      </c>
      <c r="EC33" s="137">
        <f t="shared" si="59"/>
        <v>99</v>
      </c>
      <c r="ED33" s="137">
        <f t="shared" si="60"/>
        <v>49.5</v>
      </c>
      <c r="EE33" s="135" t="str">
        <f t="shared" si="61"/>
        <v>D</v>
      </c>
      <c r="EF33" s="135" t="str">
        <f>VLOOKUP(RANK(ED33,$ED$10:$ED$109),Sheet1!$A$381:$B$480,2,FALSE)</f>
        <v>38th</v>
      </c>
      <c r="EG33" s="163">
        <v>19</v>
      </c>
      <c r="EH33" s="163">
        <v>28</v>
      </c>
      <c r="EI33" s="137">
        <f t="shared" si="62"/>
        <v>47</v>
      </c>
      <c r="EJ33" s="137" t="str">
        <f t="shared" si="63"/>
        <v>69</v>
      </c>
      <c r="EK33" s="137">
        <f t="shared" si="64"/>
        <v>116</v>
      </c>
      <c r="EL33" s="137">
        <f t="shared" si="65"/>
        <v>58</v>
      </c>
      <c r="EM33" s="135" t="str">
        <f t="shared" si="66"/>
        <v>C</v>
      </c>
      <c r="EN33" s="135" t="str">
        <f>VLOOKUP(RANK(EL33,$EL$10:$EL$109),Sheet1!$A$381:$B$480,2,FALSE)</f>
        <v>42nd</v>
      </c>
      <c r="EO33" s="163">
        <v>27</v>
      </c>
      <c r="EP33" s="163">
        <v>33</v>
      </c>
      <c r="EQ33" s="137">
        <f t="shared" si="67"/>
        <v>60</v>
      </c>
      <c r="ER33" s="137" t="str">
        <f t="shared" si="68"/>
        <v>60</v>
      </c>
      <c r="ES33" s="137">
        <f t="shared" si="69"/>
        <v>120</v>
      </c>
      <c r="ET33" s="137">
        <f t="shared" si="70"/>
        <v>60</v>
      </c>
      <c r="EU33" s="135" t="str">
        <f t="shared" si="71"/>
        <v>B</v>
      </c>
      <c r="EV33" s="135" t="str">
        <f>VLOOKUP(RANK(ET33,$ET$10:$ET$109),Sheet1!$A$381:$B$480,2,FALSE)</f>
        <v>37th</v>
      </c>
      <c r="EW33" s="137"/>
      <c r="EX33" s="137"/>
      <c r="EY33" s="137">
        <f t="shared" si="72"/>
        <v>0</v>
      </c>
      <c r="EZ33" s="137" t="str">
        <f t="shared" si="73"/>
        <v>0</v>
      </c>
      <c r="FA33" s="137">
        <f t="shared" si="74"/>
        <v>0</v>
      </c>
      <c r="FB33" s="137">
        <f t="shared" si="75"/>
        <v>0</v>
      </c>
      <c r="FC33" s="135" t="str">
        <f t="shared" si="76"/>
        <v>F</v>
      </c>
      <c r="FD33" s="135" t="str">
        <f>VLOOKUP(RANK(FB33,$FB$10:$FB$109),Sheet1!$A$381:$B$480,2,FALSE)</f>
        <v>1st</v>
      </c>
      <c r="FE33" s="137"/>
      <c r="FF33" s="137"/>
      <c r="FG33" s="137">
        <f t="shared" si="77"/>
        <v>0</v>
      </c>
      <c r="FH33" s="137" t="str">
        <f t="shared" si="78"/>
        <v>0</v>
      </c>
      <c r="FI33" s="137">
        <f t="shared" si="79"/>
        <v>0</v>
      </c>
      <c r="FJ33" s="137">
        <f t="shared" si="80"/>
        <v>0</v>
      </c>
      <c r="FK33" s="135" t="str">
        <f t="shared" si="81"/>
        <v>F</v>
      </c>
      <c r="FL33" s="135" t="str">
        <f>VLOOKUP(RANK(FJ33,$FJ$10:$FJ$109),Sheet1!$A$381:$B$480,2,FALSE)</f>
        <v>1st</v>
      </c>
      <c r="FM33" s="164">
        <v>25</v>
      </c>
      <c r="FN33" s="165">
        <v>25</v>
      </c>
      <c r="FO33" s="137">
        <f t="shared" si="82"/>
        <v>50</v>
      </c>
      <c r="FP33" s="137" t="str">
        <f t="shared" si="83"/>
        <v>50</v>
      </c>
      <c r="FQ33" s="137">
        <f t="shared" si="84"/>
        <v>100</v>
      </c>
      <c r="FR33" s="137">
        <f t="shared" si="85"/>
        <v>50</v>
      </c>
      <c r="FS33" s="135" t="str">
        <f t="shared" si="86"/>
        <v>C</v>
      </c>
      <c r="FT33" s="135" t="str">
        <f>VLOOKUP(RANK(FR33,$FR$10:$FR$109),Sheet1!$A$381:$B$480,2,FALSE)</f>
        <v>77th</v>
      </c>
      <c r="FU33" s="148">
        <v>15</v>
      </c>
      <c r="FV33" s="150">
        <v>25</v>
      </c>
      <c r="FW33" s="137">
        <f t="shared" si="87"/>
        <v>40</v>
      </c>
      <c r="FX33" s="137" t="str">
        <f t="shared" si="88"/>
        <v>64</v>
      </c>
      <c r="FY33" s="137">
        <f t="shared" si="196"/>
        <v>40</v>
      </c>
      <c r="FZ33" s="137">
        <f t="shared" si="89"/>
        <v>20</v>
      </c>
      <c r="GA33" s="135" t="str">
        <f t="shared" si="90"/>
        <v>F</v>
      </c>
      <c r="GB33" s="135" t="str">
        <f>VLOOKUP(RANK(FZ33,$FZ$10:$FZ$109),Sheet1!$A$381:$B$480,2,FALSE)</f>
        <v>76th</v>
      </c>
      <c r="GC33" s="164">
        <v>13</v>
      </c>
      <c r="GD33" s="165">
        <v>24</v>
      </c>
      <c r="GE33" s="137">
        <f t="shared" si="91"/>
        <v>37</v>
      </c>
      <c r="GF33" s="137" t="str">
        <f t="shared" si="92"/>
        <v>51</v>
      </c>
      <c r="GG33" s="135">
        <f t="shared" si="197"/>
        <v>88</v>
      </c>
      <c r="GH33" s="137">
        <f t="shared" si="198"/>
        <v>44</v>
      </c>
      <c r="GI33" s="135" t="str">
        <f t="shared" si="93"/>
        <v>D</v>
      </c>
      <c r="GJ33" s="135" t="str">
        <f>VLOOKUP(RANK(GH33,$GH$10:$GH$109),Sheet1!$A$381:$B$480,2,FALSE)</f>
        <v>30th</v>
      </c>
      <c r="GK33" s="164">
        <v>26</v>
      </c>
      <c r="GL33" s="165">
        <v>14</v>
      </c>
      <c r="GM33" s="137">
        <f t="shared" si="94"/>
        <v>40</v>
      </c>
      <c r="GN33" s="137" t="str">
        <f t="shared" si="95"/>
        <v>52</v>
      </c>
      <c r="GO33" s="135">
        <f t="shared" si="199"/>
        <v>92</v>
      </c>
      <c r="GP33" s="137">
        <f t="shared" si="96"/>
        <v>46</v>
      </c>
      <c r="GQ33" s="135" t="str">
        <f t="shared" si="97"/>
        <v>D</v>
      </c>
      <c r="GR33" s="135" t="str">
        <f>VLOOKUP(RANK(GP33,$GP$10:$GP$109),Sheet1!$A$381:$B$480,2,FALSE)</f>
        <v>82nd</v>
      </c>
      <c r="GS33" s="164">
        <v>20</v>
      </c>
      <c r="GT33" s="165">
        <v>45</v>
      </c>
      <c r="GU33" s="137">
        <f t="shared" si="98"/>
        <v>65</v>
      </c>
      <c r="GV33" s="137" t="str">
        <f t="shared" si="99"/>
        <v>53</v>
      </c>
      <c r="GW33" s="137">
        <f t="shared" si="100"/>
        <v>118</v>
      </c>
      <c r="GX33" s="137">
        <f t="shared" si="101"/>
        <v>59</v>
      </c>
      <c r="GY33" s="135" t="str">
        <f t="shared" si="102"/>
        <v>C</v>
      </c>
      <c r="GZ33" s="135" t="str">
        <f>VLOOKUP(RANK(GX33,$GX$10:$GX$109),Sheet1!$A$381:$B$480,2,FALSE)</f>
        <v>25th</v>
      </c>
      <c r="HA33" s="164">
        <v>30</v>
      </c>
      <c r="HB33" s="165">
        <v>24</v>
      </c>
      <c r="HC33" s="137">
        <f t="shared" si="103"/>
        <v>54</v>
      </c>
      <c r="HD33" s="137" t="str">
        <f t="shared" si="104"/>
        <v>37</v>
      </c>
      <c r="HE33" s="137">
        <f t="shared" si="105"/>
        <v>91</v>
      </c>
      <c r="HF33" s="137">
        <f t="shared" si="106"/>
        <v>45.5</v>
      </c>
      <c r="HG33" s="135" t="str">
        <f t="shared" si="107"/>
        <v>D</v>
      </c>
      <c r="HH33" s="135" t="str">
        <f>VLOOKUP(RANK(HF33,$HF$10:$HF$109),Sheet1!$A$381:$B$480,2,FALSE)</f>
        <v>20th</v>
      </c>
      <c r="HI33" s="148">
        <v>27</v>
      </c>
      <c r="HJ33" s="150">
        <v>49</v>
      </c>
      <c r="HK33" s="137">
        <f t="shared" si="108"/>
        <v>76</v>
      </c>
      <c r="HL33" s="137" t="str">
        <f t="shared" si="109"/>
        <v>73</v>
      </c>
      <c r="HM33" s="137">
        <f t="shared" si="110"/>
        <v>149</v>
      </c>
      <c r="HN33" s="137">
        <f t="shared" si="111"/>
        <v>74.5</v>
      </c>
      <c r="HO33" s="135" t="str">
        <f t="shared" si="112"/>
        <v>B</v>
      </c>
      <c r="HP33" s="135" t="str">
        <f>VLOOKUP(RANK(HN33,$HN$10:$HN$109),Sheet1!$A$381:$B$480,2,FALSE)</f>
        <v>13th</v>
      </c>
      <c r="HQ33" s="137"/>
      <c r="HR33" s="137"/>
      <c r="HS33" s="137">
        <f t="shared" si="113"/>
        <v>0</v>
      </c>
      <c r="HT33" s="137" t="str">
        <f t="shared" si="114"/>
        <v>0</v>
      </c>
      <c r="HU33" s="137">
        <f t="shared" si="115"/>
        <v>0</v>
      </c>
      <c r="HV33" s="137">
        <f t="shared" si="116"/>
        <v>0</v>
      </c>
      <c r="HW33" s="135" t="str">
        <f t="shared" si="117"/>
        <v>F</v>
      </c>
      <c r="HX33" s="135" t="str">
        <f>VLOOKUP(RANK(HV33,$HV$10:$HV$109),Sheet1!$A$381:$B$480,2,FALSE)</f>
        <v>1st</v>
      </c>
      <c r="HY33" s="137"/>
      <c r="HZ33" s="137"/>
      <c r="IA33" s="137">
        <f t="shared" si="118"/>
        <v>0</v>
      </c>
      <c r="IB33" s="137" t="str">
        <f t="shared" si="119"/>
        <v>0</v>
      </c>
      <c r="IC33" s="137">
        <f t="shared" si="120"/>
        <v>0</v>
      </c>
      <c r="ID33" s="137">
        <f t="shared" si="121"/>
        <v>0</v>
      </c>
      <c r="IE33" s="135" t="str">
        <f t="shared" si="122"/>
        <v>F</v>
      </c>
      <c r="IF33" s="135" t="str">
        <f>VLOOKUP(RANK(ID33,$ID$10:$ID$109),Sheet1!$A$381:$B$480,2,FALSE)</f>
        <v>1st</v>
      </c>
      <c r="IG33" s="135"/>
      <c r="IH33" s="135"/>
      <c r="II33" s="135">
        <f t="shared" si="200"/>
        <v>0</v>
      </c>
      <c r="IJ33" s="135" t="str">
        <f t="shared" si="201"/>
        <v>0</v>
      </c>
      <c r="IK33" s="135">
        <f t="shared" si="202"/>
        <v>0</v>
      </c>
      <c r="IL33" s="135">
        <f t="shared" si="203"/>
        <v>0</v>
      </c>
      <c r="IM33" s="135" t="str">
        <f t="shared" si="123"/>
        <v>F</v>
      </c>
      <c r="IN33" s="135" t="str">
        <f>VLOOKUP(RANK(IL33,$IL$10:$IL$109),Sheet1!$A$381:$B$480,2,FALSE)</f>
        <v>1st</v>
      </c>
      <c r="IO33" s="135">
        <f t="shared" si="204"/>
        <v>582</v>
      </c>
      <c r="IP33" s="177">
        <f t="shared" si="205"/>
        <v>34.235294117647101</v>
      </c>
      <c r="IQ33" s="135" t="str">
        <f>VLOOKUP(RANK(IP33,$IP$10:$IP$109),Sheet1!$A$381:$B$480,2,FALSE)</f>
        <v>52nd</v>
      </c>
      <c r="IR33" s="178"/>
      <c r="IS33" s="137"/>
      <c r="IT33" s="137"/>
      <c r="IU33" s="137"/>
      <c r="IV33" s="137"/>
      <c r="IW33" s="181"/>
      <c r="IX33" s="184"/>
      <c r="IY33" s="186"/>
      <c r="IZ33" s="186">
        <f t="shared" si="206"/>
        <v>0</v>
      </c>
      <c r="JA33" s="186" t="str">
        <f t="shared" si="124"/>
        <v>0</v>
      </c>
      <c r="JB33" s="186" t="str">
        <f t="shared" si="125"/>
        <v>64</v>
      </c>
      <c r="JC33" s="186">
        <f t="shared" si="207"/>
        <v>64</v>
      </c>
      <c r="JD33" s="186">
        <f t="shared" si="208"/>
        <v>21.3333333333333</v>
      </c>
      <c r="JE33" s="135" t="str">
        <f t="shared" si="126"/>
        <v>F</v>
      </c>
      <c r="JF33" s="151" t="str">
        <f>VLOOKUP(RANK(JD33,$JD$10:$JD$109),Sheet1!$A$381:$B$480,2,FALSE)</f>
        <v>98th</v>
      </c>
      <c r="JG33" s="186"/>
      <c r="JH33" s="186"/>
      <c r="JI33" s="186">
        <f t="shared" si="127"/>
        <v>0</v>
      </c>
      <c r="JJ33" s="186" t="str">
        <f t="shared" si="128"/>
        <v>63</v>
      </c>
      <c r="JK33" s="186" t="str">
        <f t="shared" si="129"/>
        <v>24</v>
      </c>
      <c r="JL33" s="186">
        <f t="shared" si="209"/>
        <v>87</v>
      </c>
      <c r="JM33" s="186">
        <f t="shared" si="210"/>
        <v>29</v>
      </c>
      <c r="JN33" s="135" t="str">
        <f t="shared" si="130"/>
        <v>F</v>
      </c>
      <c r="JO33" s="151" t="str">
        <f>VLOOKUP(RANK(JM33,$JM$10:$JM$109),Sheet1!$A$381:$B$480,2,FALSE)</f>
        <v>79th</v>
      </c>
      <c r="JP33" s="186"/>
      <c r="JQ33" s="186"/>
      <c r="JR33" s="186">
        <f t="shared" si="131"/>
        <v>0</v>
      </c>
      <c r="JS33" s="186" t="str">
        <f t="shared" si="132"/>
        <v>55</v>
      </c>
      <c r="JT33" s="186" t="str">
        <f t="shared" si="133"/>
        <v>44</v>
      </c>
      <c r="JU33" s="186">
        <f t="shared" si="211"/>
        <v>99</v>
      </c>
      <c r="JV33" s="186">
        <f t="shared" si="212"/>
        <v>33</v>
      </c>
      <c r="JW33" s="135" t="str">
        <f t="shared" si="134"/>
        <v>F</v>
      </c>
      <c r="JX33" s="151" t="str">
        <f>VLOOKUP(RANK(JV33,$JV$10:$JV$109),Sheet1!$A$381:$B$480,2,FALSE)</f>
        <v>38th</v>
      </c>
      <c r="JY33" s="186"/>
      <c r="JZ33" s="186"/>
      <c r="KA33" s="186">
        <f t="shared" si="135"/>
        <v>0</v>
      </c>
      <c r="KB33" s="186" t="str">
        <f t="shared" si="136"/>
        <v>69</v>
      </c>
      <c r="KC33" s="186" t="str">
        <f t="shared" si="137"/>
        <v>47</v>
      </c>
      <c r="KD33" s="186">
        <f t="shared" si="213"/>
        <v>116</v>
      </c>
      <c r="KE33" s="186">
        <f t="shared" si="214"/>
        <v>38.6666666666667</v>
      </c>
      <c r="KF33" s="135" t="str">
        <f t="shared" si="138"/>
        <v>E</v>
      </c>
      <c r="KG33" s="151" t="str">
        <f>VLOOKUP(RANK(KE33,$KE$10:$KE$109),Sheet1!$A$381:$B$480,2,FALSE)</f>
        <v>42nd</v>
      </c>
      <c r="KH33" s="186"/>
      <c r="KI33" s="186"/>
      <c r="KJ33" s="186">
        <f t="shared" si="139"/>
        <v>0</v>
      </c>
      <c r="KK33" s="186" t="str">
        <f t="shared" si="140"/>
        <v>60</v>
      </c>
      <c r="KL33" s="186" t="str">
        <f t="shared" si="141"/>
        <v>60</v>
      </c>
      <c r="KM33" s="186">
        <f t="shared" si="215"/>
        <v>120</v>
      </c>
      <c r="KN33" s="186">
        <f t="shared" si="216"/>
        <v>40</v>
      </c>
      <c r="KO33" s="135" t="str">
        <f t="shared" si="142"/>
        <v>D</v>
      </c>
      <c r="KP33" s="151" t="str">
        <f>VLOOKUP(RANK(KN33,$KN$10:$KN$109),Sheet1!$A$381:$B$480,2,FALSE)</f>
        <v>37th</v>
      </c>
      <c r="KQ33" s="186"/>
      <c r="KR33" s="186"/>
      <c r="KS33" s="186">
        <f t="shared" si="143"/>
        <v>0</v>
      </c>
      <c r="KT33" s="186" t="str">
        <f t="shared" si="144"/>
        <v>0</v>
      </c>
      <c r="KU33" s="186" t="str">
        <f t="shared" si="145"/>
        <v>0</v>
      </c>
      <c r="KV33" s="186">
        <f t="shared" si="217"/>
        <v>0</v>
      </c>
      <c r="KW33" s="186">
        <f t="shared" si="218"/>
        <v>0</v>
      </c>
      <c r="KX33" s="135" t="str">
        <f t="shared" si="146"/>
        <v>F</v>
      </c>
      <c r="KY33" s="151" t="str">
        <f>VLOOKUP(RANK(KW33,$KW$10:$KW$109),Sheet1!$A$381:$B$480,2,FALSE)</f>
        <v>1st</v>
      </c>
      <c r="KZ33" s="186"/>
      <c r="LA33" s="186"/>
      <c r="LB33" s="186">
        <f t="shared" si="147"/>
        <v>0</v>
      </c>
      <c r="LC33" s="186" t="str">
        <f t="shared" si="148"/>
        <v>0</v>
      </c>
      <c r="LD33" s="186" t="str">
        <f t="shared" si="149"/>
        <v>0</v>
      </c>
      <c r="LE33" s="186">
        <f t="shared" si="219"/>
        <v>0</v>
      </c>
      <c r="LF33" s="186">
        <f t="shared" si="220"/>
        <v>0</v>
      </c>
      <c r="LG33" s="135" t="str">
        <f t="shared" si="150"/>
        <v>F</v>
      </c>
      <c r="LH33" s="151" t="str">
        <f>VLOOKUP(RANK(LF33,$LF$10:$LF$109),Sheet1!$A$381:$B$480,2,FALSE)</f>
        <v>1st</v>
      </c>
      <c r="LI33" s="186"/>
      <c r="LJ33" s="186"/>
      <c r="LK33" s="186">
        <f t="shared" si="151"/>
        <v>0</v>
      </c>
      <c r="LL33" s="186" t="str">
        <f t="shared" si="152"/>
        <v>50</v>
      </c>
      <c r="LM33" s="186" t="str">
        <f t="shared" si="153"/>
        <v>50</v>
      </c>
      <c r="LN33" s="186">
        <f t="shared" si="221"/>
        <v>100</v>
      </c>
      <c r="LO33" s="186">
        <f t="shared" si="222"/>
        <v>33.3333333333333</v>
      </c>
      <c r="LP33" s="135" t="str">
        <f t="shared" si="154"/>
        <v>F</v>
      </c>
      <c r="LQ33" s="151" t="str">
        <f>VLOOKUP(RANK(LO33,$LO$10:$LO$109),Sheet1!$A$381:$B$480,2,FALSE)</f>
        <v>77th</v>
      </c>
      <c r="LR33" s="186"/>
      <c r="LS33" s="186"/>
      <c r="LT33" s="186">
        <f t="shared" si="155"/>
        <v>0</v>
      </c>
      <c r="LU33" s="186" t="str">
        <f t="shared" si="156"/>
        <v>64</v>
      </c>
      <c r="LV33" s="186" t="str">
        <f t="shared" si="157"/>
        <v>40</v>
      </c>
      <c r="LW33" s="186">
        <f t="shared" si="223"/>
        <v>104</v>
      </c>
      <c r="LX33" s="186">
        <f t="shared" si="224"/>
        <v>34.6666666666667</v>
      </c>
      <c r="LY33" s="135" t="str">
        <f t="shared" si="158"/>
        <v>F</v>
      </c>
      <c r="LZ33" s="151" t="str">
        <f>VLOOKUP(RANK(LX33,$LX$10:$LX$109),Sheet1!$A$381:$B$480,2,FALSE)</f>
        <v>49th</v>
      </c>
      <c r="MA33" s="186"/>
      <c r="MB33" s="186"/>
      <c r="MC33" s="186">
        <f t="shared" si="159"/>
        <v>0</v>
      </c>
      <c r="MD33" s="186" t="str">
        <f t="shared" si="160"/>
        <v>51</v>
      </c>
      <c r="ME33" s="186" t="str">
        <f t="shared" si="161"/>
        <v>37</v>
      </c>
      <c r="MF33" s="183">
        <f t="shared" si="225"/>
        <v>88</v>
      </c>
      <c r="MG33" s="151">
        <f t="shared" si="226"/>
        <v>29.3333333333333</v>
      </c>
      <c r="MH33" s="135" t="str">
        <f t="shared" si="162"/>
        <v>F</v>
      </c>
      <c r="MI33" s="151" t="str">
        <f>VLOOKUP(RANK(MG33,$MG$10:$MG$109),Sheet1!$A$381:$B$480,2,FALSE)</f>
        <v>30th</v>
      </c>
      <c r="MJ33" s="186"/>
      <c r="MK33" s="186"/>
      <c r="ML33" s="186">
        <f t="shared" si="163"/>
        <v>0</v>
      </c>
      <c r="MM33" s="186" t="str">
        <f t="shared" si="164"/>
        <v>52</v>
      </c>
      <c r="MN33" s="186" t="str">
        <f t="shared" si="165"/>
        <v>40</v>
      </c>
      <c r="MO33" s="186">
        <f t="shared" si="227"/>
        <v>92</v>
      </c>
      <c r="MP33" s="186">
        <f t="shared" si="228"/>
        <v>30.6666666666667</v>
      </c>
      <c r="MQ33" s="135" t="str">
        <f t="shared" si="166"/>
        <v>F</v>
      </c>
      <c r="MR33" s="151" t="str">
        <f>VLOOKUP(RANK(MP33,$MP$10:$MP$109),Sheet1!$A$381:$B$480,2,FALSE)</f>
        <v>82nd</v>
      </c>
      <c r="MS33" s="186"/>
      <c r="MT33" s="186"/>
      <c r="MU33" s="186">
        <f t="shared" si="167"/>
        <v>0</v>
      </c>
      <c r="MV33" s="186" t="str">
        <f t="shared" si="168"/>
        <v>53</v>
      </c>
      <c r="MW33" s="186" t="str">
        <f t="shared" si="169"/>
        <v>65</v>
      </c>
      <c r="MX33" s="186">
        <f t="shared" si="229"/>
        <v>118</v>
      </c>
      <c r="MY33" s="186">
        <f t="shared" si="230"/>
        <v>39.3333333333333</v>
      </c>
      <c r="MZ33" s="135" t="str">
        <f t="shared" si="170"/>
        <v>E</v>
      </c>
      <c r="NA33" s="151" t="str">
        <f>VLOOKUP(RANK(MY33,$MY$10:$MY$109),Sheet1!$A$381:$B$480,2,FALSE)</f>
        <v>25th</v>
      </c>
      <c r="NB33" s="186"/>
      <c r="NC33" s="186"/>
      <c r="ND33" s="186">
        <f t="shared" si="171"/>
        <v>0</v>
      </c>
      <c r="NE33" s="186" t="str">
        <f t="shared" si="172"/>
        <v>37</v>
      </c>
      <c r="NF33" s="186" t="str">
        <f t="shared" si="173"/>
        <v>54</v>
      </c>
      <c r="NG33" s="186">
        <f t="shared" si="231"/>
        <v>91</v>
      </c>
      <c r="NH33" s="186">
        <f t="shared" si="232"/>
        <v>30.3333333333333</v>
      </c>
      <c r="NI33" s="135" t="str">
        <f t="shared" si="174"/>
        <v>F</v>
      </c>
      <c r="NJ33" s="151" t="str">
        <f>VLOOKUP(RANK(NH33,$NH$10:$NH$109),Sheet1!$A$381:$B$480,2,FALSE)</f>
        <v>20th</v>
      </c>
      <c r="NK33" s="186"/>
      <c r="NL33" s="186"/>
      <c r="NM33" s="186">
        <f t="shared" si="175"/>
        <v>0</v>
      </c>
      <c r="NN33" s="186" t="str">
        <f t="shared" si="176"/>
        <v>73</v>
      </c>
      <c r="NO33" s="186" t="str">
        <f t="shared" si="177"/>
        <v>76</v>
      </c>
      <c r="NP33" s="186">
        <f t="shared" si="233"/>
        <v>149</v>
      </c>
      <c r="NQ33" s="186">
        <f t="shared" si="178"/>
        <v>49.6666666666667</v>
      </c>
      <c r="NR33" s="135" t="str">
        <f t="shared" si="179"/>
        <v>D</v>
      </c>
      <c r="NS33" s="151" t="str">
        <f>VLOOKUP(RANK(NQ33,$NQ$10:$NQ$109),Sheet1!$A$381:$B$480,2,FALSE)</f>
        <v>13th</v>
      </c>
      <c r="NT33" s="186"/>
      <c r="NU33" s="186"/>
      <c r="NV33" s="186">
        <f t="shared" si="180"/>
        <v>0</v>
      </c>
      <c r="NW33" s="186" t="str">
        <f t="shared" si="181"/>
        <v>0</v>
      </c>
      <c r="NX33" s="186" t="str">
        <f t="shared" si="182"/>
        <v>0</v>
      </c>
      <c r="NY33" s="186">
        <f t="shared" si="234"/>
        <v>0</v>
      </c>
      <c r="NZ33" s="186">
        <f t="shared" si="183"/>
        <v>0</v>
      </c>
      <c r="OA33" s="135" t="str">
        <f t="shared" si="184"/>
        <v>F</v>
      </c>
      <c r="OB33" s="151" t="str">
        <f>VLOOKUP(RANK(NZ33,$NZ$10:$NZ$109),Sheet1!$A$381:$B$480,2,FALSE)</f>
        <v>1st</v>
      </c>
      <c r="OC33" s="186"/>
      <c r="OD33" s="186"/>
      <c r="OE33" s="186">
        <f t="shared" si="185"/>
        <v>0</v>
      </c>
      <c r="OF33" s="186" t="str">
        <f t="shared" si="186"/>
        <v>0</v>
      </c>
      <c r="OG33" s="186" t="str">
        <f t="shared" si="187"/>
        <v>0</v>
      </c>
      <c r="OH33" s="186">
        <f t="shared" si="235"/>
        <v>0</v>
      </c>
      <c r="OI33" s="186">
        <f t="shared" si="236"/>
        <v>0</v>
      </c>
      <c r="OJ33" s="135" t="str">
        <f t="shared" si="188"/>
        <v>F</v>
      </c>
      <c r="OK33" s="151" t="str">
        <f>VLOOKUP(RANK(OI33,$OI$10:$OI$109),Sheet1!$A$381:$B$480,2,FALSE)</f>
        <v>1st</v>
      </c>
      <c r="OL33" s="151"/>
      <c r="OM33" s="151"/>
      <c r="ON33" s="151">
        <f t="shared" si="237"/>
        <v>0</v>
      </c>
      <c r="OO33" s="151" t="str">
        <f t="shared" si="238"/>
        <v>0</v>
      </c>
      <c r="OP33" s="151" t="str">
        <f t="shared" si="239"/>
        <v>0</v>
      </c>
      <c r="OQ33" s="151">
        <f t="shared" si="240"/>
        <v>0</v>
      </c>
      <c r="OR33" s="151">
        <f t="shared" si="241"/>
        <v>0</v>
      </c>
      <c r="OS33" s="135" t="str">
        <f t="shared" si="189"/>
        <v>F</v>
      </c>
      <c r="OT33" s="151" t="str">
        <f>VLOOKUP(RANK(OR33,$OI$10:$OI$109),Sheet1!$A$381:$B$480,2,FALSE)</f>
        <v>1st</v>
      </c>
      <c r="OU33" s="151">
        <f t="shared" si="242"/>
        <v>409.33333333333297</v>
      </c>
      <c r="OV33" s="151">
        <f t="shared" si="243"/>
        <v>24.078431372549002</v>
      </c>
      <c r="OW33" s="151" t="str">
        <f>VLOOKUP(RANK(OV33,$OV$10:$OV$109),Sheet1!$A$381:$B$480,2,FALSE)</f>
        <v>51st</v>
      </c>
      <c r="OX33" s="151"/>
      <c r="OY33" s="186"/>
      <c r="OZ33" s="186"/>
      <c r="PA33" s="186"/>
      <c r="PB33" s="186"/>
    </row>
    <row r="34" spans="1:418" s="118" customFormat="1" ht="18.75">
      <c r="A34" s="131">
        <v>25</v>
      </c>
      <c r="B34" s="132" t="s">
        <v>122</v>
      </c>
      <c r="C34" s="133" t="s">
        <v>97</v>
      </c>
      <c r="D34" s="136">
        <v>23</v>
      </c>
      <c r="E34" s="136">
        <v>37</v>
      </c>
      <c r="F34" s="137">
        <f t="shared" si="0"/>
        <v>60</v>
      </c>
      <c r="G34" s="137">
        <f t="shared" si="1"/>
        <v>60</v>
      </c>
      <c r="H34" s="135" t="str">
        <f t="shared" si="190"/>
        <v>B</v>
      </c>
      <c r="I34" s="135" t="str">
        <f>VLOOKUP(RANK(G34,$G$10:$G$109),Sheet1!$A$381:$B$480,2,FALSE)</f>
        <v>84th</v>
      </c>
      <c r="J34" s="136">
        <v>28</v>
      </c>
      <c r="K34" s="136">
        <v>33</v>
      </c>
      <c r="L34" s="137">
        <f t="shared" si="2"/>
        <v>61</v>
      </c>
      <c r="M34" s="137">
        <f t="shared" si="3"/>
        <v>61</v>
      </c>
      <c r="N34" s="135" t="str">
        <f t="shared" si="4"/>
        <v>B</v>
      </c>
      <c r="O34" s="141" t="str">
        <f>VLOOKUP(RANK(M34,$M$10:$M$109),Sheet1!$A$381:$B$480,2,FALSE)</f>
        <v>24th</v>
      </c>
      <c r="P34" s="142">
        <v>35</v>
      </c>
      <c r="Q34" s="145">
        <v>30</v>
      </c>
      <c r="R34" s="147">
        <f t="shared" si="5"/>
        <v>65</v>
      </c>
      <c r="S34" s="137">
        <f t="shared" si="6"/>
        <v>65</v>
      </c>
      <c r="T34" s="135" t="str">
        <f t="shared" si="7"/>
        <v>B</v>
      </c>
      <c r="U34" s="135" t="str">
        <f>VLOOKUP(RANK(S34,$S$10:$S$109),Sheet1!$A$381:$B$480,2,FALSE)</f>
        <v>6th</v>
      </c>
      <c r="V34" s="136">
        <v>28</v>
      </c>
      <c r="W34" s="136">
        <v>50</v>
      </c>
      <c r="X34" s="137">
        <f t="shared" si="191"/>
        <v>78</v>
      </c>
      <c r="Y34" s="137">
        <f t="shared" si="244"/>
        <v>78</v>
      </c>
      <c r="Z34" s="135" t="str">
        <f t="shared" si="8"/>
        <v>A</v>
      </c>
      <c r="AA34" s="135" t="str">
        <f>VLOOKUP(RANK(Y34,$Y$10:$Y$109),Sheet1!$A$381:$B$480,2,FALSE)</f>
        <v>12th</v>
      </c>
      <c r="AB34" s="136">
        <v>36</v>
      </c>
      <c r="AC34" s="136">
        <v>48</v>
      </c>
      <c r="AD34" s="137">
        <f t="shared" si="9"/>
        <v>84</v>
      </c>
      <c r="AE34" s="137">
        <f t="shared" si="10"/>
        <v>84</v>
      </c>
      <c r="AF34" s="135" t="str">
        <f t="shared" si="11"/>
        <v>A</v>
      </c>
      <c r="AG34" s="135" t="str">
        <f>VLOOKUP(RANK(AE34,$AE$10:$AE$109),Sheet1!$A$381:$B$480,2,FALSE)</f>
        <v>11th</v>
      </c>
      <c r="AH34" s="137"/>
      <c r="AI34" s="137"/>
      <c r="AJ34" s="137">
        <f t="shared" si="12"/>
        <v>0</v>
      </c>
      <c r="AK34" s="137">
        <f t="shared" si="13"/>
        <v>0</v>
      </c>
      <c r="AL34" s="135" t="str">
        <f t="shared" si="14"/>
        <v>F</v>
      </c>
      <c r="AM34" s="135" t="str">
        <f>VLOOKUP(RANK(AK34,$AK$10:$AK$109),Sheet1!$A$381:$B$480,2,FALSE)</f>
        <v>1st</v>
      </c>
      <c r="AN34" s="136"/>
      <c r="AO34" s="136"/>
      <c r="AP34" s="137">
        <f t="shared" si="15"/>
        <v>0</v>
      </c>
      <c r="AQ34" s="137">
        <f t="shared" si="16"/>
        <v>0</v>
      </c>
      <c r="AR34" s="135" t="str">
        <f t="shared" si="17"/>
        <v>F</v>
      </c>
      <c r="AS34" s="135" t="str">
        <f>VLOOKUP(RANK(AQ34,$AQ$10:$AQ$109),Sheet1!$A$381:$B$480,2,FALSE)</f>
        <v>1st</v>
      </c>
      <c r="AT34" s="142">
        <v>25</v>
      </c>
      <c r="AU34" s="145">
        <v>38</v>
      </c>
      <c r="AV34" s="137">
        <f t="shared" si="18"/>
        <v>63</v>
      </c>
      <c r="AW34" s="137">
        <f t="shared" si="19"/>
        <v>63</v>
      </c>
      <c r="AX34" s="135" t="str">
        <f t="shared" si="20"/>
        <v>B</v>
      </c>
      <c r="AY34" s="141" t="str">
        <f>VLOOKUP(RANK(AW34,$AW$10:$AW$109),Sheet1!$A$381:$B$480,2,FALSE)</f>
        <v>6th</v>
      </c>
      <c r="AZ34" s="142">
        <v>36</v>
      </c>
      <c r="BA34" s="145">
        <v>31</v>
      </c>
      <c r="BB34" s="147">
        <f t="shared" si="21"/>
        <v>67</v>
      </c>
      <c r="BC34" s="137">
        <f t="shared" si="22"/>
        <v>67</v>
      </c>
      <c r="BD34" s="135" t="str">
        <f t="shared" si="23"/>
        <v>B</v>
      </c>
      <c r="BE34" s="135" t="str">
        <f>VLOOKUP(RANK(BC34,$BC$10:$BC$109),Sheet1!$A$381:$B$480,2,FALSE)</f>
        <v>15th</v>
      </c>
      <c r="BF34" s="142">
        <v>12</v>
      </c>
      <c r="BG34" s="145">
        <v>27</v>
      </c>
      <c r="BH34" s="137">
        <f t="shared" si="24"/>
        <v>39</v>
      </c>
      <c r="BI34" s="137">
        <f t="shared" si="25"/>
        <v>39</v>
      </c>
      <c r="BJ34" s="135" t="str">
        <f t="shared" si="26"/>
        <v>E</v>
      </c>
      <c r="BK34" s="141" t="str">
        <f>VLOOKUP(RANK(BI34,$BI$10:$BI$109),Sheet1!$A$381:$B$480,2,FALSE)</f>
        <v>34th</v>
      </c>
      <c r="BL34" s="148">
        <v>26</v>
      </c>
      <c r="BM34" s="150">
        <v>23</v>
      </c>
      <c r="BN34" s="147">
        <f t="shared" si="27"/>
        <v>49</v>
      </c>
      <c r="BO34" s="137">
        <f t="shared" si="28"/>
        <v>49</v>
      </c>
      <c r="BP34" s="135" t="str">
        <f t="shared" si="29"/>
        <v>D</v>
      </c>
      <c r="BQ34" s="141" t="str">
        <f>VLOOKUP(RANK(BO34,$BO$10:$BO$109),Sheet1!$A$381:$B$480,2,FALSE)</f>
        <v>95th</v>
      </c>
      <c r="BR34" s="148">
        <v>30</v>
      </c>
      <c r="BS34" s="150">
        <v>48</v>
      </c>
      <c r="BT34" s="147">
        <f t="shared" si="30"/>
        <v>78</v>
      </c>
      <c r="BU34" s="137">
        <f t="shared" si="31"/>
        <v>78</v>
      </c>
      <c r="BV34" s="135" t="str">
        <f t="shared" si="32"/>
        <v>A</v>
      </c>
      <c r="BW34" s="135" t="str">
        <f>VLOOKUP(RANK(BU34,$BU$10:$BU$109),Sheet1!$A$381:$B$480,2,FALSE)</f>
        <v>2nd</v>
      </c>
      <c r="BX34" s="148">
        <v>32</v>
      </c>
      <c r="BY34" s="150">
        <v>13</v>
      </c>
      <c r="BZ34" s="137">
        <f t="shared" si="33"/>
        <v>45</v>
      </c>
      <c r="CA34" s="137">
        <f t="shared" si="34"/>
        <v>45</v>
      </c>
      <c r="CB34" s="135" t="str">
        <f t="shared" si="35"/>
        <v>D</v>
      </c>
      <c r="CC34" s="135" t="str">
        <f>VLOOKUP(RANK(CA34,$CA$10:$CA$109),Sheet1!$A$381:$B$480,2,FALSE)</f>
        <v>13th</v>
      </c>
      <c r="CD34" s="148">
        <v>33</v>
      </c>
      <c r="CE34" s="150">
        <v>45</v>
      </c>
      <c r="CF34" s="137">
        <f t="shared" si="36"/>
        <v>78</v>
      </c>
      <c r="CG34" s="137">
        <f t="shared" si="37"/>
        <v>78</v>
      </c>
      <c r="CH34" s="135" t="str">
        <f t="shared" si="38"/>
        <v>A</v>
      </c>
      <c r="CI34" s="135" t="str">
        <f>VLOOKUP(RANK(CG34,$CG$10:$CG$109),Sheet1!$A$381:$B$480,2,FALSE)</f>
        <v>10th</v>
      </c>
      <c r="CJ34" s="137"/>
      <c r="CK34" s="137"/>
      <c r="CL34" s="137">
        <f t="shared" si="39"/>
        <v>0</v>
      </c>
      <c r="CM34" s="137">
        <f t="shared" si="40"/>
        <v>0</v>
      </c>
      <c r="CN34" s="135" t="str">
        <f t="shared" si="41"/>
        <v>F</v>
      </c>
      <c r="CO34" s="135" t="str">
        <f>VLOOKUP(RANK(CM34,$CM$10:$CM$109),Sheet1!$A$381:$B$480,2,FALSE)</f>
        <v>1st</v>
      </c>
      <c r="CP34" s="137"/>
      <c r="CQ34" s="137"/>
      <c r="CR34" s="137">
        <f t="shared" si="42"/>
        <v>0</v>
      </c>
      <c r="CS34" s="137">
        <f t="shared" si="43"/>
        <v>0</v>
      </c>
      <c r="CT34" s="135" t="str">
        <f t="shared" si="44"/>
        <v>F</v>
      </c>
      <c r="CU34" s="135" t="str">
        <f>VLOOKUP(RANK(CS34,$CS$10:$CS$109),Sheet1!$A$381:$B$480,2,FALSE)</f>
        <v>1st</v>
      </c>
      <c r="CV34" s="151"/>
      <c r="CW34" s="135"/>
      <c r="CX34" s="151">
        <f t="shared" si="192"/>
        <v>0</v>
      </c>
      <c r="CY34" s="151">
        <f t="shared" si="193"/>
        <v>0</v>
      </c>
      <c r="CZ34" s="135" t="str">
        <f t="shared" si="45"/>
        <v>F</v>
      </c>
      <c r="DA34" s="135" t="str">
        <f>VLOOKUP(RANK(CY34,$CY$10:$CY$109),Sheet1!$A$381:$B$480,2,FALSE)</f>
        <v>1st</v>
      </c>
      <c r="DB34" s="135"/>
      <c r="DC34" s="151">
        <f t="shared" si="194"/>
        <v>767</v>
      </c>
      <c r="DD34" s="151">
        <f t="shared" si="195"/>
        <v>45.117647058823501</v>
      </c>
      <c r="DE34" s="135" t="str">
        <f>VLOOKUP(RANK(DD34,$DD$10:$DD$109),Sheet1!$A$381:$B$480,2,FALSE)</f>
        <v>7th</v>
      </c>
      <c r="DF34" s="137"/>
      <c r="DG34" s="160">
        <f t="shared" si="46"/>
        <v>812.11764705882399</v>
      </c>
      <c r="DH34" s="119"/>
      <c r="DI34" s="163">
        <v>20</v>
      </c>
      <c r="DJ34" s="163">
        <v>47</v>
      </c>
      <c r="DK34" s="137">
        <f t="shared" si="47"/>
        <v>67</v>
      </c>
      <c r="DL34" s="137" t="str">
        <f t="shared" si="48"/>
        <v>60</v>
      </c>
      <c r="DM34" s="137">
        <f t="shared" si="49"/>
        <v>127</v>
      </c>
      <c r="DN34" s="137">
        <f t="shared" si="50"/>
        <v>63.5</v>
      </c>
      <c r="DO34" s="135" t="str">
        <f t="shared" si="51"/>
        <v>B</v>
      </c>
      <c r="DP34" s="135" t="str">
        <f>VLOOKUP(RANK(DN34,$DN$10:$DN$109),Sheet1!$A$381:$B$480,2,FALSE)</f>
        <v>63rd</v>
      </c>
      <c r="DQ34" s="164">
        <v>21</v>
      </c>
      <c r="DR34" s="165">
        <v>24</v>
      </c>
      <c r="DS34" s="137">
        <f t="shared" si="52"/>
        <v>45</v>
      </c>
      <c r="DT34" s="137" t="str">
        <f t="shared" si="53"/>
        <v>61</v>
      </c>
      <c r="DU34" s="137">
        <f t="shared" si="54"/>
        <v>106</v>
      </c>
      <c r="DV34" s="137">
        <f t="shared" si="55"/>
        <v>53</v>
      </c>
      <c r="DW34" s="135" t="str">
        <f t="shared" si="56"/>
        <v>C</v>
      </c>
      <c r="DX34" s="135" t="str">
        <f>VLOOKUP(RANK(DV34,$DV$10:$DV$109),Sheet1!$A$381:$B$480,2,FALSE)</f>
        <v>31st</v>
      </c>
      <c r="DY34" s="167">
        <v>22</v>
      </c>
      <c r="DZ34" s="165">
        <v>25</v>
      </c>
      <c r="EA34" s="137">
        <f t="shared" si="57"/>
        <v>47</v>
      </c>
      <c r="EB34" s="137" t="str">
        <f t="shared" si="58"/>
        <v>65</v>
      </c>
      <c r="EC34" s="137">
        <f t="shared" si="59"/>
        <v>112</v>
      </c>
      <c r="ED34" s="137">
        <f t="shared" si="60"/>
        <v>56</v>
      </c>
      <c r="EE34" s="135" t="str">
        <f t="shared" si="61"/>
        <v>C</v>
      </c>
      <c r="EF34" s="135" t="str">
        <f>VLOOKUP(RANK(ED34,$ED$10:$ED$109),Sheet1!$A$381:$B$480,2,FALSE)</f>
        <v>22nd</v>
      </c>
      <c r="EG34" s="163">
        <v>13</v>
      </c>
      <c r="EH34" s="163">
        <v>42</v>
      </c>
      <c r="EI34" s="137">
        <f t="shared" si="62"/>
        <v>55</v>
      </c>
      <c r="EJ34" s="137" t="str">
        <f t="shared" si="63"/>
        <v>78</v>
      </c>
      <c r="EK34" s="137">
        <f t="shared" si="64"/>
        <v>133</v>
      </c>
      <c r="EL34" s="137">
        <f t="shared" si="65"/>
        <v>66.5</v>
      </c>
      <c r="EM34" s="135" t="str">
        <f t="shared" si="66"/>
        <v>B</v>
      </c>
      <c r="EN34" s="135" t="str">
        <f>VLOOKUP(RANK(EL34,$EL$10:$EL$109),Sheet1!$A$381:$B$480,2,FALSE)</f>
        <v>23rd</v>
      </c>
      <c r="EO34" s="163">
        <v>30</v>
      </c>
      <c r="EP34" s="163">
        <v>34</v>
      </c>
      <c r="EQ34" s="137">
        <f t="shared" si="67"/>
        <v>64</v>
      </c>
      <c r="ER34" s="137" t="str">
        <f t="shared" si="68"/>
        <v>84</v>
      </c>
      <c r="ES34" s="137">
        <f t="shared" si="69"/>
        <v>148</v>
      </c>
      <c r="ET34" s="137">
        <f t="shared" si="70"/>
        <v>74</v>
      </c>
      <c r="EU34" s="135" t="str">
        <f t="shared" si="71"/>
        <v>B</v>
      </c>
      <c r="EV34" s="135" t="str">
        <f>VLOOKUP(RANK(ET34,$ET$10:$ET$109),Sheet1!$A$381:$B$480,2,FALSE)</f>
        <v>11th</v>
      </c>
      <c r="EW34" s="137"/>
      <c r="EX34" s="137"/>
      <c r="EY34" s="137">
        <f t="shared" si="72"/>
        <v>0</v>
      </c>
      <c r="EZ34" s="137" t="str">
        <f t="shared" si="73"/>
        <v>0</v>
      </c>
      <c r="FA34" s="137">
        <f t="shared" si="74"/>
        <v>0</v>
      </c>
      <c r="FB34" s="137">
        <f t="shared" si="75"/>
        <v>0</v>
      </c>
      <c r="FC34" s="135" t="str">
        <f t="shared" si="76"/>
        <v>F</v>
      </c>
      <c r="FD34" s="135" t="str">
        <f>VLOOKUP(RANK(FB34,$FB$10:$FB$109),Sheet1!$A$381:$B$480,2,FALSE)</f>
        <v>1st</v>
      </c>
      <c r="FE34" s="137"/>
      <c r="FF34" s="137"/>
      <c r="FG34" s="137">
        <f t="shared" si="77"/>
        <v>0</v>
      </c>
      <c r="FH34" s="137" t="str">
        <f t="shared" si="78"/>
        <v>0</v>
      </c>
      <c r="FI34" s="137">
        <f t="shared" si="79"/>
        <v>0</v>
      </c>
      <c r="FJ34" s="137">
        <f t="shared" si="80"/>
        <v>0</v>
      </c>
      <c r="FK34" s="135" t="str">
        <f t="shared" si="81"/>
        <v>F</v>
      </c>
      <c r="FL34" s="135" t="str">
        <f>VLOOKUP(RANK(FJ34,$FJ$10:$FJ$109),Sheet1!$A$381:$B$480,2,FALSE)</f>
        <v>1st</v>
      </c>
      <c r="FM34" s="164">
        <v>29</v>
      </c>
      <c r="FN34" s="165">
        <v>21</v>
      </c>
      <c r="FO34" s="137">
        <f t="shared" si="82"/>
        <v>50</v>
      </c>
      <c r="FP34" s="137" t="str">
        <f t="shared" si="83"/>
        <v>63</v>
      </c>
      <c r="FQ34" s="137">
        <f t="shared" si="84"/>
        <v>113</v>
      </c>
      <c r="FR34" s="137">
        <f t="shared" si="85"/>
        <v>56.5</v>
      </c>
      <c r="FS34" s="135" t="str">
        <f t="shared" si="86"/>
        <v>C</v>
      </c>
      <c r="FT34" s="135" t="str">
        <f>VLOOKUP(RANK(FR34,$FR$10:$FR$109),Sheet1!$A$381:$B$480,2,FALSE)</f>
        <v>16th</v>
      </c>
      <c r="FU34" s="148">
        <v>33</v>
      </c>
      <c r="FV34" s="150">
        <v>28</v>
      </c>
      <c r="FW34" s="137">
        <f t="shared" si="87"/>
        <v>61</v>
      </c>
      <c r="FX34" s="137" t="str">
        <f t="shared" si="88"/>
        <v>67</v>
      </c>
      <c r="FY34" s="137">
        <f t="shared" si="196"/>
        <v>61</v>
      </c>
      <c r="FZ34" s="137">
        <f t="shared" si="89"/>
        <v>30.5</v>
      </c>
      <c r="GA34" s="135" t="str">
        <f t="shared" si="90"/>
        <v>F</v>
      </c>
      <c r="GB34" s="135" t="str">
        <f>VLOOKUP(RANK(FZ34,$FZ$10:$FZ$109),Sheet1!$A$381:$B$480,2,FALSE)</f>
        <v>21st</v>
      </c>
      <c r="GC34" s="164">
        <v>30</v>
      </c>
      <c r="GD34" s="165">
        <v>24</v>
      </c>
      <c r="GE34" s="137">
        <f t="shared" si="91"/>
        <v>54</v>
      </c>
      <c r="GF34" s="137" t="str">
        <f t="shared" si="92"/>
        <v>39</v>
      </c>
      <c r="GG34" s="135">
        <f t="shared" si="197"/>
        <v>93</v>
      </c>
      <c r="GH34" s="137">
        <f t="shared" si="198"/>
        <v>46.5</v>
      </c>
      <c r="GI34" s="135" t="str">
        <f t="shared" si="93"/>
        <v>D</v>
      </c>
      <c r="GJ34" s="135" t="str">
        <f>VLOOKUP(RANK(GH34,$GH$10:$GH$109),Sheet1!$A$381:$B$480,2,FALSE)</f>
        <v>23rd</v>
      </c>
      <c r="GK34" s="164">
        <v>25</v>
      </c>
      <c r="GL34" s="165">
        <v>17</v>
      </c>
      <c r="GM34" s="137">
        <f t="shared" si="94"/>
        <v>42</v>
      </c>
      <c r="GN34" s="137" t="str">
        <f t="shared" si="95"/>
        <v>49</v>
      </c>
      <c r="GO34" s="135">
        <f t="shared" si="199"/>
        <v>91</v>
      </c>
      <c r="GP34" s="137">
        <f t="shared" si="96"/>
        <v>45.5</v>
      </c>
      <c r="GQ34" s="135" t="str">
        <f t="shared" si="97"/>
        <v>D</v>
      </c>
      <c r="GR34" s="135" t="str">
        <f>VLOOKUP(RANK(GP34,$GP$10:$GP$109),Sheet1!$A$381:$B$480,2,FALSE)</f>
        <v>89th</v>
      </c>
      <c r="GS34" s="164">
        <v>29</v>
      </c>
      <c r="GT34" s="165">
        <v>35</v>
      </c>
      <c r="GU34" s="137">
        <f t="shared" si="98"/>
        <v>64</v>
      </c>
      <c r="GV34" s="137" t="str">
        <f t="shared" si="99"/>
        <v>78</v>
      </c>
      <c r="GW34" s="137">
        <f t="shared" si="100"/>
        <v>142</v>
      </c>
      <c r="GX34" s="137">
        <f t="shared" si="101"/>
        <v>71</v>
      </c>
      <c r="GY34" s="135" t="str">
        <f t="shared" si="102"/>
        <v>B</v>
      </c>
      <c r="GZ34" s="135" t="str">
        <f>VLOOKUP(RANK(GX34,$GX$10:$GX$109),Sheet1!$A$381:$B$480,2,FALSE)</f>
        <v>8th</v>
      </c>
      <c r="HA34" s="164">
        <v>28</v>
      </c>
      <c r="HB34" s="165">
        <v>23</v>
      </c>
      <c r="HC34" s="137">
        <f t="shared" si="103"/>
        <v>51</v>
      </c>
      <c r="HD34" s="137" t="str">
        <f t="shared" si="104"/>
        <v>45</v>
      </c>
      <c r="HE34" s="137">
        <f t="shared" si="105"/>
        <v>96</v>
      </c>
      <c r="HF34" s="137">
        <f t="shared" si="106"/>
        <v>48</v>
      </c>
      <c r="HG34" s="135" t="str">
        <f t="shared" si="107"/>
        <v>D</v>
      </c>
      <c r="HH34" s="135" t="str">
        <f>VLOOKUP(RANK(HF34,$HF$10:$HF$109),Sheet1!$A$381:$B$480,2,FALSE)</f>
        <v>13th</v>
      </c>
      <c r="HI34" s="148">
        <v>26</v>
      </c>
      <c r="HJ34" s="150">
        <v>45</v>
      </c>
      <c r="HK34" s="137">
        <f t="shared" si="108"/>
        <v>71</v>
      </c>
      <c r="HL34" s="137" t="str">
        <f t="shared" si="109"/>
        <v>78</v>
      </c>
      <c r="HM34" s="137">
        <f t="shared" si="110"/>
        <v>149</v>
      </c>
      <c r="HN34" s="137">
        <f t="shared" si="111"/>
        <v>74.5</v>
      </c>
      <c r="HO34" s="135" t="str">
        <f t="shared" si="112"/>
        <v>B</v>
      </c>
      <c r="HP34" s="135" t="str">
        <f>VLOOKUP(RANK(HN34,$HN$10:$HN$109),Sheet1!$A$381:$B$480,2,FALSE)</f>
        <v>13th</v>
      </c>
      <c r="HQ34" s="137"/>
      <c r="HR34" s="137"/>
      <c r="HS34" s="137">
        <f t="shared" si="113"/>
        <v>0</v>
      </c>
      <c r="HT34" s="137" t="str">
        <f t="shared" si="114"/>
        <v>0</v>
      </c>
      <c r="HU34" s="137">
        <f t="shared" si="115"/>
        <v>0</v>
      </c>
      <c r="HV34" s="137">
        <f t="shared" si="116"/>
        <v>0</v>
      </c>
      <c r="HW34" s="135" t="str">
        <f t="shared" si="117"/>
        <v>F</v>
      </c>
      <c r="HX34" s="135" t="str">
        <f>VLOOKUP(RANK(HV34,$HV$10:$HV$109),Sheet1!$A$381:$B$480,2,FALSE)</f>
        <v>1st</v>
      </c>
      <c r="HY34" s="137"/>
      <c r="HZ34" s="137"/>
      <c r="IA34" s="137">
        <f t="shared" si="118"/>
        <v>0</v>
      </c>
      <c r="IB34" s="137" t="str">
        <f t="shared" si="119"/>
        <v>0</v>
      </c>
      <c r="IC34" s="137">
        <f t="shared" si="120"/>
        <v>0</v>
      </c>
      <c r="ID34" s="137">
        <f t="shared" si="121"/>
        <v>0</v>
      </c>
      <c r="IE34" s="135" t="str">
        <f t="shared" si="122"/>
        <v>F</v>
      </c>
      <c r="IF34" s="135" t="str">
        <f>VLOOKUP(RANK(ID34,$ID$10:$ID$109),Sheet1!$A$381:$B$480,2,FALSE)</f>
        <v>1st</v>
      </c>
      <c r="IG34" s="135"/>
      <c r="IH34" s="135"/>
      <c r="II34" s="135">
        <f t="shared" si="200"/>
        <v>0</v>
      </c>
      <c r="IJ34" s="135" t="str">
        <f t="shared" si="201"/>
        <v>0</v>
      </c>
      <c r="IK34" s="135">
        <f t="shared" si="202"/>
        <v>0</v>
      </c>
      <c r="IL34" s="135">
        <f t="shared" si="203"/>
        <v>0</v>
      </c>
      <c r="IM34" s="135" t="str">
        <f t="shared" si="123"/>
        <v>F</v>
      </c>
      <c r="IN34" s="135" t="str">
        <f>VLOOKUP(RANK(IL34,$IL$10:$IL$109),Sheet1!$A$381:$B$480,2,FALSE)</f>
        <v>1st</v>
      </c>
      <c r="IO34" s="135">
        <f t="shared" si="204"/>
        <v>685.5</v>
      </c>
      <c r="IP34" s="177">
        <f t="shared" si="205"/>
        <v>40.323529411764703</v>
      </c>
      <c r="IQ34" s="135" t="str">
        <f>VLOOKUP(RANK(IP34,$IP$10:$IP$109),Sheet1!$A$381:$B$480,2,FALSE)</f>
        <v>15th</v>
      </c>
      <c r="IR34" s="178"/>
      <c r="IS34" s="137"/>
      <c r="IT34" s="137"/>
      <c r="IU34" s="137"/>
      <c r="IV34" s="137"/>
      <c r="IW34" s="181"/>
      <c r="IX34" s="184"/>
      <c r="IY34" s="186"/>
      <c r="IZ34" s="186">
        <f t="shared" si="206"/>
        <v>0</v>
      </c>
      <c r="JA34" s="186" t="str">
        <f t="shared" si="124"/>
        <v>60</v>
      </c>
      <c r="JB34" s="186" t="str">
        <f t="shared" si="125"/>
        <v>67</v>
      </c>
      <c r="JC34" s="186">
        <f t="shared" si="207"/>
        <v>127</v>
      </c>
      <c r="JD34" s="186">
        <f t="shared" si="208"/>
        <v>42.3333333333333</v>
      </c>
      <c r="JE34" s="135" t="str">
        <f t="shared" si="126"/>
        <v>D</v>
      </c>
      <c r="JF34" s="151" t="str">
        <f>VLOOKUP(RANK(JD34,$JD$10:$JD$109),Sheet1!$A$381:$B$480,2,FALSE)</f>
        <v>63rd</v>
      </c>
      <c r="JG34" s="186"/>
      <c r="JH34" s="186"/>
      <c r="JI34" s="186">
        <f t="shared" si="127"/>
        <v>0</v>
      </c>
      <c r="JJ34" s="186" t="str">
        <f t="shared" si="128"/>
        <v>61</v>
      </c>
      <c r="JK34" s="186" t="str">
        <f t="shared" si="129"/>
        <v>45</v>
      </c>
      <c r="JL34" s="186">
        <f t="shared" si="209"/>
        <v>106</v>
      </c>
      <c r="JM34" s="186">
        <f t="shared" si="210"/>
        <v>35.3333333333333</v>
      </c>
      <c r="JN34" s="135" t="str">
        <f t="shared" si="130"/>
        <v>E</v>
      </c>
      <c r="JO34" s="151" t="str">
        <f>VLOOKUP(RANK(JM34,$JM$10:$JM$109),Sheet1!$A$381:$B$480,2,FALSE)</f>
        <v>31st</v>
      </c>
      <c r="JP34" s="186"/>
      <c r="JQ34" s="186"/>
      <c r="JR34" s="186">
        <f t="shared" si="131"/>
        <v>0</v>
      </c>
      <c r="JS34" s="186" t="str">
        <f t="shared" si="132"/>
        <v>65</v>
      </c>
      <c r="JT34" s="186" t="str">
        <f t="shared" si="133"/>
        <v>47</v>
      </c>
      <c r="JU34" s="186">
        <f t="shared" si="211"/>
        <v>112</v>
      </c>
      <c r="JV34" s="186">
        <f t="shared" si="212"/>
        <v>37.3333333333333</v>
      </c>
      <c r="JW34" s="135" t="str">
        <f t="shared" si="134"/>
        <v>E</v>
      </c>
      <c r="JX34" s="151" t="str">
        <f>VLOOKUP(RANK(JV34,$JV$10:$JV$109),Sheet1!$A$381:$B$480,2,FALSE)</f>
        <v>22nd</v>
      </c>
      <c r="JY34" s="186"/>
      <c r="JZ34" s="186"/>
      <c r="KA34" s="186">
        <f t="shared" si="135"/>
        <v>0</v>
      </c>
      <c r="KB34" s="186" t="str">
        <f t="shared" si="136"/>
        <v>78</v>
      </c>
      <c r="KC34" s="186" t="str">
        <f t="shared" si="137"/>
        <v>55</v>
      </c>
      <c r="KD34" s="186">
        <f t="shared" si="213"/>
        <v>133</v>
      </c>
      <c r="KE34" s="186">
        <f t="shared" si="214"/>
        <v>44.3333333333333</v>
      </c>
      <c r="KF34" s="135" t="str">
        <f t="shared" si="138"/>
        <v>D</v>
      </c>
      <c r="KG34" s="151" t="str">
        <f>VLOOKUP(RANK(KE34,$KE$10:$KE$109),Sheet1!$A$381:$B$480,2,FALSE)</f>
        <v>23rd</v>
      </c>
      <c r="KH34" s="186"/>
      <c r="KI34" s="186"/>
      <c r="KJ34" s="186">
        <f t="shared" si="139"/>
        <v>0</v>
      </c>
      <c r="KK34" s="186" t="str">
        <f t="shared" si="140"/>
        <v>84</v>
      </c>
      <c r="KL34" s="186" t="str">
        <f t="shared" si="141"/>
        <v>64</v>
      </c>
      <c r="KM34" s="186">
        <f t="shared" si="215"/>
        <v>148</v>
      </c>
      <c r="KN34" s="186">
        <f t="shared" si="216"/>
        <v>49.3333333333333</v>
      </c>
      <c r="KO34" s="135" t="str">
        <f t="shared" si="142"/>
        <v>D</v>
      </c>
      <c r="KP34" s="151" t="str">
        <f>VLOOKUP(RANK(KN34,$KN$10:$KN$109),Sheet1!$A$381:$B$480,2,FALSE)</f>
        <v>11th</v>
      </c>
      <c r="KQ34" s="186"/>
      <c r="KR34" s="186"/>
      <c r="KS34" s="186">
        <f t="shared" si="143"/>
        <v>0</v>
      </c>
      <c r="KT34" s="186" t="str">
        <f t="shared" si="144"/>
        <v>0</v>
      </c>
      <c r="KU34" s="186" t="str">
        <f t="shared" si="145"/>
        <v>0</v>
      </c>
      <c r="KV34" s="186">
        <f t="shared" si="217"/>
        <v>0</v>
      </c>
      <c r="KW34" s="186">
        <f t="shared" si="218"/>
        <v>0</v>
      </c>
      <c r="KX34" s="135" t="str">
        <f t="shared" si="146"/>
        <v>F</v>
      </c>
      <c r="KY34" s="151" t="str">
        <f>VLOOKUP(RANK(KW34,$KW$10:$KW$109),Sheet1!$A$381:$B$480,2,FALSE)</f>
        <v>1st</v>
      </c>
      <c r="KZ34" s="186"/>
      <c r="LA34" s="186"/>
      <c r="LB34" s="186">
        <f t="shared" si="147"/>
        <v>0</v>
      </c>
      <c r="LC34" s="186" t="str">
        <f t="shared" si="148"/>
        <v>0</v>
      </c>
      <c r="LD34" s="186" t="str">
        <f t="shared" si="149"/>
        <v>0</v>
      </c>
      <c r="LE34" s="186">
        <f t="shared" si="219"/>
        <v>0</v>
      </c>
      <c r="LF34" s="186">
        <f t="shared" si="220"/>
        <v>0</v>
      </c>
      <c r="LG34" s="135" t="str">
        <f t="shared" si="150"/>
        <v>F</v>
      </c>
      <c r="LH34" s="151" t="str">
        <f>VLOOKUP(RANK(LF34,$LF$10:$LF$109),Sheet1!$A$381:$B$480,2,FALSE)</f>
        <v>1st</v>
      </c>
      <c r="LI34" s="186"/>
      <c r="LJ34" s="186"/>
      <c r="LK34" s="186">
        <f t="shared" si="151"/>
        <v>0</v>
      </c>
      <c r="LL34" s="186" t="str">
        <f t="shared" si="152"/>
        <v>63</v>
      </c>
      <c r="LM34" s="186" t="str">
        <f t="shared" si="153"/>
        <v>50</v>
      </c>
      <c r="LN34" s="186">
        <f t="shared" si="221"/>
        <v>113</v>
      </c>
      <c r="LO34" s="186">
        <f t="shared" si="222"/>
        <v>37.6666666666667</v>
      </c>
      <c r="LP34" s="135" t="str">
        <f t="shared" si="154"/>
        <v>E</v>
      </c>
      <c r="LQ34" s="151" t="str">
        <f>VLOOKUP(RANK(LO34,$LO$10:$LO$109),Sheet1!$A$381:$B$480,2,FALSE)</f>
        <v>16th</v>
      </c>
      <c r="LR34" s="186"/>
      <c r="LS34" s="186"/>
      <c r="LT34" s="186">
        <f t="shared" si="155"/>
        <v>0</v>
      </c>
      <c r="LU34" s="186" t="str">
        <f t="shared" si="156"/>
        <v>67</v>
      </c>
      <c r="LV34" s="186" t="str">
        <f t="shared" si="157"/>
        <v>61</v>
      </c>
      <c r="LW34" s="186">
        <f t="shared" si="223"/>
        <v>128</v>
      </c>
      <c r="LX34" s="186">
        <f t="shared" si="224"/>
        <v>42.6666666666667</v>
      </c>
      <c r="LY34" s="135" t="str">
        <f t="shared" si="158"/>
        <v>D</v>
      </c>
      <c r="LZ34" s="151" t="str">
        <f>VLOOKUP(RANK(LX34,$LX$10:$LX$109),Sheet1!$A$381:$B$480,2,FALSE)</f>
        <v>8th</v>
      </c>
      <c r="MA34" s="186"/>
      <c r="MB34" s="186"/>
      <c r="MC34" s="186">
        <f t="shared" si="159"/>
        <v>0</v>
      </c>
      <c r="MD34" s="186" t="str">
        <f t="shared" si="160"/>
        <v>39</v>
      </c>
      <c r="ME34" s="186" t="str">
        <f t="shared" si="161"/>
        <v>54</v>
      </c>
      <c r="MF34" s="183">
        <f t="shared" si="225"/>
        <v>93</v>
      </c>
      <c r="MG34" s="151">
        <f t="shared" si="226"/>
        <v>31</v>
      </c>
      <c r="MH34" s="135" t="str">
        <f t="shared" si="162"/>
        <v>F</v>
      </c>
      <c r="MI34" s="151" t="str">
        <f>VLOOKUP(RANK(MG34,$MG$10:$MG$109),Sheet1!$A$381:$B$480,2,FALSE)</f>
        <v>23rd</v>
      </c>
      <c r="MJ34" s="186"/>
      <c r="MK34" s="186"/>
      <c r="ML34" s="186">
        <f t="shared" si="163"/>
        <v>0</v>
      </c>
      <c r="MM34" s="186" t="str">
        <f t="shared" si="164"/>
        <v>49</v>
      </c>
      <c r="MN34" s="186" t="str">
        <f t="shared" si="165"/>
        <v>42</v>
      </c>
      <c r="MO34" s="186">
        <f t="shared" si="227"/>
        <v>91</v>
      </c>
      <c r="MP34" s="186">
        <f t="shared" si="228"/>
        <v>30.3333333333333</v>
      </c>
      <c r="MQ34" s="135" t="str">
        <f t="shared" si="166"/>
        <v>F</v>
      </c>
      <c r="MR34" s="151" t="str">
        <f>VLOOKUP(RANK(MP34,$MP$10:$MP$109),Sheet1!$A$381:$B$480,2,FALSE)</f>
        <v>89th</v>
      </c>
      <c r="MS34" s="186"/>
      <c r="MT34" s="186"/>
      <c r="MU34" s="186">
        <f t="shared" si="167"/>
        <v>0</v>
      </c>
      <c r="MV34" s="186" t="str">
        <f t="shared" si="168"/>
        <v>78</v>
      </c>
      <c r="MW34" s="186" t="str">
        <f t="shared" si="169"/>
        <v>64</v>
      </c>
      <c r="MX34" s="186">
        <f t="shared" si="229"/>
        <v>142</v>
      </c>
      <c r="MY34" s="186">
        <f t="shared" si="230"/>
        <v>47.3333333333333</v>
      </c>
      <c r="MZ34" s="135" t="str">
        <f t="shared" si="170"/>
        <v>D</v>
      </c>
      <c r="NA34" s="151" t="str">
        <f>VLOOKUP(RANK(MY34,$MY$10:$MY$109),Sheet1!$A$381:$B$480,2,FALSE)</f>
        <v>8th</v>
      </c>
      <c r="NB34" s="186"/>
      <c r="NC34" s="186"/>
      <c r="ND34" s="186">
        <f t="shared" si="171"/>
        <v>0</v>
      </c>
      <c r="NE34" s="186" t="str">
        <f t="shared" si="172"/>
        <v>45</v>
      </c>
      <c r="NF34" s="186" t="str">
        <f t="shared" si="173"/>
        <v>51</v>
      </c>
      <c r="NG34" s="186">
        <f t="shared" si="231"/>
        <v>96</v>
      </c>
      <c r="NH34" s="186">
        <f t="shared" si="232"/>
        <v>32</v>
      </c>
      <c r="NI34" s="135" t="str">
        <f t="shared" si="174"/>
        <v>F</v>
      </c>
      <c r="NJ34" s="151" t="str">
        <f>VLOOKUP(RANK(NH34,$NH$10:$NH$109),Sheet1!$A$381:$B$480,2,FALSE)</f>
        <v>13th</v>
      </c>
      <c r="NK34" s="186"/>
      <c r="NL34" s="186"/>
      <c r="NM34" s="186">
        <f t="shared" si="175"/>
        <v>0</v>
      </c>
      <c r="NN34" s="186" t="str">
        <f t="shared" si="176"/>
        <v>78</v>
      </c>
      <c r="NO34" s="186" t="str">
        <f t="shared" si="177"/>
        <v>71</v>
      </c>
      <c r="NP34" s="186">
        <f t="shared" si="233"/>
        <v>149</v>
      </c>
      <c r="NQ34" s="186">
        <f t="shared" si="178"/>
        <v>49.6666666666667</v>
      </c>
      <c r="NR34" s="135" t="str">
        <f t="shared" si="179"/>
        <v>D</v>
      </c>
      <c r="NS34" s="151" t="str">
        <f>VLOOKUP(RANK(NQ34,$NQ$10:$NQ$109),Sheet1!$A$381:$B$480,2,FALSE)</f>
        <v>13th</v>
      </c>
      <c r="NT34" s="186"/>
      <c r="NU34" s="186"/>
      <c r="NV34" s="186">
        <f t="shared" si="180"/>
        <v>0</v>
      </c>
      <c r="NW34" s="186" t="str">
        <f t="shared" si="181"/>
        <v>0</v>
      </c>
      <c r="NX34" s="186" t="str">
        <f t="shared" si="182"/>
        <v>0</v>
      </c>
      <c r="NY34" s="186">
        <f t="shared" si="234"/>
        <v>0</v>
      </c>
      <c r="NZ34" s="186">
        <f t="shared" si="183"/>
        <v>0</v>
      </c>
      <c r="OA34" s="135" t="str">
        <f t="shared" si="184"/>
        <v>F</v>
      </c>
      <c r="OB34" s="151" t="str">
        <f>VLOOKUP(RANK(NZ34,$NZ$10:$NZ$109),Sheet1!$A$381:$B$480,2,FALSE)</f>
        <v>1st</v>
      </c>
      <c r="OC34" s="186"/>
      <c r="OD34" s="186"/>
      <c r="OE34" s="186">
        <f t="shared" si="185"/>
        <v>0</v>
      </c>
      <c r="OF34" s="186" t="str">
        <f t="shared" si="186"/>
        <v>0</v>
      </c>
      <c r="OG34" s="186" t="str">
        <f t="shared" si="187"/>
        <v>0</v>
      </c>
      <c r="OH34" s="186">
        <f t="shared" si="235"/>
        <v>0</v>
      </c>
      <c r="OI34" s="186">
        <f t="shared" si="236"/>
        <v>0</v>
      </c>
      <c r="OJ34" s="135" t="str">
        <f t="shared" si="188"/>
        <v>F</v>
      </c>
      <c r="OK34" s="151" t="str">
        <f>VLOOKUP(RANK(OI34,$OI$10:$OI$109),Sheet1!$A$381:$B$480,2,FALSE)</f>
        <v>1st</v>
      </c>
      <c r="OL34" s="151"/>
      <c r="OM34" s="151"/>
      <c r="ON34" s="151">
        <f t="shared" si="237"/>
        <v>0</v>
      </c>
      <c r="OO34" s="151" t="str">
        <f t="shared" si="238"/>
        <v>0</v>
      </c>
      <c r="OP34" s="151" t="str">
        <f t="shared" si="239"/>
        <v>0</v>
      </c>
      <c r="OQ34" s="151">
        <f t="shared" si="240"/>
        <v>0</v>
      </c>
      <c r="OR34" s="151">
        <f t="shared" si="241"/>
        <v>0</v>
      </c>
      <c r="OS34" s="135" t="str">
        <f t="shared" si="189"/>
        <v>F</v>
      </c>
      <c r="OT34" s="151" t="str">
        <f>VLOOKUP(RANK(OR34,$OI$10:$OI$109),Sheet1!$A$381:$B$480,2,FALSE)</f>
        <v>1st</v>
      </c>
      <c r="OU34" s="151">
        <f t="shared" si="242"/>
        <v>479.33333333333297</v>
      </c>
      <c r="OV34" s="151">
        <f t="shared" si="243"/>
        <v>28.196078431372499</v>
      </c>
      <c r="OW34" s="151" t="str">
        <f>VLOOKUP(RANK(OV34,$OV$10:$OV$109),Sheet1!$A$381:$B$480,2,FALSE)</f>
        <v>13th</v>
      </c>
      <c r="OX34" s="151"/>
      <c r="OY34" s="186"/>
      <c r="OZ34" s="186"/>
      <c r="PA34" s="186"/>
      <c r="PB34" s="186"/>
    </row>
    <row r="35" spans="1:418" s="118" customFormat="1" ht="18.75">
      <c r="A35" s="131">
        <v>26</v>
      </c>
      <c r="B35" s="132" t="s">
        <v>123</v>
      </c>
      <c r="C35" s="133" t="s">
        <v>97</v>
      </c>
      <c r="D35" s="134">
        <v>12</v>
      </c>
      <c r="E35" s="134">
        <v>52</v>
      </c>
      <c r="F35" s="137">
        <f t="shared" si="0"/>
        <v>64</v>
      </c>
      <c r="G35" s="137">
        <f t="shared" si="1"/>
        <v>64</v>
      </c>
      <c r="H35" s="135" t="str">
        <f t="shared" si="190"/>
        <v>B</v>
      </c>
      <c r="I35" s="135" t="str">
        <f>VLOOKUP(RANK(G35,$G$10:$G$109),Sheet1!$A$381:$B$480,2,FALSE)</f>
        <v>67th</v>
      </c>
      <c r="J35" s="134">
        <v>27</v>
      </c>
      <c r="K35" s="134">
        <v>23</v>
      </c>
      <c r="L35" s="137">
        <f t="shared" si="2"/>
        <v>50</v>
      </c>
      <c r="M35" s="137">
        <f t="shared" si="3"/>
        <v>50</v>
      </c>
      <c r="N35" s="135" t="str">
        <f t="shared" si="4"/>
        <v>C</v>
      </c>
      <c r="O35" s="141" t="str">
        <f>VLOOKUP(RANK(M35,$M$10:$M$109),Sheet1!$A$381:$B$480,2,FALSE)</f>
        <v>67th</v>
      </c>
      <c r="P35" s="142">
        <v>26</v>
      </c>
      <c r="Q35" s="145">
        <v>15</v>
      </c>
      <c r="R35" s="147">
        <f t="shared" si="5"/>
        <v>41</v>
      </c>
      <c r="S35" s="137">
        <f t="shared" si="6"/>
        <v>41</v>
      </c>
      <c r="T35" s="135" t="str">
        <f t="shared" si="7"/>
        <v>D</v>
      </c>
      <c r="U35" s="135" t="str">
        <f>VLOOKUP(RANK(S35,$S$10:$S$109),Sheet1!$A$381:$B$480,2,FALSE)</f>
        <v>54th</v>
      </c>
      <c r="V35" s="134">
        <v>26</v>
      </c>
      <c r="W35" s="134">
        <v>45</v>
      </c>
      <c r="X35" s="137">
        <f t="shared" si="191"/>
        <v>71</v>
      </c>
      <c r="Y35" s="137">
        <f t="shared" si="244"/>
        <v>71</v>
      </c>
      <c r="Z35" s="135" t="str">
        <f t="shared" si="8"/>
        <v>B</v>
      </c>
      <c r="AA35" s="135" t="str">
        <f>VLOOKUP(RANK(Y35,$Y$10:$Y$109),Sheet1!$A$381:$B$480,2,FALSE)</f>
        <v>19th</v>
      </c>
      <c r="AB35" s="134">
        <v>38</v>
      </c>
      <c r="AC35" s="134">
        <v>53</v>
      </c>
      <c r="AD35" s="137">
        <f t="shared" si="9"/>
        <v>91</v>
      </c>
      <c r="AE35" s="137">
        <f t="shared" si="10"/>
        <v>91</v>
      </c>
      <c r="AF35" s="135" t="str">
        <f t="shared" si="11"/>
        <v>A</v>
      </c>
      <c r="AG35" s="135" t="str">
        <f>VLOOKUP(RANK(AE35,$AE$10:$AE$109),Sheet1!$A$381:$B$480,2,FALSE)</f>
        <v>7th</v>
      </c>
      <c r="AH35" s="137"/>
      <c r="AI35" s="137"/>
      <c r="AJ35" s="137">
        <f t="shared" si="12"/>
        <v>0</v>
      </c>
      <c r="AK35" s="137">
        <f t="shared" si="13"/>
        <v>0</v>
      </c>
      <c r="AL35" s="135" t="str">
        <f t="shared" si="14"/>
        <v>F</v>
      </c>
      <c r="AM35" s="135" t="str">
        <f>VLOOKUP(RANK(AK35,$AK$10:$AK$109),Sheet1!$A$381:$B$480,2,FALSE)</f>
        <v>1st</v>
      </c>
      <c r="AN35" s="134"/>
      <c r="AO35" s="134"/>
      <c r="AP35" s="137">
        <f t="shared" si="15"/>
        <v>0</v>
      </c>
      <c r="AQ35" s="137">
        <f t="shared" si="16"/>
        <v>0</v>
      </c>
      <c r="AR35" s="135" t="str">
        <f t="shared" si="17"/>
        <v>F</v>
      </c>
      <c r="AS35" s="135" t="str">
        <f>VLOOKUP(RANK(AQ35,$AQ$10:$AQ$109),Sheet1!$A$381:$B$480,2,FALSE)</f>
        <v>1st</v>
      </c>
      <c r="AT35" s="142">
        <v>25</v>
      </c>
      <c r="AU35" s="145">
        <v>45</v>
      </c>
      <c r="AV35" s="137">
        <f t="shared" si="18"/>
        <v>70</v>
      </c>
      <c r="AW35" s="137">
        <f t="shared" si="19"/>
        <v>70</v>
      </c>
      <c r="AX35" s="135" t="str">
        <f t="shared" si="20"/>
        <v>B</v>
      </c>
      <c r="AY35" s="141" t="str">
        <f>VLOOKUP(RANK(AW35,$AW$10:$AW$109),Sheet1!$A$381:$B$480,2,FALSE)</f>
        <v>2nd</v>
      </c>
      <c r="AZ35" s="142">
        <v>37</v>
      </c>
      <c r="BA35" s="145">
        <v>39</v>
      </c>
      <c r="BB35" s="147">
        <f t="shared" si="21"/>
        <v>76</v>
      </c>
      <c r="BC35" s="137">
        <f t="shared" si="22"/>
        <v>76</v>
      </c>
      <c r="BD35" s="135" t="str">
        <f t="shared" si="23"/>
        <v>A</v>
      </c>
      <c r="BE35" s="135" t="str">
        <f>VLOOKUP(RANK(BC35,$BC$10:$BC$109),Sheet1!$A$381:$B$480,2,FALSE)</f>
        <v>4th</v>
      </c>
      <c r="BF35" s="142">
        <v>12</v>
      </c>
      <c r="BG35" s="145">
        <v>32</v>
      </c>
      <c r="BH35" s="137">
        <f t="shared" si="24"/>
        <v>44</v>
      </c>
      <c r="BI35" s="137">
        <f t="shared" si="25"/>
        <v>44</v>
      </c>
      <c r="BJ35" s="135" t="str">
        <f t="shared" si="26"/>
        <v>D</v>
      </c>
      <c r="BK35" s="141" t="str">
        <f>VLOOKUP(RANK(BI35,$BI$10:$BI$109),Sheet1!$A$381:$B$480,2,FALSE)</f>
        <v>23rd</v>
      </c>
      <c r="BL35" s="148">
        <v>28</v>
      </c>
      <c r="BM35" s="150">
        <v>24</v>
      </c>
      <c r="BN35" s="147">
        <f t="shared" si="27"/>
        <v>52</v>
      </c>
      <c r="BO35" s="137">
        <f t="shared" si="28"/>
        <v>52</v>
      </c>
      <c r="BP35" s="135" t="str">
        <f t="shared" si="29"/>
        <v>C</v>
      </c>
      <c r="BQ35" s="141" t="str">
        <f>VLOOKUP(RANK(BO35,$BO$10:$BO$109),Sheet1!$A$381:$B$480,2,FALSE)</f>
        <v>56th</v>
      </c>
      <c r="BR35" s="148">
        <v>31</v>
      </c>
      <c r="BS35" s="150">
        <v>44</v>
      </c>
      <c r="BT35" s="147">
        <f t="shared" si="30"/>
        <v>75</v>
      </c>
      <c r="BU35" s="137">
        <f t="shared" si="31"/>
        <v>75</v>
      </c>
      <c r="BV35" s="135" t="str">
        <f t="shared" si="32"/>
        <v>A</v>
      </c>
      <c r="BW35" s="135" t="str">
        <f>VLOOKUP(RANK(BU35,$BU$10:$BU$109),Sheet1!$A$381:$B$480,2,FALSE)</f>
        <v>6th</v>
      </c>
      <c r="BX35" s="148">
        <v>28</v>
      </c>
      <c r="BY35" s="150">
        <v>14</v>
      </c>
      <c r="BZ35" s="137">
        <f t="shared" si="33"/>
        <v>42</v>
      </c>
      <c r="CA35" s="137">
        <f t="shared" si="34"/>
        <v>42</v>
      </c>
      <c r="CB35" s="135" t="str">
        <f t="shared" si="35"/>
        <v>D</v>
      </c>
      <c r="CC35" s="135" t="str">
        <f>VLOOKUP(RANK(CA35,$CA$10:$CA$109),Sheet1!$A$381:$B$480,2,FALSE)</f>
        <v>32nd</v>
      </c>
      <c r="CD35" s="148">
        <v>30</v>
      </c>
      <c r="CE35" s="150">
        <v>40</v>
      </c>
      <c r="CF35" s="137">
        <f t="shared" si="36"/>
        <v>70</v>
      </c>
      <c r="CG35" s="137">
        <f t="shared" si="37"/>
        <v>70</v>
      </c>
      <c r="CH35" s="135" t="str">
        <f t="shared" si="38"/>
        <v>B</v>
      </c>
      <c r="CI35" s="135" t="str">
        <f>VLOOKUP(RANK(CG35,$CG$10:$CG$109),Sheet1!$A$381:$B$480,2,FALSE)</f>
        <v>17th</v>
      </c>
      <c r="CJ35" s="137"/>
      <c r="CK35" s="137"/>
      <c r="CL35" s="137">
        <f t="shared" si="39"/>
        <v>0</v>
      </c>
      <c r="CM35" s="137">
        <f t="shared" si="40"/>
        <v>0</v>
      </c>
      <c r="CN35" s="135" t="str">
        <f t="shared" si="41"/>
        <v>F</v>
      </c>
      <c r="CO35" s="135" t="str">
        <f>VLOOKUP(RANK(CM35,$CM$10:$CM$109),Sheet1!$A$381:$B$480,2,FALSE)</f>
        <v>1st</v>
      </c>
      <c r="CP35" s="137"/>
      <c r="CQ35" s="137"/>
      <c r="CR35" s="137">
        <f t="shared" si="42"/>
        <v>0</v>
      </c>
      <c r="CS35" s="137">
        <f t="shared" si="43"/>
        <v>0</v>
      </c>
      <c r="CT35" s="135" t="str">
        <f t="shared" si="44"/>
        <v>F</v>
      </c>
      <c r="CU35" s="135" t="str">
        <f>VLOOKUP(RANK(CS35,$CS$10:$CS$109),Sheet1!$A$381:$B$480,2,FALSE)</f>
        <v>1st</v>
      </c>
      <c r="CV35" s="151"/>
      <c r="CW35" s="135"/>
      <c r="CX35" s="151">
        <f t="shared" si="192"/>
        <v>0</v>
      </c>
      <c r="CY35" s="151">
        <f t="shared" si="193"/>
        <v>0</v>
      </c>
      <c r="CZ35" s="135" t="str">
        <f t="shared" si="45"/>
        <v>F</v>
      </c>
      <c r="DA35" s="135" t="str">
        <f>VLOOKUP(RANK(CY35,$CY$10:$CY$109),Sheet1!$A$381:$B$480,2,FALSE)</f>
        <v>1st</v>
      </c>
      <c r="DB35" s="135"/>
      <c r="DC35" s="151">
        <f t="shared" si="194"/>
        <v>746</v>
      </c>
      <c r="DD35" s="151">
        <f t="shared" si="195"/>
        <v>43.882352941176499</v>
      </c>
      <c r="DE35" s="135" t="str">
        <f>VLOOKUP(RANK(DD35,$DD$10:$DD$109),Sheet1!$A$381:$B$480,2,FALSE)</f>
        <v>12th</v>
      </c>
      <c r="DF35" s="137"/>
      <c r="DG35" s="160">
        <f t="shared" si="46"/>
        <v>789.88235294117601</v>
      </c>
      <c r="DH35" s="119"/>
      <c r="DI35" s="162">
        <v>18</v>
      </c>
      <c r="DJ35" s="162">
        <v>51</v>
      </c>
      <c r="DK35" s="137">
        <f t="shared" si="47"/>
        <v>69</v>
      </c>
      <c r="DL35" s="137" t="str">
        <f t="shared" si="48"/>
        <v>64</v>
      </c>
      <c r="DM35" s="137">
        <f t="shared" si="49"/>
        <v>133</v>
      </c>
      <c r="DN35" s="137">
        <f t="shared" si="50"/>
        <v>66.5</v>
      </c>
      <c r="DO35" s="135" t="str">
        <f t="shared" si="51"/>
        <v>B</v>
      </c>
      <c r="DP35" s="135" t="str">
        <f>VLOOKUP(RANK(DN35,$DN$10:$DN$109),Sheet1!$A$381:$B$480,2,FALSE)</f>
        <v>50th</v>
      </c>
      <c r="DQ35" s="164">
        <v>28</v>
      </c>
      <c r="DR35" s="165">
        <v>30</v>
      </c>
      <c r="DS35" s="137">
        <f t="shared" si="52"/>
        <v>58</v>
      </c>
      <c r="DT35" s="137" t="str">
        <f t="shared" si="53"/>
        <v>50</v>
      </c>
      <c r="DU35" s="137">
        <f t="shared" si="54"/>
        <v>108</v>
      </c>
      <c r="DV35" s="137">
        <f t="shared" si="55"/>
        <v>54</v>
      </c>
      <c r="DW35" s="135" t="str">
        <f t="shared" si="56"/>
        <v>C</v>
      </c>
      <c r="DX35" s="135" t="str">
        <f>VLOOKUP(RANK(DV35,$DV$10:$DV$109),Sheet1!$A$381:$B$480,2,FALSE)</f>
        <v>28th</v>
      </c>
      <c r="DY35" s="167">
        <v>35</v>
      </c>
      <c r="DZ35" s="165">
        <v>28</v>
      </c>
      <c r="EA35" s="137">
        <f t="shared" si="57"/>
        <v>63</v>
      </c>
      <c r="EB35" s="137" t="str">
        <f t="shared" si="58"/>
        <v>41</v>
      </c>
      <c r="EC35" s="137">
        <f t="shared" si="59"/>
        <v>104</v>
      </c>
      <c r="ED35" s="137">
        <f t="shared" si="60"/>
        <v>52</v>
      </c>
      <c r="EE35" s="135" t="str">
        <f t="shared" si="61"/>
        <v>C</v>
      </c>
      <c r="EF35" s="135" t="str">
        <f>VLOOKUP(RANK(ED35,$ED$10:$ED$109),Sheet1!$A$381:$B$480,2,FALSE)</f>
        <v>32nd</v>
      </c>
      <c r="EG35" s="162">
        <v>26</v>
      </c>
      <c r="EH35" s="162">
        <v>40</v>
      </c>
      <c r="EI35" s="137">
        <f t="shared" si="62"/>
        <v>66</v>
      </c>
      <c r="EJ35" s="137" t="str">
        <f t="shared" si="63"/>
        <v>71</v>
      </c>
      <c r="EK35" s="137">
        <f t="shared" si="64"/>
        <v>137</v>
      </c>
      <c r="EL35" s="137">
        <f t="shared" si="65"/>
        <v>68.5</v>
      </c>
      <c r="EM35" s="135" t="str">
        <f t="shared" si="66"/>
        <v>B</v>
      </c>
      <c r="EN35" s="135" t="str">
        <f>VLOOKUP(RANK(EL35,$EL$10:$EL$109),Sheet1!$A$381:$B$480,2,FALSE)</f>
        <v>17th</v>
      </c>
      <c r="EO35" s="162">
        <v>27</v>
      </c>
      <c r="EP35" s="162">
        <v>36</v>
      </c>
      <c r="EQ35" s="137">
        <f t="shared" si="67"/>
        <v>63</v>
      </c>
      <c r="ER35" s="137" t="str">
        <f t="shared" si="68"/>
        <v>91</v>
      </c>
      <c r="ES35" s="137">
        <f t="shared" si="69"/>
        <v>154</v>
      </c>
      <c r="ET35" s="137">
        <f t="shared" si="70"/>
        <v>77</v>
      </c>
      <c r="EU35" s="135" t="str">
        <f t="shared" si="71"/>
        <v>A</v>
      </c>
      <c r="EV35" s="135" t="str">
        <f>VLOOKUP(RANK(ET35,$ET$10:$ET$109),Sheet1!$A$381:$B$480,2,FALSE)</f>
        <v>7th</v>
      </c>
      <c r="EW35" s="137"/>
      <c r="EX35" s="137"/>
      <c r="EY35" s="137">
        <f t="shared" si="72"/>
        <v>0</v>
      </c>
      <c r="EZ35" s="137" t="str">
        <f t="shared" si="73"/>
        <v>0</v>
      </c>
      <c r="FA35" s="137">
        <f t="shared" si="74"/>
        <v>0</v>
      </c>
      <c r="FB35" s="137">
        <f t="shared" si="75"/>
        <v>0</v>
      </c>
      <c r="FC35" s="135" t="str">
        <f t="shared" si="76"/>
        <v>F</v>
      </c>
      <c r="FD35" s="135" t="str">
        <f>VLOOKUP(RANK(FB35,$FB$10:$FB$109),Sheet1!$A$381:$B$480,2,FALSE)</f>
        <v>1st</v>
      </c>
      <c r="FE35" s="137"/>
      <c r="FF35" s="137"/>
      <c r="FG35" s="137">
        <f t="shared" si="77"/>
        <v>0</v>
      </c>
      <c r="FH35" s="137" t="str">
        <f t="shared" si="78"/>
        <v>0</v>
      </c>
      <c r="FI35" s="137">
        <f t="shared" si="79"/>
        <v>0</v>
      </c>
      <c r="FJ35" s="137">
        <f t="shared" si="80"/>
        <v>0</v>
      </c>
      <c r="FK35" s="135" t="str">
        <f t="shared" si="81"/>
        <v>F</v>
      </c>
      <c r="FL35" s="135" t="str">
        <f>VLOOKUP(RANK(FJ35,$FJ$10:$FJ$109),Sheet1!$A$381:$B$480,2,FALSE)</f>
        <v>1st</v>
      </c>
      <c r="FM35" s="164">
        <v>30</v>
      </c>
      <c r="FN35" s="165">
        <v>47</v>
      </c>
      <c r="FO35" s="137">
        <f t="shared" si="82"/>
        <v>77</v>
      </c>
      <c r="FP35" s="137" t="str">
        <f t="shared" si="83"/>
        <v>70</v>
      </c>
      <c r="FQ35" s="137">
        <f t="shared" si="84"/>
        <v>147</v>
      </c>
      <c r="FR35" s="137">
        <f t="shared" si="85"/>
        <v>73.5</v>
      </c>
      <c r="FS35" s="135" t="str">
        <f t="shared" si="86"/>
        <v>B</v>
      </c>
      <c r="FT35" s="135" t="str">
        <f>VLOOKUP(RANK(FR35,$FR$10:$FR$109),Sheet1!$A$381:$B$480,2,FALSE)</f>
        <v>2nd</v>
      </c>
      <c r="FU35" s="148">
        <v>27</v>
      </c>
      <c r="FV35" s="150">
        <v>20</v>
      </c>
      <c r="FW35" s="137">
        <f t="shared" si="87"/>
        <v>47</v>
      </c>
      <c r="FX35" s="137" t="str">
        <f t="shared" si="88"/>
        <v>76</v>
      </c>
      <c r="FY35" s="137">
        <f t="shared" si="196"/>
        <v>47</v>
      </c>
      <c r="FZ35" s="137">
        <f t="shared" si="89"/>
        <v>23.5</v>
      </c>
      <c r="GA35" s="135" t="str">
        <f t="shared" si="90"/>
        <v>F</v>
      </c>
      <c r="GB35" s="135" t="str">
        <f>VLOOKUP(RANK(FZ35,$FZ$10:$FZ$109),Sheet1!$A$381:$B$480,2,FALSE)</f>
        <v>57th</v>
      </c>
      <c r="GC35" s="164">
        <v>24</v>
      </c>
      <c r="GD35" s="165">
        <v>27</v>
      </c>
      <c r="GE35" s="137">
        <f t="shared" si="91"/>
        <v>51</v>
      </c>
      <c r="GF35" s="137" t="str">
        <f t="shared" si="92"/>
        <v>44</v>
      </c>
      <c r="GG35" s="135">
        <f t="shared" si="197"/>
        <v>95</v>
      </c>
      <c r="GH35" s="137">
        <f t="shared" si="198"/>
        <v>47.5</v>
      </c>
      <c r="GI35" s="135" t="str">
        <f t="shared" si="93"/>
        <v>D</v>
      </c>
      <c r="GJ35" s="135" t="str">
        <f>VLOOKUP(RANK(GH35,$GH$10:$GH$109),Sheet1!$A$381:$B$480,2,FALSE)</f>
        <v>20th</v>
      </c>
      <c r="GK35" s="164">
        <v>26</v>
      </c>
      <c r="GL35" s="165">
        <v>18</v>
      </c>
      <c r="GM35" s="137">
        <f t="shared" si="94"/>
        <v>44</v>
      </c>
      <c r="GN35" s="137" t="str">
        <f t="shared" si="95"/>
        <v>52</v>
      </c>
      <c r="GO35" s="135">
        <f t="shared" si="199"/>
        <v>96</v>
      </c>
      <c r="GP35" s="137">
        <f t="shared" si="96"/>
        <v>48</v>
      </c>
      <c r="GQ35" s="135" t="str">
        <f t="shared" si="97"/>
        <v>D</v>
      </c>
      <c r="GR35" s="135" t="str">
        <f>VLOOKUP(RANK(GP35,$GP$10:$GP$109),Sheet1!$A$381:$B$480,2,FALSE)</f>
        <v>45th</v>
      </c>
      <c r="GS35" s="164">
        <v>35</v>
      </c>
      <c r="GT35" s="165">
        <v>51</v>
      </c>
      <c r="GU35" s="137">
        <f t="shared" si="98"/>
        <v>86</v>
      </c>
      <c r="GV35" s="137" t="str">
        <f t="shared" si="99"/>
        <v>75</v>
      </c>
      <c r="GW35" s="137">
        <f t="shared" si="100"/>
        <v>161</v>
      </c>
      <c r="GX35" s="137">
        <f t="shared" si="101"/>
        <v>80.5</v>
      </c>
      <c r="GY35" s="135" t="str">
        <f t="shared" si="102"/>
        <v>A</v>
      </c>
      <c r="GZ35" s="135" t="str">
        <f>VLOOKUP(RANK(GX35,$GX$10:$GX$109),Sheet1!$A$381:$B$480,2,FALSE)</f>
        <v>1st</v>
      </c>
      <c r="HA35" s="164">
        <v>31</v>
      </c>
      <c r="HB35" s="165">
        <v>16</v>
      </c>
      <c r="HC35" s="137">
        <f t="shared" si="103"/>
        <v>47</v>
      </c>
      <c r="HD35" s="137" t="str">
        <f t="shared" si="104"/>
        <v>42</v>
      </c>
      <c r="HE35" s="137">
        <f t="shared" si="105"/>
        <v>89</v>
      </c>
      <c r="HF35" s="137">
        <f t="shared" si="106"/>
        <v>44.5</v>
      </c>
      <c r="HG35" s="135" t="str">
        <f t="shared" si="107"/>
        <v>D</v>
      </c>
      <c r="HH35" s="135" t="str">
        <f>VLOOKUP(RANK(HF35,$HF$10:$HF$109),Sheet1!$A$381:$B$480,2,FALSE)</f>
        <v>26th</v>
      </c>
      <c r="HI35" s="148">
        <v>28</v>
      </c>
      <c r="HJ35" s="150">
        <v>45</v>
      </c>
      <c r="HK35" s="137">
        <f t="shared" si="108"/>
        <v>73</v>
      </c>
      <c r="HL35" s="137" t="str">
        <f t="shared" si="109"/>
        <v>70</v>
      </c>
      <c r="HM35" s="137">
        <f t="shared" si="110"/>
        <v>143</v>
      </c>
      <c r="HN35" s="137">
        <f t="shared" si="111"/>
        <v>71.5</v>
      </c>
      <c r="HO35" s="135" t="str">
        <f t="shared" si="112"/>
        <v>B</v>
      </c>
      <c r="HP35" s="135" t="str">
        <f>VLOOKUP(RANK(HN35,$HN$10:$HN$109),Sheet1!$A$381:$B$480,2,FALSE)</f>
        <v>21st</v>
      </c>
      <c r="HQ35" s="137"/>
      <c r="HR35" s="137"/>
      <c r="HS35" s="137">
        <f t="shared" si="113"/>
        <v>0</v>
      </c>
      <c r="HT35" s="137" t="str">
        <f t="shared" si="114"/>
        <v>0</v>
      </c>
      <c r="HU35" s="137">
        <f t="shared" si="115"/>
        <v>0</v>
      </c>
      <c r="HV35" s="137">
        <f t="shared" si="116"/>
        <v>0</v>
      </c>
      <c r="HW35" s="135" t="str">
        <f t="shared" si="117"/>
        <v>F</v>
      </c>
      <c r="HX35" s="135" t="str">
        <f>VLOOKUP(RANK(HV35,$HV$10:$HV$109),Sheet1!$A$381:$B$480,2,FALSE)</f>
        <v>1st</v>
      </c>
      <c r="HY35" s="137"/>
      <c r="HZ35" s="137"/>
      <c r="IA35" s="137">
        <f t="shared" si="118"/>
        <v>0</v>
      </c>
      <c r="IB35" s="137" t="str">
        <f t="shared" si="119"/>
        <v>0</v>
      </c>
      <c r="IC35" s="137">
        <f t="shared" si="120"/>
        <v>0</v>
      </c>
      <c r="ID35" s="137">
        <f t="shared" si="121"/>
        <v>0</v>
      </c>
      <c r="IE35" s="135" t="str">
        <f t="shared" si="122"/>
        <v>F</v>
      </c>
      <c r="IF35" s="135" t="str">
        <f>VLOOKUP(RANK(ID35,$ID$10:$ID$109),Sheet1!$A$381:$B$480,2,FALSE)</f>
        <v>1st</v>
      </c>
      <c r="IG35" s="135"/>
      <c r="IH35" s="135"/>
      <c r="II35" s="135">
        <f t="shared" si="200"/>
        <v>0</v>
      </c>
      <c r="IJ35" s="135" t="str">
        <f t="shared" si="201"/>
        <v>0</v>
      </c>
      <c r="IK35" s="135">
        <f t="shared" si="202"/>
        <v>0</v>
      </c>
      <c r="IL35" s="135">
        <f t="shared" si="203"/>
        <v>0</v>
      </c>
      <c r="IM35" s="135" t="str">
        <f t="shared" si="123"/>
        <v>F</v>
      </c>
      <c r="IN35" s="135" t="str">
        <f>VLOOKUP(RANK(IL35,$IL$10:$IL$109),Sheet1!$A$381:$B$480,2,FALSE)</f>
        <v>1st</v>
      </c>
      <c r="IO35" s="135">
        <f t="shared" si="204"/>
        <v>707</v>
      </c>
      <c r="IP35" s="177">
        <f t="shared" si="205"/>
        <v>41.588235294117602</v>
      </c>
      <c r="IQ35" s="135" t="str">
        <f>VLOOKUP(RANK(IP35,$IP$10:$IP$109),Sheet1!$A$381:$B$480,2,FALSE)</f>
        <v>11th</v>
      </c>
      <c r="IR35" s="178"/>
      <c r="IS35" s="137"/>
      <c r="IT35" s="137"/>
      <c r="IU35" s="137"/>
      <c r="IV35" s="137"/>
      <c r="IW35" s="181"/>
      <c r="IX35" s="184"/>
      <c r="IY35" s="186"/>
      <c r="IZ35" s="186">
        <f t="shared" si="206"/>
        <v>0</v>
      </c>
      <c r="JA35" s="186" t="str">
        <f t="shared" si="124"/>
        <v>64</v>
      </c>
      <c r="JB35" s="186" t="str">
        <f t="shared" si="125"/>
        <v>69</v>
      </c>
      <c r="JC35" s="186">
        <f t="shared" si="207"/>
        <v>133</v>
      </c>
      <c r="JD35" s="186">
        <f t="shared" si="208"/>
        <v>44.3333333333333</v>
      </c>
      <c r="JE35" s="135" t="str">
        <f t="shared" si="126"/>
        <v>D</v>
      </c>
      <c r="JF35" s="151" t="str">
        <f>VLOOKUP(RANK(JD35,$JD$10:$JD$109),Sheet1!$A$381:$B$480,2,FALSE)</f>
        <v>50th</v>
      </c>
      <c r="JG35" s="186"/>
      <c r="JH35" s="186"/>
      <c r="JI35" s="186">
        <f t="shared" si="127"/>
        <v>0</v>
      </c>
      <c r="JJ35" s="186" t="str">
        <f t="shared" si="128"/>
        <v>50</v>
      </c>
      <c r="JK35" s="186" t="str">
        <f t="shared" si="129"/>
        <v>58</v>
      </c>
      <c r="JL35" s="186">
        <f t="shared" si="209"/>
        <v>108</v>
      </c>
      <c r="JM35" s="186">
        <f t="shared" si="210"/>
        <v>36</v>
      </c>
      <c r="JN35" s="135" t="str">
        <f t="shared" si="130"/>
        <v>E</v>
      </c>
      <c r="JO35" s="151" t="str">
        <f>VLOOKUP(RANK(JM35,$JM$10:$JM$109),Sheet1!$A$381:$B$480,2,FALSE)</f>
        <v>28th</v>
      </c>
      <c r="JP35" s="186"/>
      <c r="JQ35" s="186"/>
      <c r="JR35" s="186">
        <f t="shared" si="131"/>
        <v>0</v>
      </c>
      <c r="JS35" s="186" t="str">
        <f t="shared" si="132"/>
        <v>41</v>
      </c>
      <c r="JT35" s="186" t="str">
        <f t="shared" si="133"/>
        <v>63</v>
      </c>
      <c r="JU35" s="186">
        <f t="shared" si="211"/>
        <v>104</v>
      </c>
      <c r="JV35" s="186">
        <f t="shared" si="212"/>
        <v>34.6666666666667</v>
      </c>
      <c r="JW35" s="135" t="str">
        <f t="shared" si="134"/>
        <v>F</v>
      </c>
      <c r="JX35" s="151" t="str">
        <f>VLOOKUP(RANK(JV35,$JV$10:$JV$109),Sheet1!$A$381:$B$480,2,FALSE)</f>
        <v>32nd</v>
      </c>
      <c r="JY35" s="186"/>
      <c r="JZ35" s="186"/>
      <c r="KA35" s="186">
        <f t="shared" si="135"/>
        <v>0</v>
      </c>
      <c r="KB35" s="186" t="str">
        <f t="shared" si="136"/>
        <v>71</v>
      </c>
      <c r="KC35" s="186" t="str">
        <f t="shared" si="137"/>
        <v>66</v>
      </c>
      <c r="KD35" s="186">
        <f t="shared" si="213"/>
        <v>137</v>
      </c>
      <c r="KE35" s="186">
        <f t="shared" si="214"/>
        <v>45.6666666666667</v>
      </c>
      <c r="KF35" s="135" t="str">
        <f t="shared" si="138"/>
        <v>D</v>
      </c>
      <c r="KG35" s="151" t="str">
        <f>VLOOKUP(RANK(KE35,$KE$10:$KE$109),Sheet1!$A$381:$B$480,2,FALSE)</f>
        <v>17th</v>
      </c>
      <c r="KH35" s="186"/>
      <c r="KI35" s="186"/>
      <c r="KJ35" s="186">
        <f t="shared" si="139"/>
        <v>0</v>
      </c>
      <c r="KK35" s="186" t="str">
        <f t="shared" si="140"/>
        <v>91</v>
      </c>
      <c r="KL35" s="186" t="str">
        <f t="shared" si="141"/>
        <v>63</v>
      </c>
      <c r="KM35" s="186">
        <f t="shared" si="215"/>
        <v>154</v>
      </c>
      <c r="KN35" s="186">
        <f t="shared" si="216"/>
        <v>51.3333333333333</v>
      </c>
      <c r="KO35" s="135" t="str">
        <f t="shared" si="142"/>
        <v>C</v>
      </c>
      <c r="KP35" s="151" t="str">
        <f>VLOOKUP(RANK(KN35,$KN$10:$KN$109),Sheet1!$A$381:$B$480,2,FALSE)</f>
        <v>7th</v>
      </c>
      <c r="KQ35" s="186"/>
      <c r="KR35" s="186"/>
      <c r="KS35" s="186">
        <f t="shared" si="143"/>
        <v>0</v>
      </c>
      <c r="KT35" s="186" t="str">
        <f t="shared" si="144"/>
        <v>0</v>
      </c>
      <c r="KU35" s="186" t="str">
        <f t="shared" si="145"/>
        <v>0</v>
      </c>
      <c r="KV35" s="186">
        <f t="shared" si="217"/>
        <v>0</v>
      </c>
      <c r="KW35" s="186">
        <f t="shared" si="218"/>
        <v>0</v>
      </c>
      <c r="KX35" s="135" t="str">
        <f t="shared" si="146"/>
        <v>F</v>
      </c>
      <c r="KY35" s="151" t="str">
        <f>VLOOKUP(RANK(KW35,$KW$10:$KW$109),Sheet1!$A$381:$B$480,2,FALSE)</f>
        <v>1st</v>
      </c>
      <c r="KZ35" s="186"/>
      <c r="LA35" s="186"/>
      <c r="LB35" s="186">
        <f t="shared" si="147"/>
        <v>0</v>
      </c>
      <c r="LC35" s="186" t="str">
        <f t="shared" si="148"/>
        <v>0</v>
      </c>
      <c r="LD35" s="186" t="str">
        <f t="shared" si="149"/>
        <v>0</v>
      </c>
      <c r="LE35" s="186">
        <f t="shared" si="219"/>
        <v>0</v>
      </c>
      <c r="LF35" s="186">
        <f t="shared" si="220"/>
        <v>0</v>
      </c>
      <c r="LG35" s="135" t="str">
        <f t="shared" si="150"/>
        <v>F</v>
      </c>
      <c r="LH35" s="151" t="str">
        <f>VLOOKUP(RANK(LF35,$LF$10:$LF$109),Sheet1!$A$381:$B$480,2,FALSE)</f>
        <v>1st</v>
      </c>
      <c r="LI35" s="186"/>
      <c r="LJ35" s="186"/>
      <c r="LK35" s="186">
        <f t="shared" si="151"/>
        <v>0</v>
      </c>
      <c r="LL35" s="186" t="str">
        <f t="shared" si="152"/>
        <v>70</v>
      </c>
      <c r="LM35" s="186" t="str">
        <f t="shared" si="153"/>
        <v>77</v>
      </c>
      <c r="LN35" s="186">
        <f t="shared" si="221"/>
        <v>147</v>
      </c>
      <c r="LO35" s="186">
        <f t="shared" si="222"/>
        <v>49</v>
      </c>
      <c r="LP35" s="135" t="str">
        <f t="shared" si="154"/>
        <v>D</v>
      </c>
      <c r="LQ35" s="151" t="str">
        <f>VLOOKUP(RANK(LO35,$LO$10:$LO$109),Sheet1!$A$381:$B$480,2,FALSE)</f>
        <v>2nd</v>
      </c>
      <c r="LR35" s="186"/>
      <c r="LS35" s="186"/>
      <c r="LT35" s="186">
        <f t="shared" si="155"/>
        <v>0</v>
      </c>
      <c r="LU35" s="186" t="str">
        <f t="shared" si="156"/>
        <v>76</v>
      </c>
      <c r="LV35" s="186" t="str">
        <f t="shared" si="157"/>
        <v>47</v>
      </c>
      <c r="LW35" s="186">
        <f t="shared" si="223"/>
        <v>123</v>
      </c>
      <c r="LX35" s="186">
        <f t="shared" si="224"/>
        <v>41</v>
      </c>
      <c r="LY35" s="135" t="str">
        <f t="shared" si="158"/>
        <v>D</v>
      </c>
      <c r="LZ35" s="151" t="str">
        <f>VLOOKUP(RANK(LX35,$LX$10:$LX$109),Sheet1!$A$381:$B$480,2,FALSE)</f>
        <v>16th</v>
      </c>
      <c r="MA35" s="186"/>
      <c r="MB35" s="186"/>
      <c r="MC35" s="186">
        <f t="shared" si="159"/>
        <v>0</v>
      </c>
      <c r="MD35" s="186" t="str">
        <f t="shared" si="160"/>
        <v>44</v>
      </c>
      <c r="ME35" s="186" t="str">
        <f t="shared" si="161"/>
        <v>51</v>
      </c>
      <c r="MF35" s="183">
        <f t="shared" si="225"/>
        <v>95</v>
      </c>
      <c r="MG35" s="151">
        <f t="shared" si="226"/>
        <v>31.6666666666667</v>
      </c>
      <c r="MH35" s="135" t="str">
        <f t="shared" si="162"/>
        <v>F</v>
      </c>
      <c r="MI35" s="151" t="str">
        <f>VLOOKUP(RANK(MG35,$MG$10:$MG$109),Sheet1!$A$381:$B$480,2,FALSE)</f>
        <v>20th</v>
      </c>
      <c r="MJ35" s="186"/>
      <c r="MK35" s="186"/>
      <c r="ML35" s="186">
        <f t="shared" si="163"/>
        <v>0</v>
      </c>
      <c r="MM35" s="186" t="str">
        <f t="shared" si="164"/>
        <v>52</v>
      </c>
      <c r="MN35" s="186" t="str">
        <f t="shared" si="165"/>
        <v>44</v>
      </c>
      <c r="MO35" s="186">
        <f t="shared" si="227"/>
        <v>96</v>
      </c>
      <c r="MP35" s="186">
        <f t="shared" si="228"/>
        <v>32</v>
      </c>
      <c r="MQ35" s="135" t="str">
        <f t="shared" si="166"/>
        <v>F</v>
      </c>
      <c r="MR35" s="151" t="str">
        <f>VLOOKUP(RANK(MP35,$MP$10:$MP$109),Sheet1!$A$381:$B$480,2,FALSE)</f>
        <v>45th</v>
      </c>
      <c r="MS35" s="186"/>
      <c r="MT35" s="186"/>
      <c r="MU35" s="186">
        <f t="shared" si="167"/>
        <v>0</v>
      </c>
      <c r="MV35" s="186" t="str">
        <f t="shared" si="168"/>
        <v>75</v>
      </c>
      <c r="MW35" s="186" t="str">
        <f t="shared" si="169"/>
        <v>86</v>
      </c>
      <c r="MX35" s="186">
        <f t="shared" si="229"/>
        <v>161</v>
      </c>
      <c r="MY35" s="186">
        <f t="shared" si="230"/>
        <v>53.6666666666667</v>
      </c>
      <c r="MZ35" s="135" t="str">
        <f t="shared" si="170"/>
        <v>C</v>
      </c>
      <c r="NA35" s="151" t="str">
        <f>VLOOKUP(RANK(MY35,$MY$10:$MY$109),Sheet1!$A$381:$B$480,2,FALSE)</f>
        <v>1st</v>
      </c>
      <c r="NB35" s="186"/>
      <c r="NC35" s="186"/>
      <c r="ND35" s="186">
        <f t="shared" si="171"/>
        <v>0</v>
      </c>
      <c r="NE35" s="186" t="str">
        <f t="shared" si="172"/>
        <v>42</v>
      </c>
      <c r="NF35" s="186" t="str">
        <f t="shared" si="173"/>
        <v>47</v>
      </c>
      <c r="NG35" s="186">
        <f t="shared" si="231"/>
        <v>89</v>
      </c>
      <c r="NH35" s="186">
        <f t="shared" si="232"/>
        <v>29.6666666666667</v>
      </c>
      <c r="NI35" s="135" t="str">
        <f t="shared" si="174"/>
        <v>F</v>
      </c>
      <c r="NJ35" s="151" t="str">
        <f>VLOOKUP(RANK(NH35,$NH$10:$NH$109),Sheet1!$A$381:$B$480,2,FALSE)</f>
        <v>26th</v>
      </c>
      <c r="NK35" s="186"/>
      <c r="NL35" s="186"/>
      <c r="NM35" s="186">
        <f t="shared" si="175"/>
        <v>0</v>
      </c>
      <c r="NN35" s="186" t="str">
        <f t="shared" si="176"/>
        <v>70</v>
      </c>
      <c r="NO35" s="186" t="str">
        <f t="shared" si="177"/>
        <v>73</v>
      </c>
      <c r="NP35" s="186">
        <f t="shared" si="233"/>
        <v>143</v>
      </c>
      <c r="NQ35" s="186">
        <f t="shared" si="178"/>
        <v>47.6666666666667</v>
      </c>
      <c r="NR35" s="135" t="str">
        <f t="shared" si="179"/>
        <v>D</v>
      </c>
      <c r="NS35" s="151" t="str">
        <f>VLOOKUP(RANK(NQ35,$NQ$10:$NQ$109),Sheet1!$A$381:$B$480,2,FALSE)</f>
        <v>21st</v>
      </c>
      <c r="NT35" s="186"/>
      <c r="NU35" s="186"/>
      <c r="NV35" s="186">
        <f t="shared" si="180"/>
        <v>0</v>
      </c>
      <c r="NW35" s="186" t="str">
        <f t="shared" si="181"/>
        <v>0</v>
      </c>
      <c r="NX35" s="186" t="str">
        <f t="shared" si="182"/>
        <v>0</v>
      </c>
      <c r="NY35" s="186">
        <f t="shared" si="234"/>
        <v>0</v>
      </c>
      <c r="NZ35" s="186">
        <f t="shared" si="183"/>
        <v>0</v>
      </c>
      <c r="OA35" s="135" t="str">
        <f t="shared" si="184"/>
        <v>F</v>
      </c>
      <c r="OB35" s="151" t="str">
        <f>VLOOKUP(RANK(NZ35,$NZ$10:$NZ$109),Sheet1!$A$381:$B$480,2,FALSE)</f>
        <v>1st</v>
      </c>
      <c r="OC35" s="186"/>
      <c r="OD35" s="186"/>
      <c r="OE35" s="186">
        <f t="shared" si="185"/>
        <v>0</v>
      </c>
      <c r="OF35" s="186" t="str">
        <f t="shared" si="186"/>
        <v>0</v>
      </c>
      <c r="OG35" s="186" t="str">
        <f t="shared" si="187"/>
        <v>0</v>
      </c>
      <c r="OH35" s="186">
        <f t="shared" si="235"/>
        <v>0</v>
      </c>
      <c r="OI35" s="186">
        <f t="shared" si="236"/>
        <v>0</v>
      </c>
      <c r="OJ35" s="135" t="str">
        <f t="shared" si="188"/>
        <v>F</v>
      </c>
      <c r="OK35" s="151" t="str">
        <f>VLOOKUP(RANK(OI35,$OI$10:$OI$109),Sheet1!$A$381:$B$480,2,FALSE)</f>
        <v>1st</v>
      </c>
      <c r="OL35" s="151"/>
      <c r="OM35" s="151"/>
      <c r="ON35" s="151">
        <f t="shared" si="237"/>
        <v>0</v>
      </c>
      <c r="OO35" s="151" t="str">
        <f t="shared" si="238"/>
        <v>0</v>
      </c>
      <c r="OP35" s="151" t="str">
        <f t="shared" si="239"/>
        <v>0</v>
      </c>
      <c r="OQ35" s="151">
        <f t="shared" si="240"/>
        <v>0</v>
      </c>
      <c r="OR35" s="151">
        <f t="shared" si="241"/>
        <v>0</v>
      </c>
      <c r="OS35" s="135" t="str">
        <f t="shared" si="189"/>
        <v>F</v>
      </c>
      <c r="OT35" s="151" t="str">
        <f>VLOOKUP(RANK(OR35,$OI$10:$OI$109),Sheet1!$A$381:$B$480,2,FALSE)</f>
        <v>1st</v>
      </c>
      <c r="OU35" s="151">
        <f t="shared" si="242"/>
        <v>496.66666666666703</v>
      </c>
      <c r="OV35" s="151">
        <f t="shared" si="243"/>
        <v>29.2156862745098</v>
      </c>
      <c r="OW35" s="151" t="str">
        <f>VLOOKUP(RANK(OV35,$OV$10:$OV$109),Sheet1!$A$381:$B$480,2,FALSE)</f>
        <v>10th</v>
      </c>
      <c r="OX35" s="151"/>
      <c r="OY35" s="186"/>
      <c r="OZ35" s="186"/>
      <c r="PA35" s="186"/>
      <c r="PB35" s="186"/>
    </row>
    <row r="36" spans="1:418" s="118" customFormat="1" ht="18.75">
      <c r="A36" s="131">
        <v>27</v>
      </c>
      <c r="B36" s="132" t="s">
        <v>124</v>
      </c>
      <c r="C36" s="133" t="s">
        <v>97</v>
      </c>
      <c r="D36" s="136">
        <v>21</v>
      </c>
      <c r="E36" s="136">
        <v>39</v>
      </c>
      <c r="F36" s="137">
        <f t="shared" si="0"/>
        <v>60</v>
      </c>
      <c r="G36" s="137">
        <f t="shared" si="1"/>
        <v>60</v>
      </c>
      <c r="H36" s="135" t="str">
        <f t="shared" si="190"/>
        <v>B</v>
      </c>
      <c r="I36" s="135" t="str">
        <f>VLOOKUP(RANK(G36,$G$10:$G$109),Sheet1!$A$381:$B$480,2,FALSE)</f>
        <v>84th</v>
      </c>
      <c r="J36" s="136">
        <v>28</v>
      </c>
      <c r="K36" s="136">
        <v>20</v>
      </c>
      <c r="L36" s="137">
        <f t="shared" si="2"/>
        <v>48</v>
      </c>
      <c r="M36" s="137">
        <f t="shared" si="3"/>
        <v>48</v>
      </c>
      <c r="N36" s="135" t="str">
        <f t="shared" si="4"/>
        <v>D</v>
      </c>
      <c r="O36" s="141" t="str">
        <f>VLOOKUP(RANK(M36,$M$10:$M$109),Sheet1!$A$381:$B$480,2,FALSE)</f>
        <v>73rd</v>
      </c>
      <c r="P36" s="142">
        <v>30</v>
      </c>
      <c r="Q36" s="145">
        <v>25</v>
      </c>
      <c r="R36" s="147">
        <f t="shared" si="5"/>
        <v>55</v>
      </c>
      <c r="S36" s="137">
        <f t="shared" si="6"/>
        <v>55</v>
      </c>
      <c r="T36" s="135" t="str">
        <f t="shared" si="7"/>
        <v>C</v>
      </c>
      <c r="U36" s="135" t="str">
        <f>VLOOKUP(RANK(S36,$S$10:$S$109),Sheet1!$A$381:$B$480,2,FALSE)</f>
        <v>21st</v>
      </c>
      <c r="V36" s="136">
        <v>30</v>
      </c>
      <c r="W36" s="136">
        <v>34</v>
      </c>
      <c r="X36" s="137">
        <f t="shared" si="191"/>
        <v>64</v>
      </c>
      <c r="Y36" s="137">
        <f t="shared" si="244"/>
        <v>64</v>
      </c>
      <c r="Z36" s="135" t="str">
        <f t="shared" si="8"/>
        <v>B</v>
      </c>
      <c r="AA36" s="135" t="str">
        <f>VLOOKUP(RANK(Y36,$Y$10:$Y$109),Sheet1!$A$381:$B$480,2,FALSE)</f>
        <v>29th</v>
      </c>
      <c r="AB36" s="136">
        <v>30</v>
      </c>
      <c r="AC36" s="136">
        <v>34</v>
      </c>
      <c r="AD36" s="137">
        <f t="shared" si="9"/>
        <v>64</v>
      </c>
      <c r="AE36" s="137">
        <f t="shared" si="10"/>
        <v>64</v>
      </c>
      <c r="AF36" s="135" t="str">
        <f t="shared" si="11"/>
        <v>B</v>
      </c>
      <c r="AG36" s="135" t="str">
        <f>VLOOKUP(RANK(AE36,$AE$10:$AE$109),Sheet1!$A$381:$B$480,2,FALSE)</f>
        <v>43rd</v>
      </c>
      <c r="AH36" s="137"/>
      <c r="AI36" s="137"/>
      <c r="AJ36" s="137">
        <f t="shared" si="12"/>
        <v>0</v>
      </c>
      <c r="AK36" s="137">
        <f t="shared" si="13"/>
        <v>0</v>
      </c>
      <c r="AL36" s="135" t="str">
        <f t="shared" si="14"/>
        <v>F</v>
      </c>
      <c r="AM36" s="135" t="str">
        <f>VLOOKUP(RANK(AK36,$AK$10:$AK$109),Sheet1!$A$381:$B$480,2,FALSE)</f>
        <v>1st</v>
      </c>
      <c r="AN36" s="136"/>
      <c r="AO36" s="136"/>
      <c r="AP36" s="137">
        <f t="shared" si="15"/>
        <v>0</v>
      </c>
      <c r="AQ36" s="137">
        <f t="shared" si="16"/>
        <v>0</v>
      </c>
      <c r="AR36" s="135" t="str">
        <f t="shared" si="17"/>
        <v>F</v>
      </c>
      <c r="AS36" s="135" t="str">
        <f>VLOOKUP(RANK(AQ36,$AQ$10:$AQ$109),Sheet1!$A$381:$B$480,2,FALSE)</f>
        <v>1st</v>
      </c>
      <c r="AT36" s="142">
        <v>23</v>
      </c>
      <c r="AU36" s="145">
        <v>33</v>
      </c>
      <c r="AV36" s="137">
        <f t="shared" si="18"/>
        <v>56</v>
      </c>
      <c r="AW36" s="137">
        <f t="shared" si="19"/>
        <v>56</v>
      </c>
      <c r="AX36" s="135" t="str">
        <f t="shared" si="20"/>
        <v>C</v>
      </c>
      <c r="AY36" s="141" t="str">
        <f>VLOOKUP(RANK(AW36,$AW$10:$AW$109),Sheet1!$A$381:$B$480,2,FALSE)</f>
        <v>19th</v>
      </c>
      <c r="AZ36" s="142">
        <v>32</v>
      </c>
      <c r="BA36" s="145">
        <v>16</v>
      </c>
      <c r="BB36" s="147">
        <f t="shared" si="21"/>
        <v>48</v>
      </c>
      <c r="BC36" s="137">
        <f t="shared" si="22"/>
        <v>48</v>
      </c>
      <c r="BD36" s="135" t="str">
        <f t="shared" si="23"/>
        <v>D</v>
      </c>
      <c r="BE36" s="135" t="str">
        <f>VLOOKUP(RANK(BC36,$BC$10:$BC$109),Sheet1!$A$381:$B$480,2,FALSE)</f>
        <v>63rd</v>
      </c>
      <c r="BF36" s="142">
        <v>20</v>
      </c>
      <c r="BG36" s="145">
        <v>27</v>
      </c>
      <c r="BH36" s="137">
        <f t="shared" si="24"/>
        <v>47</v>
      </c>
      <c r="BI36" s="137">
        <f t="shared" si="25"/>
        <v>47</v>
      </c>
      <c r="BJ36" s="135" t="str">
        <f t="shared" si="26"/>
        <v>D</v>
      </c>
      <c r="BK36" s="141" t="str">
        <f>VLOOKUP(RANK(BI36,$BI$10:$BI$109),Sheet1!$A$381:$B$480,2,FALSE)</f>
        <v>19th</v>
      </c>
      <c r="BL36" s="148">
        <v>26</v>
      </c>
      <c r="BM36" s="150">
        <v>27</v>
      </c>
      <c r="BN36" s="147">
        <f t="shared" si="27"/>
        <v>53</v>
      </c>
      <c r="BO36" s="137">
        <f t="shared" si="28"/>
        <v>53</v>
      </c>
      <c r="BP36" s="135" t="str">
        <f t="shared" si="29"/>
        <v>C</v>
      </c>
      <c r="BQ36" s="141" t="str">
        <f>VLOOKUP(RANK(BO36,$BO$10:$BO$109),Sheet1!$A$381:$B$480,2,FALSE)</f>
        <v>36th</v>
      </c>
      <c r="BR36" s="148">
        <v>29</v>
      </c>
      <c r="BS36" s="150">
        <v>40</v>
      </c>
      <c r="BT36" s="147">
        <f t="shared" si="30"/>
        <v>69</v>
      </c>
      <c r="BU36" s="137">
        <f t="shared" si="31"/>
        <v>69</v>
      </c>
      <c r="BV36" s="135" t="str">
        <f t="shared" si="32"/>
        <v>B</v>
      </c>
      <c r="BW36" s="135" t="str">
        <f>VLOOKUP(RANK(BU36,$BU$10:$BU$109),Sheet1!$A$381:$B$480,2,FALSE)</f>
        <v>14th</v>
      </c>
      <c r="BX36" s="148">
        <v>27</v>
      </c>
      <c r="BY36" s="150">
        <v>10</v>
      </c>
      <c r="BZ36" s="137">
        <f t="shared" si="33"/>
        <v>37</v>
      </c>
      <c r="CA36" s="137">
        <f t="shared" si="34"/>
        <v>37</v>
      </c>
      <c r="CB36" s="135" t="str">
        <f t="shared" si="35"/>
        <v>E</v>
      </c>
      <c r="CC36" s="135" t="str">
        <f>VLOOKUP(RANK(CA36,$CA$10:$CA$109),Sheet1!$A$381:$B$480,2,FALSE)</f>
        <v>70th</v>
      </c>
      <c r="CD36" s="148">
        <v>35</v>
      </c>
      <c r="CE36" s="150">
        <v>45</v>
      </c>
      <c r="CF36" s="137">
        <f t="shared" si="36"/>
        <v>80</v>
      </c>
      <c r="CG36" s="137">
        <f t="shared" si="37"/>
        <v>80</v>
      </c>
      <c r="CH36" s="135" t="str">
        <f t="shared" si="38"/>
        <v>A</v>
      </c>
      <c r="CI36" s="135" t="str">
        <f>VLOOKUP(RANK(CG36,$CG$10:$CG$109),Sheet1!$A$381:$B$480,2,FALSE)</f>
        <v>6th</v>
      </c>
      <c r="CJ36" s="137"/>
      <c r="CK36" s="137"/>
      <c r="CL36" s="137">
        <f t="shared" si="39"/>
        <v>0</v>
      </c>
      <c r="CM36" s="137">
        <f t="shared" si="40"/>
        <v>0</v>
      </c>
      <c r="CN36" s="135" t="str">
        <f t="shared" si="41"/>
        <v>F</v>
      </c>
      <c r="CO36" s="135" t="str">
        <f>VLOOKUP(RANK(CM36,$CM$10:$CM$109),Sheet1!$A$381:$B$480,2,FALSE)</f>
        <v>1st</v>
      </c>
      <c r="CP36" s="137"/>
      <c r="CQ36" s="137"/>
      <c r="CR36" s="137">
        <f t="shared" si="42"/>
        <v>0</v>
      </c>
      <c r="CS36" s="137">
        <f t="shared" si="43"/>
        <v>0</v>
      </c>
      <c r="CT36" s="135" t="str">
        <f t="shared" si="44"/>
        <v>F</v>
      </c>
      <c r="CU36" s="135" t="str">
        <f>VLOOKUP(RANK(CS36,$CS$10:$CS$109),Sheet1!$A$381:$B$480,2,FALSE)</f>
        <v>1st</v>
      </c>
      <c r="CV36" s="151"/>
      <c r="CW36" s="135"/>
      <c r="CX36" s="151">
        <f t="shared" si="192"/>
        <v>0</v>
      </c>
      <c r="CY36" s="151">
        <f t="shared" si="193"/>
        <v>0</v>
      </c>
      <c r="CZ36" s="135" t="str">
        <f t="shared" si="45"/>
        <v>F</v>
      </c>
      <c r="DA36" s="135" t="str">
        <f>VLOOKUP(RANK(CY36,$CY$10:$CY$109),Sheet1!$A$381:$B$480,2,FALSE)</f>
        <v>1st</v>
      </c>
      <c r="DB36" s="135"/>
      <c r="DC36" s="151">
        <f t="shared" si="194"/>
        <v>681</v>
      </c>
      <c r="DD36" s="151">
        <f t="shared" si="195"/>
        <v>40.058823529411796</v>
      </c>
      <c r="DE36" s="135" t="str">
        <f>VLOOKUP(RANK(DD36,$DD$10:$DD$109),Sheet1!$A$381:$B$480,2,FALSE)</f>
        <v>27th</v>
      </c>
      <c r="DF36" s="137"/>
      <c r="DG36" s="160">
        <f t="shared" si="46"/>
        <v>721.05882352941205</v>
      </c>
      <c r="DH36" s="119"/>
      <c r="DI36" s="163">
        <v>24</v>
      </c>
      <c r="DJ36" s="163">
        <v>48</v>
      </c>
      <c r="DK36" s="137">
        <f t="shared" si="47"/>
        <v>72</v>
      </c>
      <c r="DL36" s="137" t="str">
        <f t="shared" si="48"/>
        <v>60</v>
      </c>
      <c r="DM36" s="137">
        <f t="shared" si="49"/>
        <v>132</v>
      </c>
      <c r="DN36" s="137">
        <f t="shared" si="50"/>
        <v>66</v>
      </c>
      <c r="DO36" s="135" t="str">
        <f t="shared" si="51"/>
        <v>B</v>
      </c>
      <c r="DP36" s="135" t="str">
        <f>VLOOKUP(RANK(DN36,$DN$10:$DN$109),Sheet1!$A$381:$B$480,2,FALSE)</f>
        <v>52nd</v>
      </c>
      <c r="DQ36" s="164">
        <v>29</v>
      </c>
      <c r="DR36" s="165">
        <v>22</v>
      </c>
      <c r="DS36" s="137">
        <f t="shared" si="52"/>
        <v>51</v>
      </c>
      <c r="DT36" s="137" t="str">
        <f t="shared" si="53"/>
        <v>48</v>
      </c>
      <c r="DU36" s="137">
        <f t="shared" si="54"/>
        <v>99</v>
      </c>
      <c r="DV36" s="137">
        <f t="shared" si="55"/>
        <v>49.5</v>
      </c>
      <c r="DW36" s="135" t="str">
        <f t="shared" si="56"/>
        <v>D</v>
      </c>
      <c r="DX36" s="135" t="str">
        <f>VLOOKUP(RANK(DV36,$DV$10:$DV$109),Sheet1!$A$381:$B$480,2,FALSE)</f>
        <v>45th</v>
      </c>
      <c r="DY36" s="167">
        <v>33</v>
      </c>
      <c r="DZ36" s="165">
        <v>27</v>
      </c>
      <c r="EA36" s="137">
        <f t="shared" si="57"/>
        <v>60</v>
      </c>
      <c r="EB36" s="137" t="str">
        <f t="shared" si="58"/>
        <v>55</v>
      </c>
      <c r="EC36" s="137">
        <f t="shared" si="59"/>
        <v>115</v>
      </c>
      <c r="ED36" s="137">
        <f t="shared" si="60"/>
        <v>57.5</v>
      </c>
      <c r="EE36" s="135" t="str">
        <f t="shared" si="61"/>
        <v>C</v>
      </c>
      <c r="EF36" s="135" t="str">
        <f>VLOOKUP(RANK(ED36,$ED$10:$ED$109),Sheet1!$A$381:$B$480,2,FALSE)</f>
        <v>15th</v>
      </c>
      <c r="EG36" s="163">
        <v>21</v>
      </c>
      <c r="EH36" s="163">
        <v>35</v>
      </c>
      <c r="EI36" s="137">
        <f t="shared" si="62"/>
        <v>56</v>
      </c>
      <c r="EJ36" s="137" t="str">
        <f t="shared" si="63"/>
        <v>64</v>
      </c>
      <c r="EK36" s="137">
        <f t="shared" si="64"/>
        <v>120</v>
      </c>
      <c r="EL36" s="137">
        <f t="shared" si="65"/>
        <v>60</v>
      </c>
      <c r="EM36" s="135" t="str">
        <f t="shared" si="66"/>
        <v>B</v>
      </c>
      <c r="EN36" s="135" t="str">
        <f>VLOOKUP(RANK(EL36,$EL$10:$EL$109),Sheet1!$A$381:$B$480,2,FALSE)</f>
        <v>36th</v>
      </c>
      <c r="EO36" s="163">
        <v>24</v>
      </c>
      <c r="EP36" s="163">
        <v>26</v>
      </c>
      <c r="EQ36" s="137">
        <f t="shared" si="67"/>
        <v>50</v>
      </c>
      <c r="ER36" s="137" t="str">
        <f t="shared" si="68"/>
        <v>64</v>
      </c>
      <c r="ES36" s="137">
        <f t="shared" si="69"/>
        <v>114</v>
      </c>
      <c r="ET36" s="137">
        <f t="shared" si="70"/>
        <v>57</v>
      </c>
      <c r="EU36" s="135" t="str">
        <f t="shared" si="71"/>
        <v>C</v>
      </c>
      <c r="EV36" s="135" t="str">
        <f>VLOOKUP(RANK(ET36,$ET$10:$ET$109),Sheet1!$A$381:$B$480,2,FALSE)</f>
        <v>43rd</v>
      </c>
      <c r="EW36" s="137"/>
      <c r="EX36" s="137"/>
      <c r="EY36" s="137">
        <f t="shared" si="72"/>
        <v>0</v>
      </c>
      <c r="EZ36" s="137" t="str">
        <f t="shared" si="73"/>
        <v>0</v>
      </c>
      <c r="FA36" s="137">
        <f t="shared" si="74"/>
        <v>0</v>
      </c>
      <c r="FB36" s="137">
        <f t="shared" si="75"/>
        <v>0</v>
      </c>
      <c r="FC36" s="135" t="str">
        <f t="shared" si="76"/>
        <v>F</v>
      </c>
      <c r="FD36" s="135" t="str">
        <f>VLOOKUP(RANK(FB36,$FB$10:$FB$109),Sheet1!$A$381:$B$480,2,FALSE)</f>
        <v>1st</v>
      </c>
      <c r="FE36" s="137"/>
      <c r="FF36" s="137"/>
      <c r="FG36" s="137">
        <f t="shared" si="77"/>
        <v>0</v>
      </c>
      <c r="FH36" s="137" t="str">
        <f t="shared" si="78"/>
        <v>0</v>
      </c>
      <c r="FI36" s="137">
        <f t="shared" si="79"/>
        <v>0</v>
      </c>
      <c r="FJ36" s="137">
        <f t="shared" si="80"/>
        <v>0</v>
      </c>
      <c r="FK36" s="135" t="str">
        <f t="shared" si="81"/>
        <v>F</v>
      </c>
      <c r="FL36" s="135" t="str">
        <f>VLOOKUP(RANK(FJ36,$FJ$10:$FJ$109),Sheet1!$A$381:$B$480,2,FALSE)</f>
        <v>1st</v>
      </c>
      <c r="FM36" s="164">
        <v>27</v>
      </c>
      <c r="FN36" s="165">
        <v>27</v>
      </c>
      <c r="FO36" s="137">
        <f t="shared" si="82"/>
        <v>54</v>
      </c>
      <c r="FP36" s="137" t="str">
        <f t="shared" si="83"/>
        <v>56</v>
      </c>
      <c r="FQ36" s="137">
        <f t="shared" si="84"/>
        <v>110</v>
      </c>
      <c r="FR36" s="137">
        <f t="shared" si="85"/>
        <v>55</v>
      </c>
      <c r="FS36" s="135" t="str">
        <f t="shared" si="86"/>
        <v>C</v>
      </c>
      <c r="FT36" s="135" t="str">
        <f>VLOOKUP(RANK(FR36,$FR$10:$FR$109),Sheet1!$A$381:$B$480,2,FALSE)</f>
        <v>23rd</v>
      </c>
      <c r="FU36" s="148">
        <v>28</v>
      </c>
      <c r="FV36" s="150">
        <v>29</v>
      </c>
      <c r="FW36" s="137">
        <f t="shared" si="87"/>
        <v>57</v>
      </c>
      <c r="FX36" s="137" t="str">
        <f t="shared" si="88"/>
        <v>48</v>
      </c>
      <c r="FY36" s="137">
        <f t="shared" si="196"/>
        <v>57</v>
      </c>
      <c r="FZ36" s="137">
        <f t="shared" si="89"/>
        <v>28.5</v>
      </c>
      <c r="GA36" s="135" t="str">
        <f t="shared" si="90"/>
        <v>F</v>
      </c>
      <c r="GB36" s="135" t="str">
        <f>VLOOKUP(RANK(FZ36,$FZ$10:$FZ$109),Sheet1!$A$381:$B$480,2,FALSE)</f>
        <v>33rd</v>
      </c>
      <c r="GC36" s="164">
        <v>31</v>
      </c>
      <c r="GD36" s="165">
        <v>25</v>
      </c>
      <c r="GE36" s="137">
        <f t="shared" si="91"/>
        <v>56</v>
      </c>
      <c r="GF36" s="137" t="str">
        <f t="shared" si="92"/>
        <v>47</v>
      </c>
      <c r="GG36" s="135">
        <f t="shared" si="197"/>
        <v>103</v>
      </c>
      <c r="GH36" s="137">
        <f t="shared" si="198"/>
        <v>51.5</v>
      </c>
      <c r="GI36" s="135" t="str">
        <f t="shared" si="93"/>
        <v>C</v>
      </c>
      <c r="GJ36" s="135" t="str">
        <f>VLOOKUP(RANK(GH36,$GH$10:$GH$109),Sheet1!$A$381:$B$480,2,FALSE)</f>
        <v>12th</v>
      </c>
      <c r="GK36" s="164">
        <v>28</v>
      </c>
      <c r="GL36" s="165">
        <v>14</v>
      </c>
      <c r="GM36" s="137">
        <f t="shared" si="94"/>
        <v>42</v>
      </c>
      <c r="GN36" s="137" t="str">
        <f t="shared" si="95"/>
        <v>53</v>
      </c>
      <c r="GO36" s="135">
        <f t="shared" si="199"/>
        <v>95</v>
      </c>
      <c r="GP36" s="137">
        <f t="shared" si="96"/>
        <v>47.5</v>
      </c>
      <c r="GQ36" s="135" t="str">
        <f t="shared" si="97"/>
        <v>D</v>
      </c>
      <c r="GR36" s="135" t="str">
        <f>VLOOKUP(RANK(GP36,$GP$10:$GP$109),Sheet1!$A$381:$B$480,2,FALSE)</f>
        <v>61st</v>
      </c>
      <c r="GS36" s="164">
        <v>37</v>
      </c>
      <c r="GT36" s="165">
        <v>40</v>
      </c>
      <c r="GU36" s="137">
        <f t="shared" si="98"/>
        <v>77</v>
      </c>
      <c r="GV36" s="137" t="str">
        <f t="shared" si="99"/>
        <v>69</v>
      </c>
      <c r="GW36" s="137">
        <f t="shared" si="100"/>
        <v>146</v>
      </c>
      <c r="GX36" s="137">
        <f t="shared" si="101"/>
        <v>73</v>
      </c>
      <c r="GY36" s="135" t="str">
        <f t="shared" si="102"/>
        <v>B</v>
      </c>
      <c r="GZ36" s="135" t="str">
        <f>VLOOKUP(RANK(GX36,$GX$10:$GX$109),Sheet1!$A$381:$B$480,2,FALSE)</f>
        <v>7th</v>
      </c>
      <c r="HA36" s="164">
        <v>29</v>
      </c>
      <c r="HB36" s="165">
        <v>18</v>
      </c>
      <c r="HC36" s="137">
        <f t="shared" si="103"/>
        <v>47</v>
      </c>
      <c r="HD36" s="137" t="str">
        <f t="shared" si="104"/>
        <v>37</v>
      </c>
      <c r="HE36" s="137">
        <f t="shared" si="105"/>
        <v>84</v>
      </c>
      <c r="HF36" s="137">
        <f t="shared" si="106"/>
        <v>42</v>
      </c>
      <c r="HG36" s="135" t="str">
        <f t="shared" si="107"/>
        <v>D</v>
      </c>
      <c r="HH36" s="135" t="str">
        <f>VLOOKUP(RANK(HF36,$HF$10:$HF$109),Sheet1!$A$381:$B$480,2,FALSE)</f>
        <v>42nd</v>
      </c>
      <c r="HI36" s="148">
        <v>26</v>
      </c>
      <c r="HJ36" s="150">
        <v>48</v>
      </c>
      <c r="HK36" s="137">
        <f t="shared" si="108"/>
        <v>74</v>
      </c>
      <c r="HL36" s="137" t="str">
        <f t="shared" si="109"/>
        <v>80</v>
      </c>
      <c r="HM36" s="137">
        <f t="shared" si="110"/>
        <v>154</v>
      </c>
      <c r="HN36" s="137">
        <f t="shared" si="111"/>
        <v>77</v>
      </c>
      <c r="HO36" s="135" t="str">
        <f t="shared" si="112"/>
        <v>A</v>
      </c>
      <c r="HP36" s="135" t="str">
        <f>VLOOKUP(RANK(HN36,$HN$10:$HN$109),Sheet1!$A$381:$B$480,2,FALSE)</f>
        <v>9th</v>
      </c>
      <c r="HQ36" s="137"/>
      <c r="HR36" s="137"/>
      <c r="HS36" s="137">
        <f t="shared" si="113"/>
        <v>0</v>
      </c>
      <c r="HT36" s="137" t="str">
        <f t="shared" si="114"/>
        <v>0</v>
      </c>
      <c r="HU36" s="137">
        <f t="shared" si="115"/>
        <v>0</v>
      </c>
      <c r="HV36" s="137">
        <f t="shared" si="116"/>
        <v>0</v>
      </c>
      <c r="HW36" s="135" t="str">
        <f t="shared" si="117"/>
        <v>F</v>
      </c>
      <c r="HX36" s="135" t="str">
        <f>VLOOKUP(RANK(HV36,$HV$10:$HV$109),Sheet1!$A$381:$B$480,2,FALSE)</f>
        <v>1st</v>
      </c>
      <c r="HY36" s="137"/>
      <c r="HZ36" s="137"/>
      <c r="IA36" s="137">
        <f t="shared" si="118"/>
        <v>0</v>
      </c>
      <c r="IB36" s="137" t="str">
        <f t="shared" si="119"/>
        <v>0</v>
      </c>
      <c r="IC36" s="137">
        <f t="shared" si="120"/>
        <v>0</v>
      </c>
      <c r="ID36" s="137">
        <f t="shared" si="121"/>
        <v>0</v>
      </c>
      <c r="IE36" s="135" t="str">
        <f t="shared" si="122"/>
        <v>F</v>
      </c>
      <c r="IF36" s="135" t="str">
        <f>VLOOKUP(RANK(ID36,$ID$10:$ID$109),Sheet1!$A$381:$B$480,2,FALSE)</f>
        <v>1st</v>
      </c>
      <c r="IG36" s="135"/>
      <c r="IH36" s="135"/>
      <c r="II36" s="135">
        <f t="shared" si="200"/>
        <v>0</v>
      </c>
      <c r="IJ36" s="135" t="str">
        <f t="shared" si="201"/>
        <v>0</v>
      </c>
      <c r="IK36" s="135">
        <f t="shared" si="202"/>
        <v>0</v>
      </c>
      <c r="IL36" s="135">
        <f t="shared" si="203"/>
        <v>0</v>
      </c>
      <c r="IM36" s="135" t="str">
        <f t="shared" si="123"/>
        <v>F</v>
      </c>
      <c r="IN36" s="135" t="str">
        <f>VLOOKUP(RANK(IL36,$IL$10:$IL$109),Sheet1!$A$381:$B$480,2,FALSE)</f>
        <v>1st</v>
      </c>
      <c r="IO36" s="135">
        <f t="shared" si="204"/>
        <v>664.5</v>
      </c>
      <c r="IP36" s="177">
        <f t="shared" si="205"/>
        <v>39.088235294117602</v>
      </c>
      <c r="IQ36" s="135" t="str">
        <f>VLOOKUP(RANK(IP36,$IP$10:$IP$109),Sheet1!$A$381:$B$480,2,FALSE)</f>
        <v>20th</v>
      </c>
      <c r="IR36" s="178"/>
      <c r="IS36" s="137"/>
      <c r="IT36" s="137"/>
      <c r="IU36" s="137"/>
      <c r="IV36" s="137"/>
      <c r="IW36" s="181"/>
      <c r="IX36" s="184"/>
      <c r="IY36" s="186"/>
      <c r="IZ36" s="186">
        <f t="shared" si="206"/>
        <v>0</v>
      </c>
      <c r="JA36" s="186" t="str">
        <f t="shared" si="124"/>
        <v>60</v>
      </c>
      <c r="JB36" s="186" t="str">
        <f t="shared" si="125"/>
        <v>72</v>
      </c>
      <c r="JC36" s="186">
        <f t="shared" si="207"/>
        <v>132</v>
      </c>
      <c r="JD36" s="186">
        <f t="shared" si="208"/>
        <v>44</v>
      </c>
      <c r="JE36" s="135" t="str">
        <f t="shared" si="126"/>
        <v>D</v>
      </c>
      <c r="JF36" s="151" t="str">
        <f>VLOOKUP(RANK(JD36,$JD$10:$JD$109),Sheet1!$A$381:$B$480,2,FALSE)</f>
        <v>52nd</v>
      </c>
      <c r="JG36" s="186"/>
      <c r="JH36" s="186"/>
      <c r="JI36" s="186">
        <f t="shared" si="127"/>
        <v>0</v>
      </c>
      <c r="JJ36" s="186" t="str">
        <f t="shared" si="128"/>
        <v>48</v>
      </c>
      <c r="JK36" s="186" t="str">
        <f t="shared" si="129"/>
        <v>51</v>
      </c>
      <c r="JL36" s="186">
        <f t="shared" si="209"/>
        <v>99</v>
      </c>
      <c r="JM36" s="186">
        <f t="shared" si="210"/>
        <v>33</v>
      </c>
      <c r="JN36" s="135" t="str">
        <f t="shared" si="130"/>
        <v>F</v>
      </c>
      <c r="JO36" s="151" t="str">
        <f>VLOOKUP(RANK(JM36,$JM$10:$JM$109),Sheet1!$A$381:$B$480,2,FALSE)</f>
        <v>45th</v>
      </c>
      <c r="JP36" s="186"/>
      <c r="JQ36" s="186"/>
      <c r="JR36" s="186">
        <f t="shared" si="131"/>
        <v>0</v>
      </c>
      <c r="JS36" s="186" t="str">
        <f t="shared" si="132"/>
        <v>55</v>
      </c>
      <c r="JT36" s="186" t="str">
        <f t="shared" si="133"/>
        <v>60</v>
      </c>
      <c r="JU36" s="186">
        <f t="shared" si="211"/>
        <v>115</v>
      </c>
      <c r="JV36" s="186">
        <f t="shared" si="212"/>
        <v>38.3333333333333</v>
      </c>
      <c r="JW36" s="135" t="str">
        <f t="shared" si="134"/>
        <v>E</v>
      </c>
      <c r="JX36" s="151" t="str">
        <f>VLOOKUP(RANK(JV36,$JV$10:$JV$109),Sheet1!$A$381:$B$480,2,FALSE)</f>
        <v>15th</v>
      </c>
      <c r="JY36" s="186"/>
      <c r="JZ36" s="186"/>
      <c r="KA36" s="186">
        <f t="shared" si="135"/>
        <v>0</v>
      </c>
      <c r="KB36" s="186" t="str">
        <f t="shared" si="136"/>
        <v>64</v>
      </c>
      <c r="KC36" s="186" t="str">
        <f t="shared" si="137"/>
        <v>56</v>
      </c>
      <c r="KD36" s="186">
        <f t="shared" si="213"/>
        <v>120</v>
      </c>
      <c r="KE36" s="186">
        <f t="shared" si="214"/>
        <v>40</v>
      </c>
      <c r="KF36" s="135" t="str">
        <f t="shared" si="138"/>
        <v>D</v>
      </c>
      <c r="KG36" s="151" t="str">
        <f>VLOOKUP(RANK(KE36,$KE$10:$KE$109),Sheet1!$A$381:$B$480,2,FALSE)</f>
        <v>36th</v>
      </c>
      <c r="KH36" s="186"/>
      <c r="KI36" s="186"/>
      <c r="KJ36" s="186">
        <f t="shared" si="139"/>
        <v>0</v>
      </c>
      <c r="KK36" s="186" t="str">
        <f t="shared" si="140"/>
        <v>64</v>
      </c>
      <c r="KL36" s="186" t="str">
        <f t="shared" si="141"/>
        <v>50</v>
      </c>
      <c r="KM36" s="186">
        <f t="shared" si="215"/>
        <v>114</v>
      </c>
      <c r="KN36" s="186">
        <f t="shared" si="216"/>
        <v>38</v>
      </c>
      <c r="KO36" s="135" t="str">
        <f t="shared" si="142"/>
        <v>E</v>
      </c>
      <c r="KP36" s="151" t="str">
        <f>VLOOKUP(RANK(KN36,$KN$10:$KN$109),Sheet1!$A$381:$B$480,2,FALSE)</f>
        <v>43rd</v>
      </c>
      <c r="KQ36" s="186"/>
      <c r="KR36" s="186"/>
      <c r="KS36" s="186">
        <f t="shared" si="143"/>
        <v>0</v>
      </c>
      <c r="KT36" s="186" t="str">
        <f t="shared" si="144"/>
        <v>0</v>
      </c>
      <c r="KU36" s="186" t="str">
        <f t="shared" si="145"/>
        <v>0</v>
      </c>
      <c r="KV36" s="186">
        <f t="shared" si="217"/>
        <v>0</v>
      </c>
      <c r="KW36" s="186">
        <f t="shared" si="218"/>
        <v>0</v>
      </c>
      <c r="KX36" s="135" t="str">
        <f t="shared" si="146"/>
        <v>F</v>
      </c>
      <c r="KY36" s="151" t="str">
        <f>VLOOKUP(RANK(KW36,$KW$10:$KW$109),Sheet1!$A$381:$B$480,2,FALSE)</f>
        <v>1st</v>
      </c>
      <c r="KZ36" s="186"/>
      <c r="LA36" s="186"/>
      <c r="LB36" s="186">
        <f t="shared" si="147"/>
        <v>0</v>
      </c>
      <c r="LC36" s="186" t="str">
        <f t="shared" si="148"/>
        <v>0</v>
      </c>
      <c r="LD36" s="186" t="str">
        <f t="shared" si="149"/>
        <v>0</v>
      </c>
      <c r="LE36" s="186">
        <f t="shared" si="219"/>
        <v>0</v>
      </c>
      <c r="LF36" s="186">
        <f t="shared" si="220"/>
        <v>0</v>
      </c>
      <c r="LG36" s="135" t="str">
        <f t="shared" si="150"/>
        <v>F</v>
      </c>
      <c r="LH36" s="151" t="str">
        <f>VLOOKUP(RANK(LF36,$LF$10:$LF$109),Sheet1!$A$381:$B$480,2,FALSE)</f>
        <v>1st</v>
      </c>
      <c r="LI36" s="186"/>
      <c r="LJ36" s="186"/>
      <c r="LK36" s="186">
        <f t="shared" si="151"/>
        <v>0</v>
      </c>
      <c r="LL36" s="186" t="str">
        <f t="shared" si="152"/>
        <v>56</v>
      </c>
      <c r="LM36" s="186" t="str">
        <f t="shared" si="153"/>
        <v>54</v>
      </c>
      <c r="LN36" s="186">
        <f t="shared" si="221"/>
        <v>110</v>
      </c>
      <c r="LO36" s="186">
        <f t="shared" si="222"/>
        <v>36.6666666666667</v>
      </c>
      <c r="LP36" s="135" t="str">
        <f t="shared" si="154"/>
        <v>E</v>
      </c>
      <c r="LQ36" s="151" t="str">
        <f>VLOOKUP(RANK(LO36,$LO$10:$LO$109),Sheet1!$A$381:$B$480,2,FALSE)</f>
        <v>23rd</v>
      </c>
      <c r="LR36" s="186"/>
      <c r="LS36" s="186"/>
      <c r="LT36" s="186">
        <f t="shared" si="155"/>
        <v>0</v>
      </c>
      <c r="LU36" s="186" t="str">
        <f t="shared" si="156"/>
        <v>48</v>
      </c>
      <c r="LV36" s="186" t="str">
        <f t="shared" si="157"/>
        <v>57</v>
      </c>
      <c r="LW36" s="186">
        <f t="shared" si="223"/>
        <v>105</v>
      </c>
      <c r="LX36" s="186">
        <f t="shared" si="224"/>
        <v>35</v>
      </c>
      <c r="LY36" s="135" t="str">
        <f t="shared" si="158"/>
        <v>E</v>
      </c>
      <c r="LZ36" s="151" t="str">
        <f>VLOOKUP(RANK(LX36,$LX$10:$LX$109),Sheet1!$A$381:$B$480,2,FALSE)</f>
        <v>46th</v>
      </c>
      <c r="MA36" s="186"/>
      <c r="MB36" s="186"/>
      <c r="MC36" s="186">
        <f t="shared" si="159"/>
        <v>0</v>
      </c>
      <c r="MD36" s="186" t="str">
        <f t="shared" si="160"/>
        <v>47</v>
      </c>
      <c r="ME36" s="186" t="str">
        <f t="shared" si="161"/>
        <v>56</v>
      </c>
      <c r="MF36" s="183">
        <f t="shared" si="225"/>
        <v>103</v>
      </c>
      <c r="MG36" s="151">
        <f t="shared" si="226"/>
        <v>34.3333333333333</v>
      </c>
      <c r="MH36" s="135" t="str">
        <f t="shared" si="162"/>
        <v>F</v>
      </c>
      <c r="MI36" s="151" t="str">
        <f>VLOOKUP(RANK(MG36,$MG$10:$MG$109),Sheet1!$A$381:$B$480,2,FALSE)</f>
        <v>12th</v>
      </c>
      <c r="MJ36" s="186"/>
      <c r="MK36" s="186"/>
      <c r="ML36" s="186">
        <f t="shared" si="163"/>
        <v>0</v>
      </c>
      <c r="MM36" s="186" t="str">
        <f t="shared" si="164"/>
        <v>53</v>
      </c>
      <c r="MN36" s="186" t="str">
        <f t="shared" si="165"/>
        <v>42</v>
      </c>
      <c r="MO36" s="186">
        <f t="shared" si="227"/>
        <v>95</v>
      </c>
      <c r="MP36" s="186">
        <f t="shared" si="228"/>
        <v>31.6666666666667</v>
      </c>
      <c r="MQ36" s="135" t="str">
        <f t="shared" si="166"/>
        <v>F</v>
      </c>
      <c r="MR36" s="151" t="str">
        <f>VLOOKUP(RANK(MP36,$MP$10:$MP$109),Sheet1!$A$381:$B$480,2,FALSE)</f>
        <v>61st</v>
      </c>
      <c r="MS36" s="186"/>
      <c r="MT36" s="186"/>
      <c r="MU36" s="186">
        <f t="shared" si="167"/>
        <v>0</v>
      </c>
      <c r="MV36" s="186" t="str">
        <f t="shared" si="168"/>
        <v>69</v>
      </c>
      <c r="MW36" s="186" t="str">
        <f t="shared" si="169"/>
        <v>77</v>
      </c>
      <c r="MX36" s="186">
        <f t="shared" si="229"/>
        <v>146</v>
      </c>
      <c r="MY36" s="186">
        <f t="shared" si="230"/>
        <v>48.6666666666667</v>
      </c>
      <c r="MZ36" s="135" t="str">
        <f t="shared" si="170"/>
        <v>D</v>
      </c>
      <c r="NA36" s="151" t="str">
        <f>VLOOKUP(RANK(MY36,$MY$10:$MY$109),Sheet1!$A$381:$B$480,2,FALSE)</f>
        <v>7th</v>
      </c>
      <c r="NB36" s="186"/>
      <c r="NC36" s="186"/>
      <c r="ND36" s="186">
        <f t="shared" si="171"/>
        <v>0</v>
      </c>
      <c r="NE36" s="186" t="str">
        <f t="shared" si="172"/>
        <v>37</v>
      </c>
      <c r="NF36" s="186" t="str">
        <f t="shared" si="173"/>
        <v>47</v>
      </c>
      <c r="NG36" s="186">
        <f t="shared" si="231"/>
        <v>84</v>
      </c>
      <c r="NH36" s="186">
        <f t="shared" si="232"/>
        <v>28</v>
      </c>
      <c r="NI36" s="135" t="str">
        <f t="shared" si="174"/>
        <v>F</v>
      </c>
      <c r="NJ36" s="151" t="str">
        <f>VLOOKUP(RANK(NH36,$NH$10:$NH$109),Sheet1!$A$381:$B$480,2,FALSE)</f>
        <v>42nd</v>
      </c>
      <c r="NK36" s="186"/>
      <c r="NL36" s="186"/>
      <c r="NM36" s="186">
        <f t="shared" si="175"/>
        <v>0</v>
      </c>
      <c r="NN36" s="186" t="str">
        <f t="shared" si="176"/>
        <v>80</v>
      </c>
      <c r="NO36" s="186" t="str">
        <f t="shared" si="177"/>
        <v>74</v>
      </c>
      <c r="NP36" s="186">
        <f t="shared" si="233"/>
        <v>154</v>
      </c>
      <c r="NQ36" s="186">
        <f t="shared" si="178"/>
        <v>51.3333333333333</v>
      </c>
      <c r="NR36" s="135" t="str">
        <f t="shared" si="179"/>
        <v>C</v>
      </c>
      <c r="NS36" s="151" t="str">
        <f>VLOOKUP(RANK(NQ36,$NQ$10:$NQ$109),Sheet1!$A$381:$B$480,2,FALSE)</f>
        <v>9th</v>
      </c>
      <c r="NT36" s="186"/>
      <c r="NU36" s="186"/>
      <c r="NV36" s="186">
        <f t="shared" si="180"/>
        <v>0</v>
      </c>
      <c r="NW36" s="186" t="str">
        <f t="shared" si="181"/>
        <v>0</v>
      </c>
      <c r="NX36" s="186" t="str">
        <f t="shared" si="182"/>
        <v>0</v>
      </c>
      <c r="NY36" s="186">
        <f t="shared" si="234"/>
        <v>0</v>
      </c>
      <c r="NZ36" s="186">
        <f t="shared" si="183"/>
        <v>0</v>
      </c>
      <c r="OA36" s="135" t="str">
        <f t="shared" si="184"/>
        <v>F</v>
      </c>
      <c r="OB36" s="151" t="str">
        <f>VLOOKUP(RANK(NZ36,$NZ$10:$NZ$109),Sheet1!$A$381:$B$480,2,FALSE)</f>
        <v>1st</v>
      </c>
      <c r="OC36" s="186"/>
      <c r="OD36" s="186"/>
      <c r="OE36" s="186">
        <f t="shared" si="185"/>
        <v>0</v>
      </c>
      <c r="OF36" s="186" t="str">
        <f t="shared" si="186"/>
        <v>0</v>
      </c>
      <c r="OG36" s="186" t="str">
        <f t="shared" si="187"/>
        <v>0</v>
      </c>
      <c r="OH36" s="186">
        <f t="shared" si="235"/>
        <v>0</v>
      </c>
      <c r="OI36" s="186">
        <f t="shared" si="236"/>
        <v>0</v>
      </c>
      <c r="OJ36" s="135" t="str">
        <f t="shared" si="188"/>
        <v>F</v>
      </c>
      <c r="OK36" s="151" t="str">
        <f>VLOOKUP(RANK(OI36,$OI$10:$OI$109),Sheet1!$A$381:$B$480,2,FALSE)</f>
        <v>1st</v>
      </c>
      <c r="OL36" s="151"/>
      <c r="OM36" s="151"/>
      <c r="ON36" s="151">
        <f t="shared" si="237"/>
        <v>0</v>
      </c>
      <c r="OO36" s="151" t="str">
        <f t="shared" si="238"/>
        <v>0</v>
      </c>
      <c r="OP36" s="151" t="str">
        <f t="shared" si="239"/>
        <v>0</v>
      </c>
      <c r="OQ36" s="151">
        <f t="shared" si="240"/>
        <v>0</v>
      </c>
      <c r="OR36" s="151">
        <f t="shared" si="241"/>
        <v>0</v>
      </c>
      <c r="OS36" s="135" t="str">
        <f t="shared" si="189"/>
        <v>F</v>
      </c>
      <c r="OT36" s="151" t="str">
        <f>VLOOKUP(RANK(OR36,$OI$10:$OI$109),Sheet1!$A$381:$B$480,2,FALSE)</f>
        <v>1st</v>
      </c>
      <c r="OU36" s="151">
        <f t="shared" si="242"/>
        <v>459</v>
      </c>
      <c r="OV36" s="151">
        <f t="shared" si="243"/>
        <v>27</v>
      </c>
      <c r="OW36" s="151" t="str">
        <f>VLOOKUP(RANK(OV36,$OV$10:$OV$109),Sheet1!$A$381:$B$480,2,FALSE)</f>
        <v>24th</v>
      </c>
      <c r="OX36" s="151"/>
      <c r="OY36" s="186"/>
      <c r="OZ36" s="186"/>
      <c r="PA36" s="186"/>
      <c r="PB36" s="186"/>
    </row>
    <row r="37" spans="1:418" s="118" customFormat="1" ht="18.75">
      <c r="A37" s="131">
        <v>28</v>
      </c>
      <c r="B37" s="132" t="s">
        <v>125</v>
      </c>
      <c r="C37" s="133" t="s">
        <v>97</v>
      </c>
      <c r="D37" s="134">
        <v>26</v>
      </c>
      <c r="E37" s="134">
        <v>37</v>
      </c>
      <c r="F37" s="137">
        <f t="shared" si="0"/>
        <v>63</v>
      </c>
      <c r="G37" s="137">
        <f t="shared" si="1"/>
        <v>63</v>
      </c>
      <c r="H37" s="135" t="str">
        <f t="shared" si="190"/>
        <v>B</v>
      </c>
      <c r="I37" s="135" t="str">
        <f>VLOOKUP(RANK(G37,$G$10:$G$109),Sheet1!$A$381:$B$480,2,FALSE)</f>
        <v>73rd</v>
      </c>
      <c r="J37" s="134">
        <v>30</v>
      </c>
      <c r="K37" s="134">
        <v>22</v>
      </c>
      <c r="L37" s="137">
        <f t="shared" si="2"/>
        <v>52</v>
      </c>
      <c r="M37" s="137">
        <f t="shared" si="3"/>
        <v>52</v>
      </c>
      <c r="N37" s="135" t="str">
        <f t="shared" si="4"/>
        <v>C</v>
      </c>
      <c r="O37" s="141" t="str">
        <f>VLOOKUP(RANK(M37,$M$10:$M$109),Sheet1!$A$381:$B$480,2,FALSE)</f>
        <v>52nd</v>
      </c>
      <c r="P37" s="142">
        <v>25</v>
      </c>
      <c r="Q37" s="145">
        <v>2</v>
      </c>
      <c r="R37" s="147">
        <f t="shared" si="5"/>
        <v>27</v>
      </c>
      <c r="S37" s="137">
        <f t="shared" si="6"/>
        <v>27</v>
      </c>
      <c r="T37" s="135" t="str">
        <f t="shared" si="7"/>
        <v>F</v>
      </c>
      <c r="U37" s="135" t="str">
        <f>VLOOKUP(RANK(S37,$S$10:$S$109),Sheet1!$A$381:$B$480,2,FALSE)</f>
        <v>99th</v>
      </c>
      <c r="V37" s="134">
        <v>33</v>
      </c>
      <c r="W37" s="134">
        <v>27</v>
      </c>
      <c r="X37" s="137">
        <f t="shared" si="191"/>
        <v>60</v>
      </c>
      <c r="Y37" s="137">
        <f t="shared" si="244"/>
        <v>60</v>
      </c>
      <c r="Z37" s="135" t="str">
        <f t="shared" si="8"/>
        <v>B</v>
      </c>
      <c r="AA37" s="135" t="str">
        <f>VLOOKUP(RANK(Y37,$Y$10:$Y$109),Sheet1!$A$381:$B$480,2,FALSE)</f>
        <v>34th</v>
      </c>
      <c r="AB37" s="134">
        <v>30</v>
      </c>
      <c r="AC37" s="134">
        <v>30</v>
      </c>
      <c r="AD37" s="137">
        <f t="shared" si="9"/>
        <v>60</v>
      </c>
      <c r="AE37" s="137">
        <f t="shared" si="10"/>
        <v>60</v>
      </c>
      <c r="AF37" s="135" t="str">
        <f t="shared" si="11"/>
        <v>B</v>
      </c>
      <c r="AG37" s="135" t="str">
        <f>VLOOKUP(RANK(AE37,$AE$10:$AE$109),Sheet1!$A$381:$B$480,2,FALSE)</f>
        <v>51st</v>
      </c>
      <c r="AH37" s="137"/>
      <c r="AI37" s="137"/>
      <c r="AJ37" s="137">
        <f t="shared" si="12"/>
        <v>0</v>
      </c>
      <c r="AK37" s="137">
        <f t="shared" si="13"/>
        <v>0</v>
      </c>
      <c r="AL37" s="135" t="str">
        <f t="shared" si="14"/>
        <v>F</v>
      </c>
      <c r="AM37" s="135" t="str">
        <f>VLOOKUP(RANK(AK37,$AK$10:$AK$109),Sheet1!$A$381:$B$480,2,FALSE)</f>
        <v>1st</v>
      </c>
      <c r="AN37" s="134"/>
      <c r="AO37" s="134"/>
      <c r="AP37" s="137">
        <f t="shared" si="15"/>
        <v>0</v>
      </c>
      <c r="AQ37" s="137">
        <f t="shared" si="16"/>
        <v>0</v>
      </c>
      <c r="AR37" s="135" t="str">
        <f t="shared" si="17"/>
        <v>F</v>
      </c>
      <c r="AS37" s="135" t="str">
        <f>VLOOKUP(RANK(AQ37,$AQ$10:$AQ$109),Sheet1!$A$381:$B$480,2,FALSE)</f>
        <v>1st</v>
      </c>
      <c r="AT37" s="142">
        <v>24</v>
      </c>
      <c r="AU37" s="145">
        <v>28</v>
      </c>
      <c r="AV37" s="137">
        <f t="shared" si="18"/>
        <v>52</v>
      </c>
      <c r="AW37" s="137">
        <f t="shared" si="19"/>
        <v>52</v>
      </c>
      <c r="AX37" s="135" t="str">
        <f t="shared" si="20"/>
        <v>C</v>
      </c>
      <c r="AY37" s="141" t="str">
        <f>VLOOKUP(RANK(AW37,$AW$10:$AW$109),Sheet1!$A$381:$B$480,2,FALSE)</f>
        <v>34th</v>
      </c>
      <c r="AZ37" s="142">
        <v>32</v>
      </c>
      <c r="BA37" s="145">
        <v>19</v>
      </c>
      <c r="BB37" s="147">
        <f t="shared" si="21"/>
        <v>51</v>
      </c>
      <c r="BC37" s="137">
        <f t="shared" si="22"/>
        <v>51</v>
      </c>
      <c r="BD37" s="135" t="str">
        <f t="shared" si="23"/>
        <v>C</v>
      </c>
      <c r="BE37" s="135" t="str">
        <f>VLOOKUP(RANK(BC37,$BC$10:$BC$109),Sheet1!$A$381:$B$480,2,FALSE)</f>
        <v>54th</v>
      </c>
      <c r="BF37" s="142">
        <v>21</v>
      </c>
      <c r="BG37" s="145">
        <v>17</v>
      </c>
      <c r="BH37" s="137">
        <f t="shared" si="24"/>
        <v>38</v>
      </c>
      <c r="BI37" s="137">
        <f t="shared" si="25"/>
        <v>38</v>
      </c>
      <c r="BJ37" s="135" t="str">
        <f t="shared" si="26"/>
        <v>E</v>
      </c>
      <c r="BK37" s="141" t="str">
        <f>VLOOKUP(RANK(BI37,$BI$10:$BI$109),Sheet1!$A$381:$B$480,2,FALSE)</f>
        <v>38th</v>
      </c>
      <c r="BL37" s="148">
        <v>24</v>
      </c>
      <c r="BM37" s="150">
        <v>25</v>
      </c>
      <c r="BN37" s="147">
        <f t="shared" si="27"/>
        <v>49</v>
      </c>
      <c r="BO37" s="137">
        <f t="shared" si="28"/>
        <v>49</v>
      </c>
      <c r="BP37" s="135" t="str">
        <f t="shared" si="29"/>
        <v>D</v>
      </c>
      <c r="BQ37" s="141" t="str">
        <f>VLOOKUP(RANK(BO37,$BO$10:$BO$109),Sheet1!$A$381:$B$480,2,FALSE)</f>
        <v>95th</v>
      </c>
      <c r="BR37" s="148">
        <v>28</v>
      </c>
      <c r="BS37" s="150">
        <v>13</v>
      </c>
      <c r="BT37" s="147">
        <f t="shared" si="30"/>
        <v>41</v>
      </c>
      <c r="BU37" s="137">
        <f t="shared" si="31"/>
        <v>41</v>
      </c>
      <c r="BV37" s="135" t="str">
        <f t="shared" si="32"/>
        <v>D</v>
      </c>
      <c r="BW37" s="135" t="str">
        <f>VLOOKUP(RANK(BU37,$BU$10:$BU$109),Sheet1!$A$381:$B$480,2,FALSE)</f>
        <v>60th</v>
      </c>
      <c r="BX37" s="148">
        <v>30</v>
      </c>
      <c r="BY37" s="150">
        <v>10</v>
      </c>
      <c r="BZ37" s="137">
        <f t="shared" si="33"/>
        <v>40</v>
      </c>
      <c r="CA37" s="137">
        <f t="shared" si="34"/>
        <v>40</v>
      </c>
      <c r="CB37" s="135" t="str">
        <f t="shared" si="35"/>
        <v>D</v>
      </c>
      <c r="CC37" s="135" t="str">
        <f>VLOOKUP(RANK(CA37,$CA$10:$CA$109),Sheet1!$A$381:$B$480,2,FALSE)</f>
        <v>43rd</v>
      </c>
      <c r="CD37" s="148">
        <v>32</v>
      </c>
      <c r="CE37" s="150">
        <v>43</v>
      </c>
      <c r="CF37" s="137">
        <f t="shared" si="36"/>
        <v>75</v>
      </c>
      <c r="CG37" s="137">
        <f t="shared" si="37"/>
        <v>75</v>
      </c>
      <c r="CH37" s="135" t="str">
        <f t="shared" si="38"/>
        <v>A</v>
      </c>
      <c r="CI37" s="135" t="str">
        <f>VLOOKUP(RANK(CG37,$CG$10:$CG$109),Sheet1!$A$381:$B$480,2,FALSE)</f>
        <v>12th</v>
      </c>
      <c r="CJ37" s="137"/>
      <c r="CK37" s="137"/>
      <c r="CL37" s="137">
        <f t="shared" si="39"/>
        <v>0</v>
      </c>
      <c r="CM37" s="137">
        <f t="shared" si="40"/>
        <v>0</v>
      </c>
      <c r="CN37" s="135" t="str">
        <f t="shared" si="41"/>
        <v>F</v>
      </c>
      <c r="CO37" s="135" t="str">
        <f>VLOOKUP(RANK(CM37,$CM$10:$CM$109),Sheet1!$A$381:$B$480,2,FALSE)</f>
        <v>1st</v>
      </c>
      <c r="CP37" s="137"/>
      <c r="CQ37" s="137"/>
      <c r="CR37" s="137">
        <f t="shared" si="42"/>
        <v>0</v>
      </c>
      <c r="CS37" s="137">
        <f t="shared" si="43"/>
        <v>0</v>
      </c>
      <c r="CT37" s="135" t="str">
        <f t="shared" si="44"/>
        <v>F</v>
      </c>
      <c r="CU37" s="135" t="str">
        <f>VLOOKUP(RANK(CS37,$CS$10:$CS$109),Sheet1!$A$381:$B$480,2,FALSE)</f>
        <v>1st</v>
      </c>
      <c r="CV37" s="151"/>
      <c r="CW37" s="135"/>
      <c r="CX37" s="151">
        <f t="shared" si="192"/>
        <v>0</v>
      </c>
      <c r="CY37" s="151">
        <f t="shared" si="193"/>
        <v>0</v>
      </c>
      <c r="CZ37" s="135" t="str">
        <f t="shared" si="45"/>
        <v>F</v>
      </c>
      <c r="DA37" s="135" t="str">
        <f>VLOOKUP(RANK(CY37,$CY$10:$CY$109),Sheet1!$A$381:$B$480,2,FALSE)</f>
        <v>1st</v>
      </c>
      <c r="DB37" s="135"/>
      <c r="DC37" s="151">
        <f t="shared" si="194"/>
        <v>608</v>
      </c>
      <c r="DD37" s="151">
        <f t="shared" si="195"/>
        <v>35.764705882352899</v>
      </c>
      <c r="DE37" s="135" t="str">
        <f>VLOOKUP(RANK(DD37,$DD$10:$DD$109),Sheet1!$A$381:$B$480,2,FALSE)</f>
        <v>54th</v>
      </c>
      <c r="DF37" s="137"/>
      <c r="DG37" s="160">
        <f t="shared" si="46"/>
        <v>643.76470588235304</v>
      </c>
      <c r="DH37" s="119"/>
      <c r="DI37" s="162">
        <v>31</v>
      </c>
      <c r="DJ37" s="162">
        <v>38</v>
      </c>
      <c r="DK37" s="137">
        <f t="shared" si="47"/>
        <v>69</v>
      </c>
      <c r="DL37" s="137" t="str">
        <f t="shared" si="48"/>
        <v>63</v>
      </c>
      <c r="DM37" s="137">
        <f t="shared" si="49"/>
        <v>132</v>
      </c>
      <c r="DN37" s="137">
        <f t="shared" si="50"/>
        <v>66</v>
      </c>
      <c r="DO37" s="135" t="str">
        <f t="shared" si="51"/>
        <v>B</v>
      </c>
      <c r="DP37" s="135" t="str">
        <f>VLOOKUP(RANK(DN37,$DN$10:$DN$109),Sheet1!$A$381:$B$480,2,FALSE)</f>
        <v>52nd</v>
      </c>
      <c r="DQ37" s="164">
        <v>21</v>
      </c>
      <c r="DR37" s="165">
        <v>23</v>
      </c>
      <c r="DS37" s="137">
        <f t="shared" si="52"/>
        <v>44</v>
      </c>
      <c r="DT37" s="137" t="str">
        <f t="shared" si="53"/>
        <v>52</v>
      </c>
      <c r="DU37" s="137">
        <f t="shared" si="54"/>
        <v>96</v>
      </c>
      <c r="DV37" s="137">
        <f t="shared" si="55"/>
        <v>48</v>
      </c>
      <c r="DW37" s="135" t="str">
        <f t="shared" si="56"/>
        <v>D</v>
      </c>
      <c r="DX37" s="135" t="str">
        <f>VLOOKUP(RANK(DV37,$DV$10:$DV$109),Sheet1!$A$381:$B$480,2,FALSE)</f>
        <v>57th</v>
      </c>
      <c r="DY37" s="167">
        <v>28</v>
      </c>
      <c r="DZ37" s="165">
        <v>26</v>
      </c>
      <c r="EA37" s="137">
        <f t="shared" si="57"/>
        <v>54</v>
      </c>
      <c r="EB37" s="137" t="str">
        <f t="shared" si="58"/>
        <v>27</v>
      </c>
      <c r="EC37" s="137">
        <f t="shared" si="59"/>
        <v>81</v>
      </c>
      <c r="ED37" s="137">
        <f t="shared" si="60"/>
        <v>40.5</v>
      </c>
      <c r="EE37" s="135" t="str">
        <f t="shared" si="61"/>
        <v>D</v>
      </c>
      <c r="EF37" s="135" t="str">
        <f>VLOOKUP(RANK(ED37,$ED$10:$ED$109),Sheet1!$A$381:$B$480,2,FALSE)</f>
        <v>67th</v>
      </c>
      <c r="EG37" s="162">
        <v>30</v>
      </c>
      <c r="EH37" s="162">
        <v>36</v>
      </c>
      <c r="EI37" s="137">
        <f t="shared" si="62"/>
        <v>66</v>
      </c>
      <c r="EJ37" s="137" t="str">
        <f t="shared" si="63"/>
        <v>60</v>
      </c>
      <c r="EK37" s="137">
        <f t="shared" si="64"/>
        <v>126</v>
      </c>
      <c r="EL37" s="137">
        <f t="shared" si="65"/>
        <v>63</v>
      </c>
      <c r="EM37" s="135" t="str">
        <f t="shared" si="66"/>
        <v>B</v>
      </c>
      <c r="EN37" s="135" t="str">
        <f>VLOOKUP(RANK(EL37,$EL$10:$EL$109),Sheet1!$A$381:$B$480,2,FALSE)</f>
        <v>30th</v>
      </c>
      <c r="EO37" s="162">
        <v>27</v>
      </c>
      <c r="EP37" s="162">
        <v>23</v>
      </c>
      <c r="EQ37" s="137">
        <f t="shared" si="67"/>
        <v>50</v>
      </c>
      <c r="ER37" s="137" t="str">
        <f t="shared" si="68"/>
        <v>60</v>
      </c>
      <c r="ES37" s="137">
        <f t="shared" si="69"/>
        <v>110</v>
      </c>
      <c r="ET37" s="137">
        <f t="shared" si="70"/>
        <v>55</v>
      </c>
      <c r="EU37" s="135" t="str">
        <f t="shared" si="71"/>
        <v>C</v>
      </c>
      <c r="EV37" s="135" t="str">
        <f>VLOOKUP(RANK(ET37,$ET$10:$ET$109),Sheet1!$A$381:$B$480,2,FALSE)</f>
        <v>50th</v>
      </c>
      <c r="EW37" s="137"/>
      <c r="EX37" s="137"/>
      <c r="EY37" s="137">
        <f t="shared" si="72"/>
        <v>0</v>
      </c>
      <c r="EZ37" s="137" t="str">
        <f t="shared" si="73"/>
        <v>0</v>
      </c>
      <c r="FA37" s="137">
        <f t="shared" si="74"/>
        <v>0</v>
      </c>
      <c r="FB37" s="137">
        <f t="shared" si="75"/>
        <v>0</v>
      </c>
      <c r="FC37" s="135" t="str">
        <f t="shared" si="76"/>
        <v>F</v>
      </c>
      <c r="FD37" s="135" t="str">
        <f>VLOOKUP(RANK(FB37,$FB$10:$FB$109),Sheet1!$A$381:$B$480,2,FALSE)</f>
        <v>1st</v>
      </c>
      <c r="FE37" s="137"/>
      <c r="FF37" s="137"/>
      <c r="FG37" s="137">
        <f t="shared" si="77"/>
        <v>0</v>
      </c>
      <c r="FH37" s="137" t="str">
        <f t="shared" si="78"/>
        <v>0</v>
      </c>
      <c r="FI37" s="137">
        <f t="shared" si="79"/>
        <v>0</v>
      </c>
      <c r="FJ37" s="137">
        <f t="shared" si="80"/>
        <v>0</v>
      </c>
      <c r="FK37" s="135" t="str">
        <f t="shared" si="81"/>
        <v>F</v>
      </c>
      <c r="FL37" s="135" t="str">
        <f>VLOOKUP(RANK(FJ37,$FJ$10:$FJ$109),Sheet1!$A$381:$B$480,2,FALSE)</f>
        <v>1st</v>
      </c>
      <c r="FM37" s="164">
        <v>27</v>
      </c>
      <c r="FN37" s="165">
        <v>24</v>
      </c>
      <c r="FO37" s="137">
        <f t="shared" si="82"/>
        <v>51</v>
      </c>
      <c r="FP37" s="137" t="str">
        <f t="shared" si="83"/>
        <v>52</v>
      </c>
      <c r="FQ37" s="137">
        <f t="shared" si="84"/>
        <v>103</v>
      </c>
      <c r="FR37" s="137">
        <f t="shared" si="85"/>
        <v>51.5</v>
      </c>
      <c r="FS37" s="135" t="str">
        <f t="shared" si="86"/>
        <v>C</v>
      </c>
      <c r="FT37" s="135" t="str">
        <f>VLOOKUP(RANK(FR37,$FR$10:$FR$109),Sheet1!$A$381:$B$480,2,FALSE)</f>
        <v>50th</v>
      </c>
      <c r="FU37" s="148">
        <v>37</v>
      </c>
      <c r="FV37" s="150">
        <v>20</v>
      </c>
      <c r="FW37" s="137">
        <f t="shared" si="87"/>
        <v>57</v>
      </c>
      <c r="FX37" s="137" t="str">
        <f t="shared" si="88"/>
        <v>51</v>
      </c>
      <c r="FY37" s="137">
        <f t="shared" si="196"/>
        <v>57</v>
      </c>
      <c r="FZ37" s="137">
        <f t="shared" si="89"/>
        <v>28.5</v>
      </c>
      <c r="GA37" s="135" t="str">
        <f t="shared" si="90"/>
        <v>F</v>
      </c>
      <c r="GB37" s="135" t="str">
        <f>VLOOKUP(RANK(FZ37,$FZ$10:$FZ$109),Sheet1!$A$381:$B$480,2,FALSE)</f>
        <v>33rd</v>
      </c>
      <c r="GC37" s="164">
        <v>17</v>
      </c>
      <c r="GD37" s="165">
        <v>25</v>
      </c>
      <c r="GE37" s="137">
        <f t="shared" si="91"/>
        <v>42</v>
      </c>
      <c r="GF37" s="137" t="str">
        <f t="shared" si="92"/>
        <v>38</v>
      </c>
      <c r="GG37" s="135">
        <f t="shared" si="197"/>
        <v>80</v>
      </c>
      <c r="GH37" s="137">
        <f t="shared" si="198"/>
        <v>40</v>
      </c>
      <c r="GI37" s="135" t="str">
        <f t="shared" si="93"/>
        <v>D</v>
      </c>
      <c r="GJ37" s="135" t="str">
        <f>VLOOKUP(RANK(GH37,$GH$10:$GH$109),Sheet1!$A$381:$B$480,2,FALSE)</f>
        <v>44th</v>
      </c>
      <c r="GK37" s="164">
        <v>26</v>
      </c>
      <c r="GL37" s="165">
        <v>14</v>
      </c>
      <c r="GM37" s="137">
        <f t="shared" si="94"/>
        <v>40</v>
      </c>
      <c r="GN37" s="137" t="str">
        <f t="shared" si="95"/>
        <v>49</v>
      </c>
      <c r="GO37" s="135">
        <f t="shared" si="199"/>
        <v>89</v>
      </c>
      <c r="GP37" s="137">
        <f t="shared" si="96"/>
        <v>44.5</v>
      </c>
      <c r="GQ37" s="135" t="str">
        <f t="shared" si="97"/>
        <v>D</v>
      </c>
      <c r="GR37" s="135" t="str">
        <f>VLOOKUP(RANK(GP37,$GP$10:$GP$109),Sheet1!$A$381:$B$480,2,FALSE)</f>
        <v>93rd</v>
      </c>
      <c r="GS37" s="164">
        <v>24</v>
      </c>
      <c r="GT37" s="165">
        <v>30</v>
      </c>
      <c r="GU37" s="137">
        <f t="shared" si="98"/>
        <v>54</v>
      </c>
      <c r="GV37" s="137" t="str">
        <f t="shared" si="99"/>
        <v>41</v>
      </c>
      <c r="GW37" s="137">
        <f t="shared" si="100"/>
        <v>95</v>
      </c>
      <c r="GX37" s="137">
        <f t="shared" si="101"/>
        <v>47.5</v>
      </c>
      <c r="GY37" s="135" t="str">
        <f t="shared" si="102"/>
        <v>D</v>
      </c>
      <c r="GZ37" s="135" t="str">
        <f>VLOOKUP(RANK(GX37,$GX$10:$GX$109),Sheet1!$A$381:$B$480,2,FALSE)</f>
        <v>56th</v>
      </c>
      <c r="HA37" s="164">
        <v>28</v>
      </c>
      <c r="HB37" s="165">
        <v>10</v>
      </c>
      <c r="HC37" s="137">
        <f t="shared" si="103"/>
        <v>38</v>
      </c>
      <c r="HD37" s="137" t="str">
        <f t="shared" si="104"/>
        <v>40</v>
      </c>
      <c r="HE37" s="137">
        <f t="shared" si="105"/>
        <v>78</v>
      </c>
      <c r="HF37" s="137">
        <f t="shared" si="106"/>
        <v>39</v>
      </c>
      <c r="HG37" s="135" t="str">
        <f t="shared" si="107"/>
        <v>E</v>
      </c>
      <c r="HH37" s="135" t="str">
        <f>VLOOKUP(RANK(HF37,$HF$10:$HF$109),Sheet1!$A$381:$B$480,2,FALSE)</f>
        <v>71st</v>
      </c>
      <c r="HI37" s="148">
        <v>30</v>
      </c>
      <c r="HJ37" s="150">
        <v>41</v>
      </c>
      <c r="HK37" s="137">
        <f t="shared" si="108"/>
        <v>71</v>
      </c>
      <c r="HL37" s="137" t="str">
        <f t="shared" si="109"/>
        <v>75</v>
      </c>
      <c r="HM37" s="137">
        <f t="shared" si="110"/>
        <v>146</v>
      </c>
      <c r="HN37" s="137">
        <f t="shared" si="111"/>
        <v>73</v>
      </c>
      <c r="HO37" s="135" t="str">
        <f t="shared" si="112"/>
        <v>B</v>
      </c>
      <c r="HP37" s="135" t="str">
        <f>VLOOKUP(RANK(HN37,$HN$10:$HN$109),Sheet1!$A$381:$B$480,2,FALSE)</f>
        <v>19th</v>
      </c>
      <c r="HQ37" s="137"/>
      <c r="HR37" s="137"/>
      <c r="HS37" s="137">
        <f t="shared" si="113"/>
        <v>0</v>
      </c>
      <c r="HT37" s="137" t="str">
        <f t="shared" si="114"/>
        <v>0</v>
      </c>
      <c r="HU37" s="137">
        <f t="shared" si="115"/>
        <v>0</v>
      </c>
      <c r="HV37" s="137">
        <f t="shared" si="116"/>
        <v>0</v>
      </c>
      <c r="HW37" s="135" t="str">
        <f t="shared" si="117"/>
        <v>F</v>
      </c>
      <c r="HX37" s="135" t="str">
        <f>VLOOKUP(RANK(HV37,$HV$10:$HV$109),Sheet1!$A$381:$B$480,2,FALSE)</f>
        <v>1st</v>
      </c>
      <c r="HY37" s="137"/>
      <c r="HZ37" s="137"/>
      <c r="IA37" s="137">
        <f t="shared" si="118"/>
        <v>0</v>
      </c>
      <c r="IB37" s="137" t="str">
        <f t="shared" si="119"/>
        <v>0</v>
      </c>
      <c r="IC37" s="137">
        <f t="shared" si="120"/>
        <v>0</v>
      </c>
      <c r="ID37" s="137">
        <f t="shared" si="121"/>
        <v>0</v>
      </c>
      <c r="IE37" s="135" t="str">
        <f t="shared" si="122"/>
        <v>F</v>
      </c>
      <c r="IF37" s="135" t="str">
        <f>VLOOKUP(RANK(ID37,$ID$10:$ID$109),Sheet1!$A$381:$B$480,2,FALSE)</f>
        <v>1st</v>
      </c>
      <c r="IG37" s="135"/>
      <c r="IH37" s="135"/>
      <c r="II37" s="135">
        <f t="shared" si="200"/>
        <v>0</v>
      </c>
      <c r="IJ37" s="135" t="str">
        <f t="shared" si="201"/>
        <v>0</v>
      </c>
      <c r="IK37" s="135">
        <f t="shared" si="202"/>
        <v>0</v>
      </c>
      <c r="IL37" s="135">
        <f t="shared" si="203"/>
        <v>0</v>
      </c>
      <c r="IM37" s="135" t="str">
        <f t="shared" si="123"/>
        <v>F</v>
      </c>
      <c r="IN37" s="135" t="str">
        <f>VLOOKUP(RANK(IL37,$IL$10:$IL$109),Sheet1!$A$381:$B$480,2,FALSE)</f>
        <v>1st</v>
      </c>
      <c r="IO37" s="135">
        <f t="shared" si="204"/>
        <v>596.5</v>
      </c>
      <c r="IP37" s="177">
        <f t="shared" si="205"/>
        <v>35.088235294117602</v>
      </c>
      <c r="IQ37" s="135" t="str">
        <f>VLOOKUP(RANK(IP37,$IP$10:$IP$109),Sheet1!$A$381:$B$480,2,FALSE)</f>
        <v>48th</v>
      </c>
      <c r="IR37" s="178"/>
      <c r="IS37" s="137"/>
      <c r="IT37" s="137"/>
      <c r="IU37" s="137"/>
      <c r="IV37" s="137"/>
      <c r="IW37" s="181"/>
      <c r="IX37" s="184"/>
      <c r="IY37" s="186"/>
      <c r="IZ37" s="186">
        <f t="shared" si="206"/>
        <v>0</v>
      </c>
      <c r="JA37" s="186" t="str">
        <f t="shared" si="124"/>
        <v>63</v>
      </c>
      <c r="JB37" s="186" t="str">
        <f t="shared" si="125"/>
        <v>69</v>
      </c>
      <c r="JC37" s="186">
        <f t="shared" si="207"/>
        <v>132</v>
      </c>
      <c r="JD37" s="186">
        <f t="shared" si="208"/>
        <v>44</v>
      </c>
      <c r="JE37" s="135" t="str">
        <f t="shared" si="126"/>
        <v>D</v>
      </c>
      <c r="JF37" s="151" t="str">
        <f>VLOOKUP(RANK(JD37,$JD$10:$JD$109),Sheet1!$A$381:$B$480,2,FALSE)</f>
        <v>52nd</v>
      </c>
      <c r="JG37" s="186"/>
      <c r="JH37" s="186"/>
      <c r="JI37" s="186">
        <f t="shared" si="127"/>
        <v>0</v>
      </c>
      <c r="JJ37" s="186" t="str">
        <f t="shared" si="128"/>
        <v>52</v>
      </c>
      <c r="JK37" s="186" t="str">
        <f t="shared" si="129"/>
        <v>44</v>
      </c>
      <c r="JL37" s="186">
        <f t="shared" si="209"/>
        <v>96</v>
      </c>
      <c r="JM37" s="186">
        <f t="shared" si="210"/>
        <v>32</v>
      </c>
      <c r="JN37" s="135" t="str">
        <f t="shared" si="130"/>
        <v>F</v>
      </c>
      <c r="JO37" s="151" t="str">
        <f>VLOOKUP(RANK(JM37,$JM$10:$JM$109),Sheet1!$A$381:$B$480,2,FALSE)</f>
        <v>57th</v>
      </c>
      <c r="JP37" s="186"/>
      <c r="JQ37" s="186"/>
      <c r="JR37" s="186">
        <f t="shared" si="131"/>
        <v>0</v>
      </c>
      <c r="JS37" s="186" t="str">
        <f t="shared" si="132"/>
        <v>27</v>
      </c>
      <c r="JT37" s="186" t="str">
        <f t="shared" si="133"/>
        <v>54</v>
      </c>
      <c r="JU37" s="186">
        <f t="shared" si="211"/>
        <v>81</v>
      </c>
      <c r="JV37" s="186">
        <f t="shared" si="212"/>
        <v>27</v>
      </c>
      <c r="JW37" s="135" t="str">
        <f t="shared" si="134"/>
        <v>F</v>
      </c>
      <c r="JX37" s="151" t="str">
        <f>VLOOKUP(RANK(JV37,$JV$10:$JV$109),Sheet1!$A$381:$B$480,2,FALSE)</f>
        <v>67th</v>
      </c>
      <c r="JY37" s="186"/>
      <c r="JZ37" s="186"/>
      <c r="KA37" s="186">
        <f t="shared" si="135"/>
        <v>0</v>
      </c>
      <c r="KB37" s="186" t="str">
        <f t="shared" si="136"/>
        <v>60</v>
      </c>
      <c r="KC37" s="186" t="str">
        <f t="shared" si="137"/>
        <v>66</v>
      </c>
      <c r="KD37" s="186">
        <f t="shared" si="213"/>
        <v>126</v>
      </c>
      <c r="KE37" s="186">
        <f t="shared" si="214"/>
        <v>42</v>
      </c>
      <c r="KF37" s="135" t="str">
        <f t="shared" si="138"/>
        <v>D</v>
      </c>
      <c r="KG37" s="151" t="str">
        <f>VLOOKUP(RANK(KE37,$KE$10:$KE$109),Sheet1!$A$381:$B$480,2,FALSE)</f>
        <v>30th</v>
      </c>
      <c r="KH37" s="186"/>
      <c r="KI37" s="186"/>
      <c r="KJ37" s="186">
        <f t="shared" si="139"/>
        <v>0</v>
      </c>
      <c r="KK37" s="186" t="str">
        <f t="shared" si="140"/>
        <v>60</v>
      </c>
      <c r="KL37" s="186" t="str">
        <f t="shared" si="141"/>
        <v>50</v>
      </c>
      <c r="KM37" s="186">
        <f t="shared" si="215"/>
        <v>110</v>
      </c>
      <c r="KN37" s="186">
        <f t="shared" si="216"/>
        <v>36.6666666666667</v>
      </c>
      <c r="KO37" s="135" t="str">
        <f t="shared" si="142"/>
        <v>E</v>
      </c>
      <c r="KP37" s="151" t="str">
        <f>VLOOKUP(RANK(KN37,$KN$10:$KN$109),Sheet1!$A$381:$B$480,2,FALSE)</f>
        <v>50th</v>
      </c>
      <c r="KQ37" s="186"/>
      <c r="KR37" s="186"/>
      <c r="KS37" s="186">
        <f t="shared" si="143"/>
        <v>0</v>
      </c>
      <c r="KT37" s="186" t="str">
        <f t="shared" si="144"/>
        <v>0</v>
      </c>
      <c r="KU37" s="186" t="str">
        <f t="shared" si="145"/>
        <v>0</v>
      </c>
      <c r="KV37" s="186">
        <f t="shared" si="217"/>
        <v>0</v>
      </c>
      <c r="KW37" s="186">
        <f t="shared" si="218"/>
        <v>0</v>
      </c>
      <c r="KX37" s="135" t="str">
        <f t="shared" si="146"/>
        <v>F</v>
      </c>
      <c r="KY37" s="151" t="str">
        <f>VLOOKUP(RANK(KW37,$KW$10:$KW$109),Sheet1!$A$381:$B$480,2,FALSE)</f>
        <v>1st</v>
      </c>
      <c r="KZ37" s="186"/>
      <c r="LA37" s="186"/>
      <c r="LB37" s="186">
        <f t="shared" si="147"/>
        <v>0</v>
      </c>
      <c r="LC37" s="186" t="str">
        <f t="shared" si="148"/>
        <v>0</v>
      </c>
      <c r="LD37" s="186" t="str">
        <f t="shared" si="149"/>
        <v>0</v>
      </c>
      <c r="LE37" s="186">
        <f t="shared" si="219"/>
        <v>0</v>
      </c>
      <c r="LF37" s="186">
        <f t="shared" si="220"/>
        <v>0</v>
      </c>
      <c r="LG37" s="135" t="str">
        <f t="shared" si="150"/>
        <v>F</v>
      </c>
      <c r="LH37" s="151" t="str">
        <f>VLOOKUP(RANK(LF37,$LF$10:$LF$109),Sheet1!$A$381:$B$480,2,FALSE)</f>
        <v>1st</v>
      </c>
      <c r="LI37" s="186"/>
      <c r="LJ37" s="186"/>
      <c r="LK37" s="186">
        <f t="shared" si="151"/>
        <v>0</v>
      </c>
      <c r="LL37" s="186" t="str">
        <f t="shared" si="152"/>
        <v>52</v>
      </c>
      <c r="LM37" s="186" t="str">
        <f t="shared" si="153"/>
        <v>51</v>
      </c>
      <c r="LN37" s="186">
        <f t="shared" si="221"/>
        <v>103</v>
      </c>
      <c r="LO37" s="186">
        <f t="shared" si="222"/>
        <v>34.3333333333333</v>
      </c>
      <c r="LP37" s="135" t="str">
        <f t="shared" si="154"/>
        <v>F</v>
      </c>
      <c r="LQ37" s="151" t="str">
        <f>VLOOKUP(RANK(LO37,$LO$10:$LO$109),Sheet1!$A$381:$B$480,2,FALSE)</f>
        <v>50th</v>
      </c>
      <c r="LR37" s="186"/>
      <c r="LS37" s="186"/>
      <c r="LT37" s="186">
        <f t="shared" si="155"/>
        <v>0</v>
      </c>
      <c r="LU37" s="186" t="str">
        <f t="shared" si="156"/>
        <v>51</v>
      </c>
      <c r="LV37" s="186" t="str">
        <f t="shared" si="157"/>
        <v>57</v>
      </c>
      <c r="LW37" s="186">
        <f t="shared" si="223"/>
        <v>108</v>
      </c>
      <c r="LX37" s="186">
        <f t="shared" si="224"/>
        <v>36</v>
      </c>
      <c r="LY37" s="135" t="str">
        <f t="shared" si="158"/>
        <v>E</v>
      </c>
      <c r="LZ37" s="151" t="str">
        <f>VLOOKUP(RANK(LX37,$LX$10:$LX$109),Sheet1!$A$381:$B$480,2,FALSE)</f>
        <v>40th</v>
      </c>
      <c r="MA37" s="186"/>
      <c r="MB37" s="186"/>
      <c r="MC37" s="186">
        <f t="shared" si="159"/>
        <v>0</v>
      </c>
      <c r="MD37" s="186" t="str">
        <f t="shared" si="160"/>
        <v>38</v>
      </c>
      <c r="ME37" s="186" t="str">
        <f t="shared" si="161"/>
        <v>42</v>
      </c>
      <c r="MF37" s="183">
        <f t="shared" si="225"/>
        <v>80</v>
      </c>
      <c r="MG37" s="151">
        <f t="shared" si="226"/>
        <v>26.6666666666667</v>
      </c>
      <c r="MH37" s="135" t="str">
        <f t="shared" si="162"/>
        <v>F</v>
      </c>
      <c r="MI37" s="151" t="str">
        <f>VLOOKUP(RANK(MG37,$MG$10:$MG$109),Sheet1!$A$381:$B$480,2,FALSE)</f>
        <v>44th</v>
      </c>
      <c r="MJ37" s="186"/>
      <c r="MK37" s="186"/>
      <c r="ML37" s="186">
        <f t="shared" si="163"/>
        <v>0</v>
      </c>
      <c r="MM37" s="186" t="str">
        <f t="shared" si="164"/>
        <v>49</v>
      </c>
      <c r="MN37" s="186" t="str">
        <f t="shared" si="165"/>
        <v>40</v>
      </c>
      <c r="MO37" s="186">
        <f t="shared" si="227"/>
        <v>89</v>
      </c>
      <c r="MP37" s="186">
        <f t="shared" si="228"/>
        <v>29.6666666666667</v>
      </c>
      <c r="MQ37" s="135" t="str">
        <f t="shared" si="166"/>
        <v>F</v>
      </c>
      <c r="MR37" s="151" t="str">
        <f>VLOOKUP(RANK(MP37,$MP$10:$MP$109),Sheet1!$A$381:$B$480,2,FALSE)</f>
        <v>93rd</v>
      </c>
      <c r="MS37" s="186"/>
      <c r="MT37" s="186"/>
      <c r="MU37" s="186">
        <f t="shared" si="167"/>
        <v>0</v>
      </c>
      <c r="MV37" s="186" t="str">
        <f t="shared" si="168"/>
        <v>41</v>
      </c>
      <c r="MW37" s="186" t="str">
        <f t="shared" si="169"/>
        <v>54</v>
      </c>
      <c r="MX37" s="186">
        <f t="shared" si="229"/>
        <v>95</v>
      </c>
      <c r="MY37" s="186">
        <f t="shared" si="230"/>
        <v>31.6666666666667</v>
      </c>
      <c r="MZ37" s="135" t="str">
        <f t="shared" si="170"/>
        <v>F</v>
      </c>
      <c r="NA37" s="151" t="str">
        <f>VLOOKUP(RANK(MY37,$MY$10:$MY$109),Sheet1!$A$381:$B$480,2,FALSE)</f>
        <v>56th</v>
      </c>
      <c r="NB37" s="186"/>
      <c r="NC37" s="186"/>
      <c r="ND37" s="186">
        <f t="shared" si="171"/>
        <v>0</v>
      </c>
      <c r="NE37" s="186" t="str">
        <f t="shared" si="172"/>
        <v>40</v>
      </c>
      <c r="NF37" s="186" t="str">
        <f t="shared" si="173"/>
        <v>38</v>
      </c>
      <c r="NG37" s="186">
        <f t="shared" si="231"/>
        <v>78</v>
      </c>
      <c r="NH37" s="186">
        <f t="shared" si="232"/>
        <v>26</v>
      </c>
      <c r="NI37" s="135" t="str">
        <f t="shared" si="174"/>
        <v>F</v>
      </c>
      <c r="NJ37" s="151" t="str">
        <f>VLOOKUP(RANK(NH37,$NH$10:$NH$109),Sheet1!$A$381:$B$480,2,FALSE)</f>
        <v>71st</v>
      </c>
      <c r="NK37" s="186"/>
      <c r="NL37" s="186"/>
      <c r="NM37" s="186">
        <f t="shared" si="175"/>
        <v>0</v>
      </c>
      <c r="NN37" s="186" t="str">
        <f t="shared" si="176"/>
        <v>75</v>
      </c>
      <c r="NO37" s="186" t="str">
        <f t="shared" si="177"/>
        <v>71</v>
      </c>
      <c r="NP37" s="186">
        <f t="shared" si="233"/>
        <v>146</v>
      </c>
      <c r="NQ37" s="186">
        <f t="shared" si="178"/>
        <v>48.6666666666667</v>
      </c>
      <c r="NR37" s="135" t="str">
        <f t="shared" si="179"/>
        <v>D</v>
      </c>
      <c r="NS37" s="151" t="str">
        <f>VLOOKUP(RANK(NQ37,$NQ$10:$NQ$109),Sheet1!$A$381:$B$480,2,FALSE)</f>
        <v>19th</v>
      </c>
      <c r="NT37" s="186"/>
      <c r="NU37" s="186"/>
      <c r="NV37" s="186">
        <f t="shared" si="180"/>
        <v>0</v>
      </c>
      <c r="NW37" s="186" t="str">
        <f t="shared" si="181"/>
        <v>0</v>
      </c>
      <c r="NX37" s="186" t="str">
        <f t="shared" si="182"/>
        <v>0</v>
      </c>
      <c r="NY37" s="186">
        <f t="shared" si="234"/>
        <v>0</v>
      </c>
      <c r="NZ37" s="186">
        <f t="shared" si="183"/>
        <v>0</v>
      </c>
      <c r="OA37" s="135" t="str">
        <f t="shared" si="184"/>
        <v>F</v>
      </c>
      <c r="OB37" s="151" t="str">
        <f>VLOOKUP(RANK(NZ37,$NZ$10:$NZ$109),Sheet1!$A$381:$B$480,2,FALSE)</f>
        <v>1st</v>
      </c>
      <c r="OC37" s="186"/>
      <c r="OD37" s="186"/>
      <c r="OE37" s="186">
        <f t="shared" si="185"/>
        <v>0</v>
      </c>
      <c r="OF37" s="186" t="str">
        <f t="shared" si="186"/>
        <v>0</v>
      </c>
      <c r="OG37" s="186" t="str">
        <f t="shared" si="187"/>
        <v>0</v>
      </c>
      <c r="OH37" s="186">
        <f t="shared" si="235"/>
        <v>0</v>
      </c>
      <c r="OI37" s="186">
        <f t="shared" si="236"/>
        <v>0</v>
      </c>
      <c r="OJ37" s="135" t="str">
        <f t="shared" si="188"/>
        <v>F</v>
      </c>
      <c r="OK37" s="151" t="str">
        <f>VLOOKUP(RANK(OI37,$OI$10:$OI$109),Sheet1!$A$381:$B$480,2,FALSE)</f>
        <v>1st</v>
      </c>
      <c r="OL37" s="151"/>
      <c r="OM37" s="151"/>
      <c r="ON37" s="151">
        <f t="shared" si="237"/>
        <v>0</v>
      </c>
      <c r="OO37" s="151" t="str">
        <f t="shared" si="238"/>
        <v>0</v>
      </c>
      <c r="OP37" s="151" t="str">
        <f t="shared" si="239"/>
        <v>0</v>
      </c>
      <c r="OQ37" s="151">
        <f t="shared" si="240"/>
        <v>0</v>
      </c>
      <c r="OR37" s="151">
        <f t="shared" si="241"/>
        <v>0</v>
      </c>
      <c r="OS37" s="135" t="str">
        <f t="shared" si="189"/>
        <v>F</v>
      </c>
      <c r="OT37" s="151" t="str">
        <f>VLOOKUP(RANK(OR37,$OI$10:$OI$109),Sheet1!$A$381:$B$480,2,FALSE)</f>
        <v>1st</v>
      </c>
      <c r="OU37" s="151">
        <f t="shared" si="242"/>
        <v>414.66666666666703</v>
      </c>
      <c r="OV37" s="151">
        <f t="shared" si="243"/>
        <v>24.3921568627451</v>
      </c>
      <c r="OW37" s="151" t="str">
        <f>VLOOKUP(RANK(OV37,$OV$10:$OV$109),Sheet1!$A$381:$B$480,2,FALSE)</f>
        <v>47th</v>
      </c>
      <c r="OX37" s="151"/>
      <c r="OY37" s="186"/>
      <c r="OZ37" s="186"/>
      <c r="PA37" s="186"/>
      <c r="PB37" s="186"/>
    </row>
    <row r="38" spans="1:418" s="118" customFormat="1" ht="18.75">
      <c r="A38" s="131">
        <v>29</v>
      </c>
      <c r="B38" s="132" t="s">
        <v>126</v>
      </c>
      <c r="C38" s="133" t="s">
        <v>97</v>
      </c>
      <c r="D38" s="134">
        <v>31</v>
      </c>
      <c r="E38" s="134">
        <v>51</v>
      </c>
      <c r="F38" s="137">
        <f t="shared" si="0"/>
        <v>82</v>
      </c>
      <c r="G38" s="137">
        <f t="shared" si="1"/>
        <v>82</v>
      </c>
      <c r="H38" s="135" t="str">
        <f t="shared" si="190"/>
        <v>A</v>
      </c>
      <c r="I38" s="135" t="str">
        <f>VLOOKUP(RANK(G38,$G$10:$G$109),Sheet1!$A$381:$B$480,2,FALSE)</f>
        <v>2nd</v>
      </c>
      <c r="J38" s="134">
        <v>31</v>
      </c>
      <c r="K38" s="134">
        <v>25</v>
      </c>
      <c r="L38" s="137">
        <f t="shared" si="2"/>
        <v>56</v>
      </c>
      <c r="M38" s="137">
        <f t="shared" si="3"/>
        <v>56</v>
      </c>
      <c r="N38" s="135" t="str">
        <f t="shared" si="4"/>
        <v>C</v>
      </c>
      <c r="O38" s="141" t="str">
        <f>VLOOKUP(RANK(M38,$M$10:$M$109),Sheet1!$A$381:$B$480,2,FALSE)</f>
        <v>32nd</v>
      </c>
      <c r="P38" s="144">
        <v>35</v>
      </c>
      <c r="Q38" s="144">
        <v>30</v>
      </c>
      <c r="R38" s="147">
        <f t="shared" si="5"/>
        <v>65</v>
      </c>
      <c r="S38" s="137">
        <f t="shared" si="6"/>
        <v>65</v>
      </c>
      <c r="T38" s="135" t="str">
        <f t="shared" si="7"/>
        <v>B</v>
      </c>
      <c r="U38" s="135" t="str">
        <f>VLOOKUP(RANK(S38,$S$10:$S$109),Sheet1!$A$381:$B$480,2,FALSE)</f>
        <v>6th</v>
      </c>
      <c r="V38" s="134">
        <v>23</v>
      </c>
      <c r="W38" s="134">
        <v>47</v>
      </c>
      <c r="X38" s="137">
        <f t="shared" si="191"/>
        <v>70</v>
      </c>
      <c r="Y38" s="137">
        <f t="shared" si="244"/>
        <v>70</v>
      </c>
      <c r="Z38" s="135" t="str">
        <f t="shared" si="8"/>
        <v>B</v>
      </c>
      <c r="AA38" s="135" t="str">
        <f>VLOOKUP(RANK(Y38,$Y$10:$Y$109),Sheet1!$A$381:$B$480,2,FALSE)</f>
        <v>22nd</v>
      </c>
      <c r="AB38" s="134">
        <v>32</v>
      </c>
      <c r="AC38" s="134">
        <v>48</v>
      </c>
      <c r="AD38" s="137">
        <f t="shared" si="9"/>
        <v>80</v>
      </c>
      <c r="AE38" s="137">
        <f t="shared" si="10"/>
        <v>80</v>
      </c>
      <c r="AF38" s="135" t="str">
        <f t="shared" si="11"/>
        <v>A</v>
      </c>
      <c r="AG38" s="135" t="str">
        <f>VLOOKUP(RANK(AE38,$AE$10:$AE$109),Sheet1!$A$381:$B$480,2,FALSE)</f>
        <v>13th</v>
      </c>
      <c r="AH38" s="137"/>
      <c r="AI38" s="137"/>
      <c r="AJ38" s="137">
        <f t="shared" si="12"/>
        <v>0</v>
      </c>
      <c r="AK38" s="137">
        <f t="shared" si="13"/>
        <v>0</v>
      </c>
      <c r="AL38" s="135" t="str">
        <f t="shared" si="14"/>
        <v>F</v>
      </c>
      <c r="AM38" s="135" t="str">
        <f>VLOOKUP(RANK(AK38,$AK$10:$AK$109),Sheet1!$A$381:$B$480,2,FALSE)</f>
        <v>1st</v>
      </c>
      <c r="AN38" s="134"/>
      <c r="AO38" s="134"/>
      <c r="AP38" s="137">
        <f t="shared" si="15"/>
        <v>0</v>
      </c>
      <c r="AQ38" s="137">
        <f t="shared" si="16"/>
        <v>0</v>
      </c>
      <c r="AR38" s="135" t="str">
        <f t="shared" si="17"/>
        <v>F</v>
      </c>
      <c r="AS38" s="135" t="str">
        <f>VLOOKUP(RANK(AQ38,$AQ$10:$AQ$109),Sheet1!$A$381:$B$480,2,FALSE)</f>
        <v>1st</v>
      </c>
      <c r="AT38" s="144">
        <v>23</v>
      </c>
      <c r="AU38" s="144">
        <v>27</v>
      </c>
      <c r="AV38" s="137">
        <f t="shared" si="18"/>
        <v>50</v>
      </c>
      <c r="AW38" s="137">
        <f t="shared" si="19"/>
        <v>50</v>
      </c>
      <c r="AX38" s="135" t="str">
        <f t="shared" si="20"/>
        <v>C</v>
      </c>
      <c r="AY38" s="141" t="str">
        <f>VLOOKUP(RANK(AW38,$AW$10:$AW$109),Sheet1!$A$381:$B$480,2,FALSE)</f>
        <v>58th</v>
      </c>
      <c r="AZ38" s="144">
        <v>35</v>
      </c>
      <c r="BA38" s="144">
        <v>20</v>
      </c>
      <c r="BB38" s="147">
        <f t="shared" si="21"/>
        <v>55</v>
      </c>
      <c r="BC38" s="137">
        <f t="shared" si="22"/>
        <v>55</v>
      </c>
      <c r="BD38" s="135" t="str">
        <f t="shared" si="23"/>
        <v>C</v>
      </c>
      <c r="BE38" s="135" t="str">
        <f>VLOOKUP(RANK(BC38,$BC$10:$BC$109),Sheet1!$A$381:$B$480,2,FALSE)</f>
        <v>43rd</v>
      </c>
      <c r="BF38" s="144">
        <v>12</v>
      </c>
      <c r="BG38" s="144">
        <v>27</v>
      </c>
      <c r="BH38" s="137">
        <f t="shared" si="24"/>
        <v>39</v>
      </c>
      <c r="BI38" s="137">
        <f t="shared" si="25"/>
        <v>39</v>
      </c>
      <c r="BJ38" s="135" t="str">
        <f t="shared" si="26"/>
        <v>E</v>
      </c>
      <c r="BK38" s="141" t="str">
        <f>VLOOKUP(RANK(BI38,$BI$10:$BI$109),Sheet1!$A$381:$B$480,2,FALSE)</f>
        <v>34th</v>
      </c>
      <c r="BL38" s="149">
        <v>29</v>
      </c>
      <c r="BM38" s="149">
        <v>30</v>
      </c>
      <c r="BN38" s="147">
        <f t="shared" si="27"/>
        <v>59</v>
      </c>
      <c r="BO38" s="137">
        <f t="shared" si="28"/>
        <v>59</v>
      </c>
      <c r="BP38" s="135" t="str">
        <f t="shared" si="29"/>
        <v>C</v>
      </c>
      <c r="BQ38" s="141" t="str">
        <f>VLOOKUP(RANK(BO38,$BO$10:$BO$109),Sheet1!$A$381:$B$480,2,FALSE)</f>
        <v>2nd</v>
      </c>
      <c r="BR38" s="149">
        <v>27</v>
      </c>
      <c r="BS38" s="149">
        <v>15</v>
      </c>
      <c r="BT38" s="147">
        <f t="shared" si="30"/>
        <v>42</v>
      </c>
      <c r="BU38" s="137">
        <f t="shared" si="31"/>
        <v>42</v>
      </c>
      <c r="BV38" s="135" t="str">
        <f t="shared" si="32"/>
        <v>D</v>
      </c>
      <c r="BW38" s="135" t="str">
        <f>VLOOKUP(RANK(BU38,$BU$10:$BU$109),Sheet1!$A$381:$B$480,2,FALSE)</f>
        <v>55th</v>
      </c>
      <c r="BX38" s="149">
        <v>27</v>
      </c>
      <c r="BY38" s="149">
        <v>12</v>
      </c>
      <c r="BZ38" s="137">
        <f t="shared" si="33"/>
        <v>39</v>
      </c>
      <c r="CA38" s="137">
        <f t="shared" si="34"/>
        <v>39</v>
      </c>
      <c r="CB38" s="135" t="str">
        <f t="shared" si="35"/>
        <v>E</v>
      </c>
      <c r="CC38" s="135" t="str">
        <f>VLOOKUP(RANK(CA38,$CA$10:$CA$109),Sheet1!$A$381:$B$480,2,FALSE)</f>
        <v>53rd</v>
      </c>
      <c r="CD38" s="149">
        <v>32</v>
      </c>
      <c r="CE38" s="149">
        <v>43</v>
      </c>
      <c r="CF38" s="137">
        <f t="shared" si="36"/>
        <v>75</v>
      </c>
      <c r="CG38" s="137">
        <f t="shared" si="37"/>
        <v>75</v>
      </c>
      <c r="CH38" s="135" t="str">
        <f t="shared" si="38"/>
        <v>A</v>
      </c>
      <c r="CI38" s="135" t="str">
        <f>VLOOKUP(RANK(CG38,$CG$10:$CG$109),Sheet1!$A$381:$B$480,2,FALSE)</f>
        <v>12th</v>
      </c>
      <c r="CJ38" s="137"/>
      <c r="CK38" s="137"/>
      <c r="CL38" s="137">
        <f t="shared" si="39"/>
        <v>0</v>
      </c>
      <c r="CM38" s="137">
        <f t="shared" si="40"/>
        <v>0</v>
      </c>
      <c r="CN38" s="135" t="str">
        <f t="shared" si="41"/>
        <v>F</v>
      </c>
      <c r="CO38" s="135" t="str">
        <f>VLOOKUP(RANK(CM38,$CM$10:$CM$109),Sheet1!$A$381:$B$480,2,FALSE)</f>
        <v>1st</v>
      </c>
      <c r="CP38" s="137"/>
      <c r="CQ38" s="137"/>
      <c r="CR38" s="137">
        <f t="shared" si="42"/>
        <v>0</v>
      </c>
      <c r="CS38" s="137">
        <f t="shared" si="43"/>
        <v>0</v>
      </c>
      <c r="CT38" s="135" t="str">
        <f t="shared" si="44"/>
        <v>F</v>
      </c>
      <c r="CU38" s="135" t="str">
        <f>VLOOKUP(RANK(CS38,$CS$10:$CS$109),Sheet1!$A$381:$B$480,2,FALSE)</f>
        <v>1st</v>
      </c>
      <c r="CV38" s="151"/>
      <c r="CW38" s="135"/>
      <c r="CX38" s="151">
        <f t="shared" si="192"/>
        <v>0</v>
      </c>
      <c r="CY38" s="151">
        <f t="shared" si="193"/>
        <v>0</v>
      </c>
      <c r="CZ38" s="135" t="str">
        <f t="shared" si="45"/>
        <v>F</v>
      </c>
      <c r="DA38" s="135" t="str">
        <f>VLOOKUP(RANK(CY38,$CY$10:$CY$109),Sheet1!$A$381:$B$480,2,FALSE)</f>
        <v>1st</v>
      </c>
      <c r="DB38" s="135"/>
      <c r="DC38" s="151">
        <f t="shared" si="194"/>
        <v>712</v>
      </c>
      <c r="DD38" s="151">
        <f t="shared" si="195"/>
        <v>41.882352941176499</v>
      </c>
      <c r="DE38" s="135" t="str">
        <f>VLOOKUP(RANK(DD38,$DD$10:$DD$109),Sheet1!$A$381:$B$480,2,FALSE)</f>
        <v>20th</v>
      </c>
      <c r="DF38" s="137"/>
      <c r="DG38" s="160">
        <f t="shared" si="46"/>
        <v>753.88235294117601</v>
      </c>
      <c r="DH38" s="119"/>
      <c r="DI38" s="162">
        <v>28</v>
      </c>
      <c r="DJ38" s="162">
        <v>52</v>
      </c>
      <c r="DK38" s="137">
        <f t="shared" si="47"/>
        <v>80</v>
      </c>
      <c r="DL38" s="137" t="str">
        <f t="shared" si="48"/>
        <v>82</v>
      </c>
      <c r="DM38" s="137">
        <f t="shared" si="49"/>
        <v>162</v>
      </c>
      <c r="DN38" s="137">
        <f t="shared" si="50"/>
        <v>81</v>
      </c>
      <c r="DO38" s="135" t="str">
        <f t="shared" si="51"/>
        <v>A</v>
      </c>
      <c r="DP38" s="135" t="str">
        <f>VLOOKUP(RANK(DN38,$DN$10:$DN$109),Sheet1!$A$381:$B$480,2,FALSE)</f>
        <v>3rd</v>
      </c>
      <c r="DQ38" s="166">
        <v>21</v>
      </c>
      <c r="DR38" s="166">
        <v>27</v>
      </c>
      <c r="DS38" s="137">
        <f t="shared" si="52"/>
        <v>48</v>
      </c>
      <c r="DT38" s="137" t="str">
        <f t="shared" si="53"/>
        <v>56</v>
      </c>
      <c r="DU38" s="137">
        <f t="shared" si="54"/>
        <v>104</v>
      </c>
      <c r="DV38" s="137">
        <f t="shared" si="55"/>
        <v>52</v>
      </c>
      <c r="DW38" s="135" t="str">
        <f t="shared" si="56"/>
        <v>C</v>
      </c>
      <c r="DX38" s="135" t="str">
        <f>VLOOKUP(RANK(DV38,$DV$10:$DV$109),Sheet1!$A$381:$B$480,2,FALSE)</f>
        <v>35th</v>
      </c>
      <c r="DY38" s="168">
        <v>25</v>
      </c>
      <c r="DZ38" s="168">
        <v>25</v>
      </c>
      <c r="EA38" s="137">
        <f t="shared" si="57"/>
        <v>50</v>
      </c>
      <c r="EB38" s="137" t="str">
        <f t="shared" si="58"/>
        <v>65</v>
      </c>
      <c r="EC38" s="137">
        <f t="shared" si="59"/>
        <v>115</v>
      </c>
      <c r="ED38" s="137">
        <f t="shared" si="60"/>
        <v>57.5</v>
      </c>
      <c r="EE38" s="135" t="str">
        <f t="shared" si="61"/>
        <v>C</v>
      </c>
      <c r="EF38" s="135" t="str">
        <f>VLOOKUP(RANK(ED38,$ED$10:$ED$109),Sheet1!$A$381:$B$480,2,FALSE)</f>
        <v>15th</v>
      </c>
      <c r="EG38" s="162">
        <v>37</v>
      </c>
      <c r="EH38" s="162">
        <v>41</v>
      </c>
      <c r="EI38" s="137">
        <f t="shared" si="62"/>
        <v>78</v>
      </c>
      <c r="EJ38" s="137" t="str">
        <f t="shared" si="63"/>
        <v>70</v>
      </c>
      <c r="EK38" s="137">
        <f t="shared" si="64"/>
        <v>148</v>
      </c>
      <c r="EL38" s="137">
        <f t="shared" si="65"/>
        <v>74</v>
      </c>
      <c r="EM38" s="135" t="str">
        <f t="shared" si="66"/>
        <v>B</v>
      </c>
      <c r="EN38" s="135" t="str">
        <f>VLOOKUP(RANK(EL38,$EL$10:$EL$109),Sheet1!$A$381:$B$480,2,FALSE)</f>
        <v>10th</v>
      </c>
      <c r="EO38" s="162">
        <v>30</v>
      </c>
      <c r="EP38" s="162">
        <v>36</v>
      </c>
      <c r="EQ38" s="137">
        <f t="shared" si="67"/>
        <v>66</v>
      </c>
      <c r="ER38" s="137" t="str">
        <f t="shared" si="68"/>
        <v>80</v>
      </c>
      <c r="ES38" s="137">
        <f t="shared" si="69"/>
        <v>146</v>
      </c>
      <c r="ET38" s="137">
        <f t="shared" si="70"/>
        <v>73</v>
      </c>
      <c r="EU38" s="135" t="str">
        <f t="shared" si="71"/>
        <v>B</v>
      </c>
      <c r="EV38" s="135" t="str">
        <f>VLOOKUP(RANK(ET38,$ET$10:$ET$109),Sheet1!$A$381:$B$480,2,FALSE)</f>
        <v>12th</v>
      </c>
      <c r="EW38" s="137"/>
      <c r="EX38" s="137"/>
      <c r="EY38" s="137">
        <f t="shared" si="72"/>
        <v>0</v>
      </c>
      <c r="EZ38" s="137" t="str">
        <f t="shared" si="73"/>
        <v>0</v>
      </c>
      <c r="FA38" s="137">
        <f t="shared" si="74"/>
        <v>0</v>
      </c>
      <c r="FB38" s="137">
        <f t="shared" si="75"/>
        <v>0</v>
      </c>
      <c r="FC38" s="135" t="str">
        <f t="shared" si="76"/>
        <v>F</v>
      </c>
      <c r="FD38" s="135" t="str">
        <f>VLOOKUP(RANK(FB38,$FB$10:$FB$109),Sheet1!$A$381:$B$480,2,FALSE)</f>
        <v>1st</v>
      </c>
      <c r="FE38" s="137"/>
      <c r="FF38" s="137"/>
      <c r="FG38" s="137">
        <f t="shared" si="77"/>
        <v>0</v>
      </c>
      <c r="FH38" s="137" t="str">
        <f t="shared" si="78"/>
        <v>0</v>
      </c>
      <c r="FI38" s="137">
        <f t="shared" si="79"/>
        <v>0</v>
      </c>
      <c r="FJ38" s="137">
        <f t="shared" si="80"/>
        <v>0</v>
      </c>
      <c r="FK38" s="135" t="str">
        <f t="shared" si="81"/>
        <v>F</v>
      </c>
      <c r="FL38" s="135" t="str">
        <f>VLOOKUP(RANK(FJ38,$FJ$10:$FJ$109),Sheet1!$A$381:$B$480,2,FALSE)</f>
        <v>1st</v>
      </c>
      <c r="FM38" s="166">
        <v>28</v>
      </c>
      <c r="FN38" s="166">
        <v>22</v>
      </c>
      <c r="FO38" s="137">
        <f t="shared" si="82"/>
        <v>50</v>
      </c>
      <c r="FP38" s="137" t="str">
        <f t="shared" si="83"/>
        <v>50</v>
      </c>
      <c r="FQ38" s="137">
        <f t="shared" si="84"/>
        <v>100</v>
      </c>
      <c r="FR38" s="137">
        <f t="shared" si="85"/>
        <v>50</v>
      </c>
      <c r="FS38" s="135" t="str">
        <f t="shared" si="86"/>
        <v>C</v>
      </c>
      <c r="FT38" s="135" t="str">
        <f>VLOOKUP(RANK(FR38,$FR$10:$FR$109),Sheet1!$A$381:$B$480,2,FALSE)</f>
        <v>77th</v>
      </c>
      <c r="FU38" s="149">
        <v>26</v>
      </c>
      <c r="FV38" s="149">
        <v>20</v>
      </c>
      <c r="FW38" s="137">
        <f t="shared" si="87"/>
        <v>46</v>
      </c>
      <c r="FX38" s="137" t="str">
        <f t="shared" si="88"/>
        <v>55</v>
      </c>
      <c r="FY38" s="137">
        <f t="shared" si="196"/>
        <v>46</v>
      </c>
      <c r="FZ38" s="137">
        <f t="shared" si="89"/>
        <v>23</v>
      </c>
      <c r="GA38" s="135" t="str">
        <f t="shared" si="90"/>
        <v>F</v>
      </c>
      <c r="GB38" s="135" t="str">
        <f>VLOOKUP(RANK(FZ38,$FZ$10:$FZ$109),Sheet1!$A$381:$B$480,2,FALSE)</f>
        <v>61st</v>
      </c>
      <c r="GC38" s="166">
        <v>6</v>
      </c>
      <c r="GD38" s="166">
        <v>24</v>
      </c>
      <c r="GE38" s="137">
        <f t="shared" si="91"/>
        <v>30</v>
      </c>
      <c r="GF38" s="137" t="str">
        <f t="shared" si="92"/>
        <v>39</v>
      </c>
      <c r="GG38" s="135">
        <f t="shared" si="197"/>
        <v>69</v>
      </c>
      <c r="GH38" s="137">
        <f t="shared" si="198"/>
        <v>34.5</v>
      </c>
      <c r="GI38" s="135" t="str">
        <f t="shared" si="93"/>
        <v>F</v>
      </c>
      <c r="GJ38" s="135" t="str">
        <f>VLOOKUP(RANK(GH38,$GH$10:$GH$109),Sheet1!$A$381:$B$480,2,FALSE)</f>
        <v>62nd</v>
      </c>
      <c r="GK38" s="166">
        <v>25</v>
      </c>
      <c r="GL38" s="166">
        <v>8</v>
      </c>
      <c r="GM38" s="137">
        <f t="shared" si="94"/>
        <v>33</v>
      </c>
      <c r="GN38" s="137" t="str">
        <f t="shared" si="95"/>
        <v>59</v>
      </c>
      <c r="GO38" s="135">
        <f t="shared" si="199"/>
        <v>92</v>
      </c>
      <c r="GP38" s="137">
        <f t="shared" si="96"/>
        <v>46</v>
      </c>
      <c r="GQ38" s="135" t="str">
        <f t="shared" si="97"/>
        <v>D</v>
      </c>
      <c r="GR38" s="135" t="str">
        <f>VLOOKUP(RANK(GP38,$GP$10:$GP$109),Sheet1!$A$381:$B$480,2,FALSE)</f>
        <v>82nd</v>
      </c>
      <c r="GS38" s="166">
        <v>25</v>
      </c>
      <c r="GT38" s="166">
        <v>29</v>
      </c>
      <c r="GU38" s="137">
        <f t="shared" si="98"/>
        <v>54</v>
      </c>
      <c r="GV38" s="137" t="str">
        <f t="shared" si="99"/>
        <v>42</v>
      </c>
      <c r="GW38" s="137">
        <f t="shared" si="100"/>
        <v>96</v>
      </c>
      <c r="GX38" s="137">
        <f t="shared" si="101"/>
        <v>48</v>
      </c>
      <c r="GY38" s="135" t="str">
        <f t="shared" si="102"/>
        <v>D</v>
      </c>
      <c r="GZ38" s="135" t="str">
        <f>VLOOKUP(RANK(GX38,$GX$10:$GX$109),Sheet1!$A$381:$B$480,2,FALSE)</f>
        <v>55th</v>
      </c>
      <c r="HA38" s="166">
        <v>30</v>
      </c>
      <c r="HB38" s="166">
        <v>16</v>
      </c>
      <c r="HC38" s="137">
        <f t="shared" si="103"/>
        <v>46</v>
      </c>
      <c r="HD38" s="137" t="str">
        <f t="shared" si="104"/>
        <v>39</v>
      </c>
      <c r="HE38" s="137">
        <f t="shared" si="105"/>
        <v>85</v>
      </c>
      <c r="HF38" s="137">
        <f t="shared" si="106"/>
        <v>42.5</v>
      </c>
      <c r="HG38" s="135" t="str">
        <f t="shared" si="107"/>
        <v>D</v>
      </c>
      <c r="HH38" s="135" t="str">
        <f>VLOOKUP(RANK(HF38,$HF$10:$HF$109),Sheet1!$A$381:$B$480,2,FALSE)</f>
        <v>38th</v>
      </c>
      <c r="HI38" s="149">
        <v>31</v>
      </c>
      <c r="HJ38" s="149">
        <v>37</v>
      </c>
      <c r="HK38" s="137">
        <f t="shared" si="108"/>
        <v>68</v>
      </c>
      <c r="HL38" s="137" t="str">
        <f t="shared" si="109"/>
        <v>75</v>
      </c>
      <c r="HM38" s="137">
        <f t="shared" si="110"/>
        <v>143</v>
      </c>
      <c r="HN38" s="137">
        <f t="shared" si="111"/>
        <v>71.5</v>
      </c>
      <c r="HO38" s="135" t="str">
        <f t="shared" si="112"/>
        <v>B</v>
      </c>
      <c r="HP38" s="135" t="str">
        <f>VLOOKUP(RANK(HN38,$HN$10:$HN$109),Sheet1!$A$381:$B$480,2,FALSE)</f>
        <v>21st</v>
      </c>
      <c r="HQ38" s="137"/>
      <c r="HR38" s="137"/>
      <c r="HS38" s="137">
        <f t="shared" si="113"/>
        <v>0</v>
      </c>
      <c r="HT38" s="137" t="str">
        <f t="shared" si="114"/>
        <v>0</v>
      </c>
      <c r="HU38" s="137">
        <f t="shared" si="115"/>
        <v>0</v>
      </c>
      <c r="HV38" s="137">
        <f t="shared" si="116"/>
        <v>0</v>
      </c>
      <c r="HW38" s="135" t="str">
        <f t="shared" si="117"/>
        <v>F</v>
      </c>
      <c r="HX38" s="135" t="str">
        <f>VLOOKUP(RANK(HV38,$HV$10:$HV$109),Sheet1!$A$381:$B$480,2,FALSE)</f>
        <v>1st</v>
      </c>
      <c r="HY38" s="137"/>
      <c r="HZ38" s="137"/>
      <c r="IA38" s="137">
        <f t="shared" si="118"/>
        <v>0</v>
      </c>
      <c r="IB38" s="137" t="str">
        <f t="shared" si="119"/>
        <v>0</v>
      </c>
      <c r="IC38" s="137">
        <f t="shared" si="120"/>
        <v>0</v>
      </c>
      <c r="ID38" s="137">
        <f t="shared" si="121"/>
        <v>0</v>
      </c>
      <c r="IE38" s="135" t="str">
        <f t="shared" si="122"/>
        <v>F</v>
      </c>
      <c r="IF38" s="135" t="str">
        <f>VLOOKUP(RANK(ID38,$ID$10:$ID$109),Sheet1!$A$381:$B$480,2,FALSE)</f>
        <v>1st</v>
      </c>
      <c r="IG38" s="135"/>
      <c r="IH38" s="135"/>
      <c r="II38" s="135">
        <f t="shared" si="200"/>
        <v>0</v>
      </c>
      <c r="IJ38" s="135" t="str">
        <f t="shared" si="201"/>
        <v>0</v>
      </c>
      <c r="IK38" s="135">
        <f t="shared" si="202"/>
        <v>0</v>
      </c>
      <c r="IL38" s="135">
        <f t="shared" si="203"/>
        <v>0</v>
      </c>
      <c r="IM38" s="135" t="str">
        <f t="shared" si="123"/>
        <v>F</v>
      </c>
      <c r="IN38" s="135" t="str">
        <f>VLOOKUP(RANK(IL38,$IL$10:$IL$109),Sheet1!$A$381:$B$480,2,FALSE)</f>
        <v>1st</v>
      </c>
      <c r="IO38" s="135">
        <f t="shared" si="204"/>
        <v>653</v>
      </c>
      <c r="IP38" s="177">
        <f t="shared" si="205"/>
        <v>38.411764705882398</v>
      </c>
      <c r="IQ38" s="135" t="str">
        <f>VLOOKUP(RANK(IP38,$IP$10:$IP$109),Sheet1!$A$381:$B$480,2,FALSE)</f>
        <v>25th</v>
      </c>
      <c r="IR38" s="178"/>
      <c r="IS38" s="137"/>
      <c r="IT38" s="137"/>
      <c r="IU38" s="137"/>
      <c r="IV38" s="137"/>
      <c r="IW38" s="181"/>
      <c r="IX38" s="184"/>
      <c r="IY38" s="186"/>
      <c r="IZ38" s="186">
        <f t="shared" si="206"/>
        <v>0</v>
      </c>
      <c r="JA38" s="186" t="str">
        <f t="shared" si="124"/>
        <v>82</v>
      </c>
      <c r="JB38" s="186" t="str">
        <f t="shared" si="125"/>
        <v>80</v>
      </c>
      <c r="JC38" s="186">
        <f t="shared" si="207"/>
        <v>162</v>
      </c>
      <c r="JD38" s="186">
        <f t="shared" si="208"/>
        <v>54</v>
      </c>
      <c r="JE38" s="135" t="str">
        <f t="shared" si="126"/>
        <v>C</v>
      </c>
      <c r="JF38" s="151" t="str">
        <f>VLOOKUP(RANK(JD38,$JD$10:$JD$109),Sheet1!$A$381:$B$480,2,FALSE)</f>
        <v>3rd</v>
      </c>
      <c r="JG38" s="186"/>
      <c r="JH38" s="186"/>
      <c r="JI38" s="186">
        <f t="shared" si="127"/>
        <v>0</v>
      </c>
      <c r="JJ38" s="186" t="str">
        <f t="shared" si="128"/>
        <v>56</v>
      </c>
      <c r="JK38" s="186" t="str">
        <f t="shared" si="129"/>
        <v>48</v>
      </c>
      <c r="JL38" s="186">
        <f t="shared" si="209"/>
        <v>104</v>
      </c>
      <c r="JM38" s="186">
        <f t="shared" si="210"/>
        <v>34.6666666666667</v>
      </c>
      <c r="JN38" s="135" t="str">
        <f t="shared" si="130"/>
        <v>F</v>
      </c>
      <c r="JO38" s="151" t="str">
        <f>VLOOKUP(RANK(JM38,$JM$10:$JM$109),Sheet1!$A$381:$B$480,2,FALSE)</f>
        <v>35th</v>
      </c>
      <c r="JP38" s="186"/>
      <c r="JQ38" s="186"/>
      <c r="JR38" s="186">
        <f t="shared" si="131"/>
        <v>0</v>
      </c>
      <c r="JS38" s="186" t="str">
        <f t="shared" si="132"/>
        <v>65</v>
      </c>
      <c r="JT38" s="186" t="str">
        <f t="shared" si="133"/>
        <v>50</v>
      </c>
      <c r="JU38" s="186">
        <f t="shared" si="211"/>
        <v>115</v>
      </c>
      <c r="JV38" s="186">
        <f t="shared" si="212"/>
        <v>38.3333333333333</v>
      </c>
      <c r="JW38" s="135" t="str">
        <f t="shared" si="134"/>
        <v>E</v>
      </c>
      <c r="JX38" s="151" t="str">
        <f>VLOOKUP(RANK(JV38,$JV$10:$JV$109),Sheet1!$A$381:$B$480,2,FALSE)</f>
        <v>15th</v>
      </c>
      <c r="JY38" s="186"/>
      <c r="JZ38" s="186"/>
      <c r="KA38" s="186">
        <f t="shared" si="135"/>
        <v>0</v>
      </c>
      <c r="KB38" s="186" t="str">
        <f t="shared" si="136"/>
        <v>70</v>
      </c>
      <c r="KC38" s="186" t="str">
        <f t="shared" si="137"/>
        <v>78</v>
      </c>
      <c r="KD38" s="186">
        <f t="shared" si="213"/>
        <v>148</v>
      </c>
      <c r="KE38" s="186">
        <f t="shared" si="214"/>
        <v>49.3333333333333</v>
      </c>
      <c r="KF38" s="135" t="str">
        <f t="shared" si="138"/>
        <v>D</v>
      </c>
      <c r="KG38" s="151" t="str">
        <f>VLOOKUP(RANK(KE38,$KE$10:$KE$109),Sheet1!$A$381:$B$480,2,FALSE)</f>
        <v>10th</v>
      </c>
      <c r="KH38" s="186"/>
      <c r="KI38" s="186"/>
      <c r="KJ38" s="186">
        <f t="shared" si="139"/>
        <v>0</v>
      </c>
      <c r="KK38" s="186" t="str">
        <f t="shared" si="140"/>
        <v>80</v>
      </c>
      <c r="KL38" s="186" t="str">
        <f t="shared" si="141"/>
        <v>66</v>
      </c>
      <c r="KM38" s="186">
        <f t="shared" si="215"/>
        <v>146</v>
      </c>
      <c r="KN38" s="186">
        <f t="shared" si="216"/>
        <v>48.6666666666667</v>
      </c>
      <c r="KO38" s="135" t="str">
        <f t="shared" si="142"/>
        <v>D</v>
      </c>
      <c r="KP38" s="151" t="str">
        <f>VLOOKUP(RANK(KN38,$KN$10:$KN$109),Sheet1!$A$381:$B$480,2,FALSE)</f>
        <v>12th</v>
      </c>
      <c r="KQ38" s="186"/>
      <c r="KR38" s="186"/>
      <c r="KS38" s="186">
        <f t="shared" si="143"/>
        <v>0</v>
      </c>
      <c r="KT38" s="186" t="str">
        <f t="shared" si="144"/>
        <v>0</v>
      </c>
      <c r="KU38" s="186" t="str">
        <f t="shared" si="145"/>
        <v>0</v>
      </c>
      <c r="KV38" s="186">
        <f t="shared" si="217"/>
        <v>0</v>
      </c>
      <c r="KW38" s="186">
        <f t="shared" si="218"/>
        <v>0</v>
      </c>
      <c r="KX38" s="135" t="str">
        <f t="shared" si="146"/>
        <v>F</v>
      </c>
      <c r="KY38" s="151" t="str">
        <f>VLOOKUP(RANK(KW38,$KW$10:$KW$109),Sheet1!$A$381:$B$480,2,FALSE)</f>
        <v>1st</v>
      </c>
      <c r="KZ38" s="186"/>
      <c r="LA38" s="186"/>
      <c r="LB38" s="186">
        <f t="shared" si="147"/>
        <v>0</v>
      </c>
      <c r="LC38" s="186" t="str">
        <f t="shared" si="148"/>
        <v>0</v>
      </c>
      <c r="LD38" s="186" t="str">
        <f t="shared" si="149"/>
        <v>0</v>
      </c>
      <c r="LE38" s="186">
        <f t="shared" si="219"/>
        <v>0</v>
      </c>
      <c r="LF38" s="186">
        <f t="shared" si="220"/>
        <v>0</v>
      </c>
      <c r="LG38" s="135" t="str">
        <f t="shared" si="150"/>
        <v>F</v>
      </c>
      <c r="LH38" s="151" t="str">
        <f>VLOOKUP(RANK(LF38,$LF$10:$LF$109),Sheet1!$A$381:$B$480,2,FALSE)</f>
        <v>1st</v>
      </c>
      <c r="LI38" s="186"/>
      <c r="LJ38" s="186"/>
      <c r="LK38" s="186">
        <f t="shared" si="151"/>
        <v>0</v>
      </c>
      <c r="LL38" s="186" t="str">
        <f t="shared" si="152"/>
        <v>50</v>
      </c>
      <c r="LM38" s="186" t="str">
        <f t="shared" si="153"/>
        <v>50</v>
      </c>
      <c r="LN38" s="186">
        <f t="shared" si="221"/>
        <v>100</v>
      </c>
      <c r="LO38" s="186">
        <f t="shared" si="222"/>
        <v>33.3333333333333</v>
      </c>
      <c r="LP38" s="135" t="str">
        <f t="shared" si="154"/>
        <v>F</v>
      </c>
      <c r="LQ38" s="151" t="str">
        <f>VLOOKUP(RANK(LO38,$LO$10:$LO$109),Sheet1!$A$381:$B$480,2,FALSE)</f>
        <v>77th</v>
      </c>
      <c r="LR38" s="186"/>
      <c r="LS38" s="186"/>
      <c r="LT38" s="186">
        <f t="shared" si="155"/>
        <v>0</v>
      </c>
      <c r="LU38" s="186" t="str">
        <f t="shared" si="156"/>
        <v>55</v>
      </c>
      <c r="LV38" s="186" t="str">
        <f t="shared" si="157"/>
        <v>46</v>
      </c>
      <c r="LW38" s="186">
        <f t="shared" si="223"/>
        <v>101</v>
      </c>
      <c r="LX38" s="186">
        <f t="shared" si="224"/>
        <v>33.6666666666667</v>
      </c>
      <c r="LY38" s="135" t="str">
        <f t="shared" si="158"/>
        <v>F</v>
      </c>
      <c r="LZ38" s="151" t="str">
        <f>VLOOKUP(RANK(LX38,$LX$10:$LX$109),Sheet1!$A$381:$B$480,2,FALSE)</f>
        <v>53rd</v>
      </c>
      <c r="MA38" s="186"/>
      <c r="MB38" s="186"/>
      <c r="MC38" s="186">
        <f t="shared" si="159"/>
        <v>0</v>
      </c>
      <c r="MD38" s="186" t="str">
        <f t="shared" si="160"/>
        <v>39</v>
      </c>
      <c r="ME38" s="186" t="str">
        <f t="shared" si="161"/>
        <v>30</v>
      </c>
      <c r="MF38" s="183">
        <f t="shared" si="225"/>
        <v>69</v>
      </c>
      <c r="MG38" s="151">
        <f t="shared" si="226"/>
        <v>23</v>
      </c>
      <c r="MH38" s="135" t="str">
        <f t="shared" si="162"/>
        <v>F</v>
      </c>
      <c r="MI38" s="151" t="str">
        <f>VLOOKUP(RANK(MG38,$MG$10:$MG$109),Sheet1!$A$381:$B$480,2,FALSE)</f>
        <v>62nd</v>
      </c>
      <c r="MJ38" s="186"/>
      <c r="MK38" s="186"/>
      <c r="ML38" s="186">
        <f t="shared" si="163"/>
        <v>0</v>
      </c>
      <c r="MM38" s="186" t="str">
        <f t="shared" si="164"/>
        <v>59</v>
      </c>
      <c r="MN38" s="186" t="str">
        <f t="shared" si="165"/>
        <v>33</v>
      </c>
      <c r="MO38" s="186">
        <f t="shared" si="227"/>
        <v>92</v>
      </c>
      <c r="MP38" s="186">
        <f t="shared" si="228"/>
        <v>30.6666666666667</v>
      </c>
      <c r="MQ38" s="135" t="str">
        <f t="shared" si="166"/>
        <v>F</v>
      </c>
      <c r="MR38" s="151" t="str">
        <f>VLOOKUP(RANK(MP38,$MP$10:$MP$109),Sheet1!$A$381:$B$480,2,FALSE)</f>
        <v>82nd</v>
      </c>
      <c r="MS38" s="186"/>
      <c r="MT38" s="186"/>
      <c r="MU38" s="186">
        <f t="shared" si="167"/>
        <v>0</v>
      </c>
      <c r="MV38" s="186" t="str">
        <f t="shared" si="168"/>
        <v>42</v>
      </c>
      <c r="MW38" s="186" t="str">
        <f t="shared" si="169"/>
        <v>54</v>
      </c>
      <c r="MX38" s="186">
        <f t="shared" si="229"/>
        <v>96</v>
      </c>
      <c r="MY38" s="186">
        <f t="shared" si="230"/>
        <v>32</v>
      </c>
      <c r="MZ38" s="135" t="str">
        <f t="shared" si="170"/>
        <v>F</v>
      </c>
      <c r="NA38" s="151" t="str">
        <f>VLOOKUP(RANK(MY38,$MY$10:$MY$109),Sheet1!$A$381:$B$480,2,FALSE)</f>
        <v>55th</v>
      </c>
      <c r="NB38" s="186"/>
      <c r="NC38" s="186"/>
      <c r="ND38" s="186">
        <f t="shared" si="171"/>
        <v>0</v>
      </c>
      <c r="NE38" s="186" t="str">
        <f t="shared" si="172"/>
        <v>39</v>
      </c>
      <c r="NF38" s="186" t="str">
        <f t="shared" si="173"/>
        <v>46</v>
      </c>
      <c r="NG38" s="186">
        <f t="shared" si="231"/>
        <v>85</v>
      </c>
      <c r="NH38" s="186">
        <f t="shared" si="232"/>
        <v>28.3333333333333</v>
      </c>
      <c r="NI38" s="135" t="str">
        <f t="shared" si="174"/>
        <v>F</v>
      </c>
      <c r="NJ38" s="151" t="str">
        <f>VLOOKUP(RANK(NH38,$NH$10:$NH$109),Sheet1!$A$381:$B$480,2,FALSE)</f>
        <v>38th</v>
      </c>
      <c r="NK38" s="186"/>
      <c r="NL38" s="186"/>
      <c r="NM38" s="186">
        <f t="shared" si="175"/>
        <v>0</v>
      </c>
      <c r="NN38" s="186" t="str">
        <f t="shared" si="176"/>
        <v>75</v>
      </c>
      <c r="NO38" s="186" t="str">
        <f t="shared" si="177"/>
        <v>68</v>
      </c>
      <c r="NP38" s="186">
        <f t="shared" si="233"/>
        <v>143</v>
      </c>
      <c r="NQ38" s="186">
        <f t="shared" si="178"/>
        <v>47.6666666666667</v>
      </c>
      <c r="NR38" s="135" t="str">
        <f t="shared" si="179"/>
        <v>D</v>
      </c>
      <c r="NS38" s="151" t="str">
        <f>VLOOKUP(RANK(NQ38,$NQ$10:$NQ$109),Sheet1!$A$381:$B$480,2,FALSE)</f>
        <v>21st</v>
      </c>
      <c r="NT38" s="186"/>
      <c r="NU38" s="186"/>
      <c r="NV38" s="186">
        <f t="shared" si="180"/>
        <v>0</v>
      </c>
      <c r="NW38" s="186" t="str">
        <f t="shared" si="181"/>
        <v>0</v>
      </c>
      <c r="NX38" s="186" t="str">
        <f t="shared" si="182"/>
        <v>0</v>
      </c>
      <c r="NY38" s="186">
        <f t="shared" si="234"/>
        <v>0</v>
      </c>
      <c r="NZ38" s="186">
        <f t="shared" si="183"/>
        <v>0</v>
      </c>
      <c r="OA38" s="135" t="str">
        <f t="shared" si="184"/>
        <v>F</v>
      </c>
      <c r="OB38" s="151" t="str">
        <f>VLOOKUP(RANK(NZ38,$NZ$10:$NZ$109),Sheet1!$A$381:$B$480,2,FALSE)</f>
        <v>1st</v>
      </c>
      <c r="OC38" s="186"/>
      <c r="OD38" s="186"/>
      <c r="OE38" s="186">
        <f t="shared" si="185"/>
        <v>0</v>
      </c>
      <c r="OF38" s="186" t="str">
        <f t="shared" si="186"/>
        <v>0</v>
      </c>
      <c r="OG38" s="186" t="str">
        <f t="shared" si="187"/>
        <v>0</v>
      </c>
      <c r="OH38" s="186">
        <f t="shared" si="235"/>
        <v>0</v>
      </c>
      <c r="OI38" s="186">
        <f t="shared" si="236"/>
        <v>0</v>
      </c>
      <c r="OJ38" s="135" t="str">
        <f t="shared" si="188"/>
        <v>F</v>
      </c>
      <c r="OK38" s="151" t="str">
        <f>VLOOKUP(RANK(OI38,$OI$10:$OI$109),Sheet1!$A$381:$B$480,2,FALSE)</f>
        <v>1st</v>
      </c>
      <c r="OL38" s="151"/>
      <c r="OM38" s="151"/>
      <c r="ON38" s="151">
        <f t="shared" si="237"/>
        <v>0</v>
      </c>
      <c r="OO38" s="151" t="str">
        <f t="shared" si="238"/>
        <v>0</v>
      </c>
      <c r="OP38" s="151" t="str">
        <f t="shared" si="239"/>
        <v>0</v>
      </c>
      <c r="OQ38" s="151">
        <f t="shared" si="240"/>
        <v>0</v>
      </c>
      <c r="OR38" s="151">
        <f t="shared" si="241"/>
        <v>0</v>
      </c>
      <c r="OS38" s="135" t="str">
        <f t="shared" si="189"/>
        <v>F</v>
      </c>
      <c r="OT38" s="151" t="str">
        <f>VLOOKUP(RANK(OR38,$OI$10:$OI$109),Sheet1!$A$381:$B$480,2,FALSE)</f>
        <v>1st</v>
      </c>
      <c r="OU38" s="151">
        <f t="shared" si="242"/>
        <v>453.66666666666703</v>
      </c>
      <c r="OV38" s="151">
        <f t="shared" si="243"/>
        <v>26.686274509803901</v>
      </c>
      <c r="OW38" s="151" t="str">
        <f>VLOOKUP(RANK(OV38,$OV$10:$OV$109),Sheet1!$A$381:$B$480,2,FALSE)</f>
        <v>26th</v>
      </c>
      <c r="OX38" s="151"/>
      <c r="OY38" s="186"/>
      <c r="OZ38" s="186"/>
      <c r="PA38" s="186"/>
      <c r="PB38" s="186"/>
    </row>
    <row r="39" spans="1:418" s="118" customFormat="1" ht="18.75">
      <c r="A39" s="131">
        <v>30</v>
      </c>
      <c r="B39" s="132" t="s">
        <v>127</v>
      </c>
      <c r="C39" s="133" t="s">
        <v>97</v>
      </c>
      <c r="D39" s="134">
        <v>22</v>
      </c>
      <c r="E39" s="134">
        <v>40</v>
      </c>
      <c r="F39" s="137">
        <f t="shared" si="0"/>
        <v>62</v>
      </c>
      <c r="G39" s="137">
        <f t="shared" si="1"/>
        <v>62</v>
      </c>
      <c r="H39" s="135" t="str">
        <f t="shared" si="190"/>
        <v>B</v>
      </c>
      <c r="I39" s="135" t="str">
        <f>VLOOKUP(RANK(G39,$G$10:$G$109),Sheet1!$A$381:$B$480,2,FALSE)</f>
        <v>76th</v>
      </c>
      <c r="J39" s="134">
        <v>29</v>
      </c>
      <c r="K39" s="134">
        <v>37</v>
      </c>
      <c r="L39" s="137">
        <f t="shared" si="2"/>
        <v>66</v>
      </c>
      <c r="M39" s="137">
        <f t="shared" si="3"/>
        <v>66</v>
      </c>
      <c r="N39" s="135" t="str">
        <f t="shared" si="4"/>
        <v>B</v>
      </c>
      <c r="O39" s="141" t="str">
        <f>VLOOKUP(RANK(M39,$M$10:$M$109),Sheet1!$A$381:$B$480,2,FALSE)</f>
        <v>16th</v>
      </c>
      <c r="P39" s="144">
        <v>30</v>
      </c>
      <c r="Q39" s="144">
        <v>20</v>
      </c>
      <c r="R39" s="147">
        <f t="shared" si="5"/>
        <v>50</v>
      </c>
      <c r="S39" s="137">
        <f t="shared" si="6"/>
        <v>50</v>
      </c>
      <c r="T39" s="135" t="str">
        <f t="shared" si="7"/>
        <v>C</v>
      </c>
      <c r="U39" s="135" t="str">
        <f>VLOOKUP(RANK(S39,$S$10:$S$109),Sheet1!$A$381:$B$480,2,FALSE)</f>
        <v>29th</v>
      </c>
      <c r="V39" s="134">
        <v>25</v>
      </c>
      <c r="W39" s="134">
        <v>29</v>
      </c>
      <c r="X39" s="137">
        <f t="shared" si="191"/>
        <v>54</v>
      </c>
      <c r="Y39" s="137">
        <f t="shared" si="244"/>
        <v>54</v>
      </c>
      <c r="Z39" s="135" t="str">
        <f t="shared" si="8"/>
        <v>C</v>
      </c>
      <c r="AA39" s="135" t="str">
        <f>VLOOKUP(RANK(Y39,$Y$10:$Y$109),Sheet1!$A$381:$B$480,2,FALSE)</f>
        <v>48th</v>
      </c>
      <c r="AB39" s="134">
        <v>31</v>
      </c>
      <c r="AC39" s="134">
        <v>46</v>
      </c>
      <c r="AD39" s="137">
        <f t="shared" si="9"/>
        <v>77</v>
      </c>
      <c r="AE39" s="137">
        <f t="shared" si="10"/>
        <v>77</v>
      </c>
      <c r="AF39" s="135" t="str">
        <f t="shared" si="11"/>
        <v>A</v>
      </c>
      <c r="AG39" s="135" t="str">
        <f>VLOOKUP(RANK(AE39,$AE$10:$AE$109),Sheet1!$A$381:$B$480,2,FALSE)</f>
        <v>20th</v>
      </c>
      <c r="AH39" s="137"/>
      <c r="AI39" s="137"/>
      <c r="AJ39" s="137">
        <f t="shared" si="12"/>
        <v>0</v>
      </c>
      <c r="AK39" s="137">
        <f t="shared" si="13"/>
        <v>0</v>
      </c>
      <c r="AL39" s="135" t="str">
        <f t="shared" si="14"/>
        <v>F</v>
      </c>
      <c r="AM39" s="135" t="str">
        <f>VLOOKUP(RANK(AK39,$AK$10:$AK$109),Sheet1!$A$381:$B$480,2,FALSE)</f>
        <v>1st</v>
      </c>
      <c r="AN39" s="134"/>
      <c r="AO39" s="134"/>
      <c r="AP39" s="137">
        <f t="shared" si="15"/>
        <v>0</v>
      </c>
      <c r="AQ39" s="137">
        <f t="shared" si="16"/>
        <v>0</v>
      </c>
      <c r="AR39" s="135" t="str">
        <f t="shared" si="17"/>
        <v>F</v>
      </c>
      <c r="AS39" s="135" t="str">
        <f>VLOOKUP(RANK(AQ39,$AQ$10:$AQ$109),Sheet1!$A$381:$B$480,2,FALSE)</f>
        <v>1st</v>
      </c>
      <c r="AT39" s="144">
        <v>24</v>
      </c>
      <c r="AU39" s="144">
        <v>31</v>
      </c>
      <c r="AV39" s="137">
        <f t="shared" si="18"/>
        <v>55</v>
      </c>
      <c r="AW39" s="137">
        <f t="shared" si="19"/>
        <v>55</v>
      </c>
      <c r="AX39" s="135" t="str">
        <f t="shared" si="20"/>
        <v>C</v>
      </c>
      <c r="AY39" s="141" t="str">
        <f>VLOOKUP(RANK(AW39,$AW$10:$AW$109),Sheet1!$A$381:$B$480,2,FALSE)</f>
        <v>21st</v>
      </c>
      <c r="AZ39" s="144">
        <v>38</v>
      </c>
      <c r="BA39" s="144">
        <v>42</v>
      </c>
      <c r="BB39" s="147">
        <f t="shared" si="21"/>
        <v>80</v>
      </c>
      <c r="BC39" s="137">
        <f t="shared" si="22"/>
        <v>80</v>
      </c>
      <c r="BD39" s="135" t="str">
        <f t="shared" si="23"/>
        <v>A</v>
      </c>
      <c r="BE39" s="135" t="str">
        <f>VLOOKUP(RANK(BC39,$BC$10:$BC$109),Sheet1!$A$381:$B$480,2,FALSE)</f>
        <v>3rd</v>
      </c>
      <c r="BF39" s="144">
        <v>22</v>
      </c>
      <c r="BG39" s="144">
        <v>21</v>
      </c>
      <c r="BH39" s="137">
        <f t="shared" si="24"/>
        <v>43</v>
      </c>
      <c r="BI39" s="137">
        <f t="shared" si="25"/>
        <v>43</v>
      </c>
      <c r="BJ39" s="135" t="str">
        <f t="shared" si="26"/>
        <v>D</v>
      </c>
      <c r="BK39" s="141" t="str">
        <f>VLOOKUP(RANK(BI39,$BI$10:$BI$109),Sheet1!$A$381:$B$480,2,FALSE)</f>
        <v>26th</v>
      </c>
      <c r="BL39" s="149">
        <v>31</v>
      </c>
      <c r="BM39" s="149">
        <v>28</v>
      </c>
      <c r="BN39" s="147">
        <f t="shared" si="27"/>
        <v>59</v>
      </c>
      <c r="BO39" s="137">
        <f t="shared" si="28"/>
        <v>59</v>
      </c>
      <c r="BP39" s="135" t="str">
        <f t="shared" si="29"/>
        <v>C</v>
      </c>
      <c r="BQ39" s="141" t="str">
        <f>VLOOKUP(RANK(BO39,$BO$10:$BO$109),Sheet1!$A$381:$B$480,2,FALSE)</f>
        <v>2nd</v>
      </c>
      <c r="BR39" s="149">
        <v>29</v>
      </c>
      <c r="BS39" s="149">
        <v>28</v>
      </c>
      <c r="BT39" s="147">
        <f t="shared" si="30"/>
        <v>57</v>
      </c>
      <c r="BU39" s="137">
        <f t="shared" si="31"/>
        <v>57</v>
      </c>
      <c r="BV39" s="135" t="str">
        <f t="shared" si="32"/>
        <v>C</v>
      </c>
      <c r="BW39" s="135" t="str">
        <f>VLOOKUP(RANK(BU39,$BU$10:$BU$109),Sheet1!$A$381:$B$480,2,FALSE)</f>
        <v>31st</v>
      </c>
      <c r="BX39" s="149">
        <v>33</v>
      </c>
      <c r="BY39" s="149">
        <v>10</v>
      </c>
      <c r="BZ39" s="137">
        <f t="shared" si="33"/>
        <v>43</v>
      </c>
      <c r="CA39" s="137">
        <f t="shared" si="34"/>
        <v>43</v>
      </c>
      <c r="CB39" s="135" t="str">
        <f t="shared" si="35"/>
        <v>D</v>
      </c>
      <c r="CC39" s="135" t="str">
        <f>VLOOKUP(RANK(CA39,$CA$10:$CA$109),Sheet1!$A$381:$B$480,2,FALSE)</f>
        <v>28th</v>
      </c>
      <c r="CD39" s="149">
        <v>35</v>
      </c>
      <c r="CE39" s="149">
        <v>45</v>
      </c>
      <c r="CF39" s="137">
        <f t="shared" si="36"/>
        <v>80</v>
      </c>
      <c r="CG39" s="137">
        <f t="shared" si="37"/>
        <v>80</v>
      </c>
      <c r="CH39" s="135" t="str">
        <f t="shared" si="38"/>
        <v>A</v>
      </c>
      <c r="CI39" s="135" t="str">
        <f>VLOOKUP(RANK(CG39,$CG$10:$CG$109),Sheet1!$A$381:$B$480,2,FALSE)</f>
        <v>6th</v>
      </c>
      <c r="CJ39" s="137"/>
      <c r="CK39" s="137"/>
      <c r="CL39" s="137">
        <f t="shared" si="39"/>
        <v>0</v>
      </c>
      <c r="CM39" s="137">
        <f t="shared" si="40"/>
        <v>0</v>
      </c>
      <c r="CN39" s="135" t="str">
        <f t="shared" si="41"/>
        <v>F</v>
      </c>
      <c r="CO39" s="135" t="str">
        <f>VLOOKUP(RANK(CM39,$CM$10:$CM$109),Sheet1!$A$381:$B$480,2,FALSE)</f>
        <v>1st</v>
      </c>
      <c r="CP39" s="137"/>
      <c r="CQ39" s="137"/>
      <c r="CR39" s="137">
        <f t="shared" si="42"/>
        <v>0</v>
      </c>
      <c r="CS39" s="137">
        <f t="shared" si="43"/>
        <v>0</v>
      </c>
      <c r="CT39" s="135" t="str">
        <f t="shared" si="44"/>
        <v>F</v>
      </c>
      <c r="CU39" s="135" t="str">
        <f>VLOOKUP(RANK(CS39,$CS$10:$CS$109),Sheet1!$A$381:$B$480,2,FALSE)</f>
        <v>1st</v>
      </c>
      <c r="CV39" s="151"/>
      <c r="CW39" s="135"/>
      <c r="CX39" s="151">
        <f t="shared" si="192"/>
        <v>0</v>
      </c>
      <c r="CY39" s="151">
        <f t="shared" si="193"/>
        <v>0</v>
      </c>
      <c r="CZ39" s="135" t="str">
        <f t="shared" si="45"/>
        <v>F</v>
      </c>
      <c r="DA39" s="135" t="str">
        <f>VLOOKUP(RANK(CY39,$CY$10:$CY$109),Sheet1!$A$381:$B$480,2,FALSE)</f>
        <v>1st</v>
      </c>
      <c r="DB39" s="135"/>
      <c r="DC39" s="151">
        <f t="shared" si="194"/>
        <v>726</v>
      </c>
      <c r="DD39" s="151">
        <f t="shared" si="195"/>
        <v>42.705882352941202</v>
      </c>
      <c r="DE39" s="135" t="str">
        <f>VLOOKUP(RANK(DD39,$DD$10:$DD$109),Sheet1!$A$381:$B$480,2,FALSE)</f>
        <v>17th</v>
      </c>
      <c r="DF39" s="137"/>
      <c r="DG39" s="160">
        <f t="shared" si="46"/>
        <v>768.70588235294099</v>
      </c>
      <c r="DH39" s="119"/>
      <c r="DI39" s="162">
        <v>25</v>
      </c>
      <c r="DJ39" s="162">
        <v>41</v>
      </c>
      <c r="DK39" s="137">
        <f t="shared" si="47"/>
        <v>66</v>
      </c>
      <c r="DL39" s="137" t="str">
        <f t="shared" si="48"/>
        <v>62</v>
      </c>
      <c r="DM39" s="137">
        <f t="shared" si="49"/>
        <v>128</v>
      </c>
      <c r="DN39" s="137">
        <f t="shared" si="50"/>
        <v>64</v>
      </c>
      <c r="DO39" s="135" t="str">
        <f t="shared" si="51"/>
        <v>B</v>
      </c>
      <c r="DP39" s="135" t="str">
        <f>VLOOKUP(RANK(DN39,$DN$10:$DN$109),Sheet1!$A$381:$B$480,2,FALSE)</f>
        <v>62nd</v>
      </c>
      <c r="DQ39" s="166">
        <v>22</v>
      </c>
      <c r="DR39" s="166">
        <v>25</v>
      </c>
      <c r="DS39" s="137">
        <f t="shared" si="52"/>
        <v>47</v>
      </c>
      <c r="DT39" s="137" t="str">
        <f t="shared" si="53"/>
        <v>66</v>
      </c>
      <c r="DU39" s="137">
        <f t="shared" si="54"/>
        <v>113</v>
      </c>
      <c r="DV39" s="137">
        <f t="shared" si="55"/>
        <v>56.5</v>
      </c>
      <c r="DW39" s="135" t="str">
        <f t="shared" si="56"/>
        <v>C</v>
      </c>
      <c r="DX39" s="135" t="str">
        <f>VLOOKUP(RANK(DV39,$DV$10:$DV$109),Sheet1!$A$381:$B$480,2,FALSE)</f>
        <v>21st</v>
      </c>
      <c r="DY39" s="168">
        <v>27</v>
      </c>
      <c r="DZ39" s="168">
        <v>27</v>
      </c>
      <c r="EA39" s="137">
        <f t="shared" si="57"/>
        <v>54</v>
      </c>
      <c r="EB39" s="137" t="str">
        <f t="shared" si="58"/>
        <v>50</v>
      </c>
      <c r="EC39" s="137">
        <f t="shared" si="59"/>
        <v>104</v>
      </c>
      <c r="ED39" s="137">
        <f t="shared" si="60"/>
        <v>52</v>
      </c>
      <c r="EE39" s="135" t="str">
        <f t="shared" si="61"/>
        <v>C</v>
      </c>
      <c r="EF39" s="135" t="str">
        <f>VLOOKUP(RANK(ED39,$ED$10:$ED$109),Sheet1!$A$381:$B$480,2,FALSE)</f>
        <v>32nd</v>
      </c>
      <c r="EG39" s="162">
        <v>21</v>
      </c>
      <c r="EH39" s="162">
        <v>36</v>
      </c>
      <c r="EI39" s="137">
        <f t="shared" si="62"/>
        <v>57</v>
      </c>
      <c r="EJ39" s="137" t="str">
        <f t="shared" si="63"/>
        <v>54</v>
      </c>
      <c r="EK39" s="137">
        <f t="shared" si="64"/>
        <v>111</v>
      </c>
      <c r="EL39" s="137">
        <f t="shared" si="65"/>
        <v>55.5</v>
      </c>
      <c r="EM39" s="135" t="str">
        <f t="shared" si="66"/>
        <v>C</v>
      </c>
      <c r="EN39" s="135" t="str">
        <f>VLOOKUP(RANK(EL39,$EL$10:$EL$109),Sheet1!$A$381:$B$480,2,FALSE)</f>
        <v>47th</v>
      </c>
      <c r="EO39" s="162">
        <v>27</v>
      </c>
      <c r="EP39" s="162">
        <v>35</v>
      </c>
      <c r="EQ39" s="137">
        <f t="shared" si="67"/>
        <v>62</v>
      </c>
      <c r="ER39" s="137" t="str">
        <f t="shared" si="68"/>
        <v>77</v>
      </c>
      <c r="ES39" s="137">
        <f t="shared" si="69"/>
        <v>139</v>
      </c>
      <c r="ET39" s="137">
        <f t="shared" si="70"/>
        <v>69.5</v>
      </c>
      <c r="EU39" s="135" t="str">
        <f t="shared" si="71"/>
        <v>B</v>
      </c>
      <c r="EV39" s="135" t="str">
        <f>VLOOKUP(RANK(ET39,$ET$10:$ET$109),Sheet1!$A$381:$B$480,2,FALSE)</f>
        <v>17th</v>
      </c>
      <c r="EW39" s="137"/>
      <c r="EX39" s="137"/>
      <c r="EY39" s="137">
        <f t="shared" si="72"/>
        <v>0</v>
      </c>
      <c r="EZ39" s="137" t="str">
        <f t="shared" si="73"/>
        <v>0</v>
      </c>
      <c r="FA39" s="137">
        <f t="shared" si="74"/>
        <v>0</v>
      </c>
      <c r="FB39" s="137">
        <f t="shared" si="75"/>
        <v>0</v>
      </c>
      <c r="FC39" s="135" t="str">
        <f t="shared" si="76"/>
        <v>F</v>
      </c>
      <c r="FD39" s="135" t="str">
        <f>VLOOKUP(RANK(FB39,$FB$10:$FB$109),Sheet1!$A$381:$B$480,2,FALSE)</f>
        <v>1st</v>
      </c>
      <c r="FE39" s="137"/>
      <c r="FF39" s="137"/>
      <c r="FG39" s="137">
        <f t="shared" si="77"/>
        <v>0</v>
      </c>
      <c r="FH39" s="137" t="str">
        <f t="shared" si="78"/>
        <v>0</v>
      </c>
      <c r="FI39" s="137">
        <f t="shared" si="79"/>
        <v>0</v>
      </c>
      <c r="FJ39" s="137">
        <f t="shared" si="80"/>
        <v>0</v>
      </c>
      <c r="FK39" s="135" t="str">
        <f t="shared" si="81"/>
        <v>F</v>
      </c>
      <c r="FL39" s="135" t="str">
        <f>VLOOKUP(RANK(FJ39,$FJ$10:$FJ$109),Sheet1!$A$381:$B$480,2,FALSE)</f>
        <v>1st</v>
      </c>
      <c r="FM39" s="166">
        <v>30</v>
      </c>
      <c r="FN39" s="166">
        <v>35</v>
      </c>
      <c r="FO39" s="137">
        <f t="shared" si="82"/>
        <v>65</v>
      </c>
      <c r="FP39" s="137" t="str">
        <f t="shared" si="83"/>
        <v>55</v>
      </c>
      <c r="FQ39" s="137">
        <f t="shared" si="84"/>
        <v>120</v>
      </c>
      <c r="FR39" s="137">
        <f t="shared" si="85"/>
        <v>60</v>
      </c>
      <c r="FS39" s="135" t="str">
        <f t="shared" si="86"/>
        <v>B</v>
      </c>
      <c r="FT39" s="135" t="str">
        <f>VLOOKUP(RANK(FR39,$FR$10:$FR$109),Sheet1!$A$381:$B$480,2,FALSE)</f>
        <v>7th</v>
      </c>
      <c r="FU39" s="149">
        <v>26</v>
      </c>
      <c r="FV39" s="149">
        <v>20</v>
      </c>
      <c r="FW39" s="137">
        <f t="shared" si="87"/>
        <v>46</v>
      </c>
      <c r="FX39" s="137" t="str">
        <f t="shared" si="88"/>
        <v>80</v>
      </c>
      <c r="FY39" s="137">
        <f t="shared" si="196"/>
        <v>46</v>
      </c>
      <c r="FZ39" s="137">
        <f t="shared" si="89"/>
        <v>23</v>
      </c>
      <c r="GA39" s="135" t="str">
        <f t="shared" si="90"/>
        <v>F</v>
      </c>
      <c r="GB39" s="135" t="str">
        <f>VLOOKUP(RANK(FZ39,$FZ$10:$FZ$109),Sheet1!$A$381:$B$480,2,FALSE)</f>
        <v>61st</v>
      </c>
      <c r="GC39" s="166">
        <v>11</v>
      </c>
      <c r="GD39" s="166">
        <v>30</v>
      </c>
      <c r="GE39" s="137">
        <f t="shared" si="91"/>
        <v>41</v>
      </c>
      <c r="GF39" s="137" t="str">
        <f t="shared" si="92"/>
        <v>43</v>
      </c>
      <c r="GG39" s="135">
        <f t="shared" si="197"/>
        <v>84</v>
      </c>
      <c r="GH39" s="137">
        <f t="shared" si="198"/>
        <v>42</v>
      </c>
      <c r="GI39" s="135" t="str">
        <f t="shared" si="93"/>
        <v>D</v>
      </c>
      <c r="GJ39" s="135" t="str">
        <f>VLOOKUP(RANK(GH39,$GH$10:$GH$109),Sheet1!$A$381:$B$480,2,FALSE)</f>
        <v>39th</v>
      </c>
      <c r="GK39" s="166">
        <v>27</v>
      </c>
      <c r="GL39" s="166">
        <v>19</v>
      </c>
      <c r="GM39" s="137">
        <f t="shared" si="94"/>
        <v>46</v>
      </c>
      <c r="GN39" s="137" t="str">
        <f t="shared" si="95"/>
        <v>59</v>
      </c>
      <c r="GO39" s="135">
        <f t="shared" si="199"/>
        <v>105</v>
      </c>
      <c r="GP39" s="137">
        <f t="shared" si="96"/>
        <v>52.5</v>
      </c>
      <c r="GQ39" s="135" t="str">
        <f t="shared" si="97"/>
        <v>C</v>
      </c>
      <c r="GR39" s="135" t="str">
        <f>VLOOKUP(RANK(GP39,$GP$10:$GP$109),Sheet1!$A$381:$B$480,2,FALSE)</f>
        <v>7th</v>
      </c>
      <c r="GS39" s="166">
        <v>19</v>
      </c>
      <c r="GT39" s="166">
        <v>38</v>
      </c>
      <c r="GU39" s="137">
        <f t="shared" si="98"/>
        <v>57</v>
      </c>
      <c r="GV39" s="137" t="str">
        <f t="shared" si="99"/>
        <v>57</v>
      </c>
      <c r="GW39" s="137">
        <f t="shared" si="100"/>
        <v>114</v>
      </c>
      <c r="GX39" s="137">
        <f t="shared" si="101"/>
        <v>57</v>
      </c>
      <c r="GY39" s="135" t="str">
        <f t="shared" si="102"/>
        <v>C</v>
      </c>
      <c r="GZ39" s="135" t="str">
        <f>VLOOKUP(RANK(GX39,$GX$10:$GX$109),Sheet1!$A$381:$B$480,2,FALSE)</f>
        <v>29th</v>
      </c>
      <c r="HA39" s="166">
        <v>30</v>
      </c>
      <c r="HB39" s="166">
        <v>23</v>
      </c>
      <c r="HC39" s="137">
        <f t="shared" si="103"/>
        <v>53</v>
      </c>
      <c r="HD39" s="137" t="str">
        <f t="shared" si="104"/>
        <v>43</v>
      </c>
      <c r="HE39" s="137">
        <f t="shared" si="105"/>
        <v>96</v>
      </c>
      <c r="HF39" s="137">
        <f t="shared" si="106"/>
        <v>48</v>
      </c>
      <c r="HG39" s="135" t="str">
        <f t="shared" si="107"/>
        <v>D</v>
      </c>
      <c r="HH39" s="135" t="str">
        <f>VLOOKUP(RANK(HF39,$HF$10:$HF$109),Sheet1!$A$381:$B$480,2,FALSE)</f>
        <v>13th</v>
      </c>
      <c r="HI39" s="149">
        <v>30</v>
      </c>
      <c r="HJ39" s="149">
        <v>31</v>
      </c>
      <c r="HK39" s="137">
        <f t="shared" si="108"/>
        <v>61</v>
      </c>
      <c r="HL39" s="137" t="str">
        <f t="shared" si="109"/>
        <v>80</v>
      </c>
      <c r="HM39" s="137">
        <f t="shared" si="110"/>
        <v>141</v>
      </c>
      <c r="HN39" s="137">
        <f t="shared" si="111"/>
        <v>70.5</v>
      </c>
      <c r="HO39" s="135" t="str">
        <f t="shared" si="112"/>
        <v>B</v>
      </c>
      <c r="HP39" s="135" t="str">
        <f>VLOOKUP(RANK(HN39,$HN$10:$HN$109),Sheet1!$A$381:$B$480,2,FALSE)</f>
        <v>24th</v>
      </c>
      <c r="HQ39" s="137"/>
      <c r="HR39" s="137"/>
      <c r="HS39" s="137">
        <f t="shared" si="113"/>
        <v>0</v>
      </c>
      <c r="HT39" s="137" t="str">
        <f t="shared" si="114"/>
        <v>0</v>
      </c>
      <c r="HU39" s="137">
        <f t="shared" si="115"/>
        <v>0</v>
      </c>
      <c r="HV39" s="137">
        <f t="shared" si="116"/>
        <v>0</v>
      </c>
      <c r="HW39" s="135" t="str">
        <f t="shared" si="117"/>
        <v>F</v>
      </c>
      <c r="HX39" s="135" t="str">
        <f>VLOOKUP(RANK(HV39,$HV$10:$HV$109),Sheet1!$A$381:$B$480,2,FALSE)</f>
        <v>1st</v>
      </c>
      <c r="HY39" s="137"/>
      <c r="HZ39" s="137"/>
      <c r="IA39" s="137">
        <f t="shared" si="118"/>
        <v>0</v>
      </c>
      <c r="IB39" s="137" t="str">
        <f t="shared" si="119"/>
        <v>0</v>
      </c>
      <c r="IC39" s="137">
        <f t="shared" si="120"/>
        <v>0</v>
      </c>
      <c r="ID39" s="137">
        <f t="shared" si="121"/>
        <v>0</v>
      </c>
      <c r="IE39" s="135" t="str">
        <f t="shared" si="122"/>
        <v>F</v>
      </c>
      <c r="IF39" s="135" t="str">
        <f>VLOOKUP(RANK(ID39,$ID$10:$ID$109),Sheet1!$A$381:$B$480,2,FALSE)</f>
        <v>1st</v>
      </c>
      <c r="IG39" s="135"/>
      <c r="IH39" s="135"/>
      <c r="II39" s="135">
        <f t="shared" si="200"/>
        <v>0</v>
      </c>
      <c r="IJ39" s="135" t="str">
        <f t="shared" si="201"/>
        <v>0</v>
      </c>
      <c r="IK39" s="135">
        <f t="shared" si="202"/>
        <v>0</v>
      </c>
      <c r="IL39" s="135">
        <f t="shared" si="203"/>
        <v>0</v>
      </c>
      <c r="IM39" s="135" t="str">
        <f t="shared" si="123"/>
        <v>F</v>
      </c>
      <c r="IN39" s="135" t="str">
        <f>VLOOKUP(RANK(IL39,$IL$10:$IL$109),Sheet1!$A$381:$B$480,2,FALSE)</f>
        <v>1st</v>
      </c>
      <c r="IO39" s="135">
        <f t="shared" si="204"/>
        <v>650.5</v>
      </c>
      <c r="IP39" s="177">
        <f t="shared" si="205"/>
        <v>38.264705882352899</v>
      </c>
      <c r="IQ39" s="135" t="str">
        <f>VLOOKUP(RANK(IP39,$IP$10:$IP$109),Sheet1!$A$381:$B$480,2,FALSE)</f>
        <v>27th</v>
      </c>
      <c r="IR39" s="178"/>
      <c r="IS39" s="137"/>
      <c r="IT39" s="137"/>
      <c r="IU39" s="137"/>
      <c r="IV39" s="137"/>
      <c r="IW39" s="181"/>
      <c r="IX39" s="184"/>
      <c r="IY39" s="186"/>
      <c r="IZ39" s="186">
        <f t="shared" si="206"/>
        <v>0</v>
      </c>
      <c r="JA39" s="186" t="str">
        <f t="shared" si="124"/>
        <v>62</v>
      </c>
      <c r="JB39" s="186" t="str">
        <f t="shared" si="125"/>
        <v>66</v>
      </c>
      <c r="JC39" s="186">
        <f t="shared" si="207"/>
        <v>128</v>
      </c>
      <c r="JD39" s="186">
        <f t="shared" si="208"/>
        <v>42.6666666666667</v>
      </c>
      <c r="JE39" s="135" t="str">
        <f t="shared" si="126"/>
        <v>D</v>
      </c>
      <c r="JF39" s="151" t="str">
        <f>VLOOKUP(RANK(JD39,$JD$10:$JD$109),Sheet1!$A$381:$B$480,2,FALSE)</f>
        <v>62nd</v>
      </c>
      <c r="JG39" s="186"/>
      <c r="JH39" s="186"/>
      <c r="JI39" s="186">
        <f t="shared" si="127"/>
        <v>0</v>
      </c>
      <c r="JJ39" s="186" t="str">
        <f t="shared" si="128"/>
        <v>66</v>
      </c>
      <c r="JK39" s="186" t="str">
        <f t="shared" si="129"/>
        <v>47</v>
      </c>
      <c r="JL39" s="186">
        <f t="shared" si="209"/>
        <v>113</v>
      </c>
      <c r="JM39" s="186">
        <f t="shared" si="210"/>
        <v>37.6666666666667</v>
      </c>
      <c r="JN39" s="135" t="str">
        <f t="shared" si="130"/>
        <v>E</v>
      </c>
      <c r="JO39" s="151" t="str">
        <f>VLOOKUP(RANK(JM39,$JM$10:$JM$109),Sheet1!$A$381:$B$480,2,FALSE)</f>
        <v>21st</v>
      </c>
      <c r="JP39" s="186"/>
      <c r="JQ39" s="186"/>
      <c r="JR39" s="186">
        <f t="shared" si="131"/>
        <v>0</v>
      </c>
      <c r="JS39" s="186" t="str">
        <f t="shared" si="132"/>
        <v>50</v>
      </c>
      <c r="JT39" s="186" t="str">
        <f t="shared" si="133"/>
        <v>54</v>
      </c>
      <c r="JU39" s="186">
        <f t="shared" si="211"/>
        <v>104</v>
      </c>
      <c r="JV39" s="186">
        <f t="shared" si="212"/>
        <v>34.6666666666667</v>
      </c>
      <c r="JW39" s="135" t="str">
        <f t="shared" si="134"/>
        <v>F</v>
      </c>
      <c r="JX39" s="151" t="str">
        <f>VLOOKUP(RANK(JV39,$JV$10:$JV$109),Sheet1!$A$381:$B$480,2,FALSE)</f>
        <v>32nd</v>
      </c>
      <c r="JY39" s="186"/>
      <c r="JZ39" s="186"/>
      <c r="KA39" s="186">
        <f t="shared" si="135"/>
        <v>0</v>
      </c>
      <c r="KB39" s="186" t="str">
        <f t="shared" si="136"/>
        <v>54</v>
      </c>
      <c r="KC39" s="186" t="str">
        <f t="shared" si="137"/>
        <v>57</v>
      </c>
      <c r="KD39" s="186">
        <f t="shared" si="213"/>
        <v>111</v>
      </c>
      <c r="KE39" s="186">
        <f t="shared" si="214"/>
        <v>37</v>
      </c>
      <c r="KF39" s="135" t="str">
        <f t="shared" si="138"/>
        <v>E</v>
      </c>
      <c r="KG39" s="151" t="str">
        <f>VLOOKUP(RANK(KE39,$KE$10:$KE$109),Sheet1!$A$381:$B$480,2,FALSE)</f>
        <v>47th</v>
      </c>
      <c r="KH39" s="186"/>
      <c r="KI39" s="186"/>
      <c r="KJ39" s="186">
        <f t="shared" si="139"/>
        <v>0</v>
      </c>
      <c r="KK39" s="186" t="str">
        <f t="shared" si="140"/>
        <v>77</v>
      </c>
      <c r="KL39" s="186" t="str">
        <f t="shared" si="141"/>
        <v>62</v>
      </c>
      <c r="KM39" s="186">
        <f t="shared" si="215"/>
        <v>139</v>
      </c>
      <c r="KN39" s="186">
        <f t="shared" si="216"/>
        <v>46.3333333333333</v>
      </c>
      <c r="KO39" s="135" t="str">
        <f t="shared" si="142"/>
        <v>D</v>
      </c>
      <c r="KP39" s="151" t="str">
        <f>VLOOKUP(RANK(KN39,$KN$10:$KN$109),Sheet1!$A$381:$B$480,2,FALSE)</f>
        <v>17th</v>
      </c>
      <c r="KQ39" s="186"/>
      <c r="KR39" s="186"/>
      <c r="KS39" s="186">
        <f t="shared" si="143"/>
        <v>0</v>
      </c>
      <c r="KT39" s="186" t="str">
        <f t="shared" si="144"/>
        <v>0</v>
      </c>
      <c r="KU39" s="186" t="str">
        <f t="shared" si="145"/>
        <v>0</v>
      </c>
      <c r="KV39" s="186">
        <f t="shared" si="217"/>
        <v>0</v>
      </c>
      <c r="KW39" s="186">
        <f t="shared" si="218"/>
        <v>0</v>
      </c>
      <c r="KX39" s="135" t="str">
        <f t="shared" si="146"/>
        <v>F</v>
      </c>
      <c r="KY39" s="151" t="str">
        <f>VLOOKUP(RANK(KW39,$KW$10:$KW$109),Sheet1!$A$381:$B$480,2,FALSE)</f>
        <v>1st</v>
      </c>
      <c r="KZ39" s="186"/>
      <c r="LA39" s="186"/>
      <c r="LB39" s="186">
        <f t="shared" si="147"/>
        <v>0</v>
      </c>
      <c r="LC39" s="186" t="str">
        <f t="shared" si="148"/>
        <v>0</v>
      </c>
      <c r="LD39" s="186" t="str">
        <f t="shared" si="149"/>
        <v>0</v>
      </c>
      <c r="LE39" s="186">
        <f t="shared" si="219"/>
        <v>0</v>
      </c>
      <c r="LF39" s="186">
        <f t="shared" si="220"/>
        <v>0</v>
      </c>
      <c r="LG39" s="135" t="str">
        <f t="shared" si="150"/>
        <v>F</v>
      </c>
      <c r="LH39" s="151" t="str">
        <f>VLOOKUP(RANK(LF39,$LF$10:$LF$109),Sheet1!$A$381:$B$480,2,FALSE)</f>
        <v>1st</v>
      </c>
      <c r="LI39" s="186"/>
      <c r="LJ39" s="186"/>
      <c r="LK39" s="186">
        <f t="shared" si="151"/>
        <v>0</v>
      </c>
      <c r="LL39" s="186" t="str">
        <f t="shared" si="152"/>
        <v>55</v>
      </c>
      <c r="LM39" s="186" t="str">
        <f t="shared" si="153"/>
        <v>65</v>
      </c>
      <c r="LN39" s="186">
        <f t="shared" si="221"/>
        <v>120</v>
      </c>
      <c r="LO39" s="186">
        <f t="shared" si="222"/>
        <v>40</v>
      </c>
      <c r="LP39" s="135" t="str">
        <f t="shared" si="154"/>
        <v>D</v>
      </c>
      <c r="LQ39" s="151" t="str">
        <f>VLOOKUP(RANK(LO39,$LO$10:$LO$109),Sheet1!$A$381:$B$480,2,FALSE)</f>
        <v>7th</v>
      </c>
      <c r="LR39" s="186"/>
      <c r="LS39" s="186"/>
      <c r="LT39" s="186">
        <f t="shared" si="155"/>
        <v>0</v>
      </c>
      <c r="LU39" s="186" t="str">
        <f t="shared" si="156"/>
        <v>80</v>
      </c>
      <c r="LV39" s="186" t="str">
        <f t="shared" si="157"/>
        <v>46</v>
      </c>
      <c r="LW39" s="186">
        <f t="shared" si="223"/>
        <v>126</v>
      </c>
      <c r="LX39" s="186">
        <f t="shared" si="224"/>
        <v>42</v>
      </c>
      <c r="LY39" s="135" t="str">
        <f t="shared" si="158"/>
        <v>D</v>
      </c>
      <c r="LZ39" s="151" t="str">
        <f>VLOOKUP(RANK(LX39,$LX$10:$LX$109),Sheet1!$A$381:$B$480,2,FALSE)</f>
        <v>11th</v>
      </c>
      <c r="MA39" s="186"/>
      <c r="MB39" s="186"/>
      <c r="MC39" s="186">
        <f t="shared" si="159"/>
        <v>0</v>
      </c>
      <c r="MD39" s="186" t="str">
        <f t="shared" si="160"/>
        <v>43</v>
      </c>
      <c r="ME39" s="186" t="str">
        <f t="shared" si="161"/>
        <v>41</v>
      </c>
      <c r="MF39" s="183">
        <f t="shared" si="225"/>
        <v>84</v>
      </c>
      <c r="MG39" s="151">
        <f t="shared" si="226"/>
        <v>28</v>
      </c>
      <c r="MH39" s="135" t="str">
        <f t="shared" si="162"/>
        <v>F</v>
      </c>
      <c r="MI39" s="151" t="str">
        <f>VLOOKUP(RANK(MG39,$MG$10:$MG$109),Sheet1!$A$381:$B$480,2,FALSE)</f>
        <v>39th</v>
      </c>
      <c r="MJ39" s="186"/>
      <c r="MK39" s="186"/>
      <c r="ML39" s="186">
        <f t="shared" si="163"/>
        <v>0</v>
      </c>
      <c r="MM39" s="186" t="str">
        <f t="shared" si="164"/>
        <v>59</v>
      </c>
      <c r="MN39" s="186" t="str">
        <f t="shared" si="165"/>
        <v>46</v>
      </c>
      <c r="MO39" s="186">
        <f t="shared" si="227"/>
        <v>105</v>
      </c>
      <c r="MP39" s="186">
        <f t="shared" si="228"/>
        <v>35</v>
      </c>
      <c r="MQ39" s="135" t="str">
        <f t="shared" si="166"/>
        <v>E</v>
      </c>
      <c r="MR39" s="151" t="str">
        <f>VLOOKUP(RANK(MP39,$MP$10:$MP$109),Sheet1!$A$381:$B$480,2,FALSE)</f>
        <v>7th</v>
      </c>
      <c r="MS39" s="186"/>
      <c r="MT39" s="186"/>
      <c r="MU39" s="186">
        <f t="shared" si="167"/>
        <v>0</v>
      </c>
      <c r="MV39" s="186" t="str">
        <f t="shared" si="168"/>
        <v>57</v>
      </c>
      <c r="MW39" s="186" t="str">
        <f t="shared" si="169"/>
        <v>57</v>
      </c>
      <c r="MX39" s="186">
        <f t="shared" si="229"/>
        <v>114</v>
      </c>
      <c r="MY39" s="186">
        <f t="shared" si="230"/>
        <v>38</v>
      </c>
      <c r="MZ39" s="135" t="str">
        <f t="shared" si="170"/>
        <v>E</v>
      </c>
      <c r="NA39" s="151" t="str">
        <f>VLOOKUP(RANK(MY39,$MY$10:$MY$109),Sheet1!$A$381:$B$480,2,FALSE)</f>
        <v>29th</v>
      </c>
      <c r="NB39" s="186"/>
      <c r="NC39" s="186"/>
      <c r="ND39" s="186">
        <f t="shared" si="171"/>
        <v>0</v>
      </c>
      <c r="NE39" s="186" t="str">
        <f t="shared" si="172"/>
        <v>43</v>
      </c>
      <c r="NF39" s="186" t="str">
        <f t="shared" si="173"/>
        <v>53</v>
      </c>
      <c r="NG39" s="186">
        <f t="shared" si="231"/>
        <v>96</v>
      </c>
      <c r="NH39" s="186">
        <f t="shared" si="232"/>
        <v>32</v>
      </c>
      <c r="NI39" s="135" t="str">
        <f t="shared" si="174"/>
        <v>F</v>
      </c>
      <c r="NJ39" s="151" t="str">
        <f>VLOOKUP(RANK(NH39,$NH$10:$NH$109),Sheet1!$A$381:$B$480,2,FALSE)</f>
        <v>13th</v>
      </c>
      <c r="NK39" s="186"/>
      <c r="NL39" s="186"/>
      <c r="NM39" s="186">
        <f t="shared" si="175"/>
        <v>0</v>
      </c>
      <c r="NN39" s="186" t="str">
        <f t="shared" si="176"/>
        <v>80</v>
      </c>
      <c r="NO39" s="186" t="str">
        <f t="shared" si="177"/>
        <v>61</v>
      </c>
      <c r="NP39" s="186">
        <f t="shared" si="233"/>
        <v>141</v>
      </c>
      <c r="NQ39" s="186">
        <f t="shared" si="178"/>
        <v>47</v>
      </c>
      <c r="NR39" s="135" t="str">
        <f t="shared" si="179"/>
        <v>D</v>
      </c>
      <c r="NS39" s="151" t="str">
        <f>VLOOKUP(RANK(NQ39,$NQ$10:$NQ$109),Sheet1!$A$381:$B$480,2,FALSE)</f>
        <v>24th</v>
      </c>
      <c r="NT39" s="186"/>
      <c r="NU39" s="186"/>
      <c r="NV39" s="186">
        <f t="shared" si="180"/>
        <v>0</v>
      </c>
      <c r="NW39" s="186" t="str">
        <f t="shared" si="181"/>
        <v>0</v>
      </c>
      <c r="NX39" s="186" t="str">
        <f t="shared" si="182"/>
        <v>0</v>
      </c>
      <c r="NY39" s="186">
        <f t="shared" si="234"/>
        <v>0</v>
      </c>
      <c r="NZ39" s="186">
        <f t="shared" si="183"/>
        <v>0</v>
      </c>
      <c r="OA39" s="135" t="str">
        <f t="shared" si="184"/>
        <v>F</v>
      </c>
      <c r="OB39" s="151" t="str">
        <f>VLOOKUP(RANK(NZ39,$NZ$10:$NZ$109),Sheet1!$A$381:$B$480,2,FALSE)</f>
        <v>1st</v>
      </c>
      <c r="OC39" s="186"/>
      <c r="OD39" s="186"/>
      <c r="OE39" s="186">
        <f t="shared" si="185"/>
        <v>0</v>
      </c>
      <c r="OF39" s="186" t="str">
        <f t="shared" si="186"/>
        <v>0</v>
      </c>
      <c r="OG39" s="186" t="str">
        <f t="shared" si="187"/>
        <v>0</v>
      </c>
      <c r="OH39" s="186">
        <f t="shared" si="235"/>
        <v>0</v>
      </c>
      <c r="OI39" s="186">
        <f t="shared" si="236"/>
        <v>0</v>
      </c>
      <c r="OJ39" s="135" t="str">
        <f t="shared" si="188"/>
        <v>F</v>
      </c>
      <c r="OK39" s="151" t="str">
        <f>VLOOKUP(RANK(OI39,$OI$10:$OI$109),Sheet1!$A$381:$B$480,2,FALSE)</f>
        <v>1st</v>
      </c>
      <c r="OL39" s="151"/>
      <c r="OM39" s="151"/>
      <c r="ON39" s="151">
        <f t="shared" si="237"/>
        <v>0</v>
      </c>
      <c r="OO39" s="151" t="str">
        <f t="shared" si="238"/>
        <v>0</v>
      </c>
      <c r="OP39" s="151" t="str">
        <f t="shared" si="239"/>
        <v>0</v>
      </c>
      <c r="OQ39" s="151">
        <f t="shared" si="240"/>
        <v>0</v>
      </c>
      <c r="OR39" s="151">
        <f t="shared" si="241"/>
        <v>0</v>
      </c>
      <c r="OS39" s="135" t="str">
        <f t="shared" si="189"/>
        <v>F</v>
      </c>
      <c r="OT39" s="151" t="str">
        <f>VLOOKUP(RANK(OR39,$OI$10:$OI$109),Sheet1!$A$381:$B$480,2,FALSE)</f>
        <v>1st</v>
      </c>
      <c r="OU39" s="151">
        <f t="shared" si="242"/>
        <v>460.33333333333297</v>
      </c>
      <c r="OV39" s="151">
        <f t="shared" si="243"/>
        <v>27.078431372549002</v>
      </c>
      <c r="OW39" s="151" t="str">
        <f>VLOOKUP(RANK(OV39,$OV$10:$OV$109),Sheet1!$A$381:$B$480,2,FALSE)</f>
        <v>22nd</v>
      </c>
      <c r="OX39" s="151"/>
      <c r="OY39" s="186"/>
      <c r="OZ39" s="186"/>
      <c r="PA39" s="186"/>
      <c r="PB39" s="186"/>
    </row>
    <row r="40" spans="1:418" s="118" customFormat="1" ht="18.75">
      <c r="A40" s="131">
        <v>31</v>
      </c>
      <c r="B40" s="132" t="s">
        <v>128</v>
      </c>
      <c r="C40" s="133" t="s">
        <v>97</v>
      </c>
      <c r="D40" s="134">
        <v>23</v>
      </c>
      <c r="E40" s="134">
        <v>52</v>
      </c>
      <c r="F40" s="137">
        <f t="shared" si="0"/>
        <v>75</v>
      </c>
      <c r="G40" s="137">
        <f t="shared" si="1"/>
        <v>75</v>
      </c>
      <c r="H40" s="135" t="str">
        <f t="shared" si="190"/>
        <v>A</v>
      </c>
      <c r="I40" s="135" t="str">
        <f>VLOOKUP(RANK(G40,$G$10:$G$109),Sheet1!$A$381:$B$480,2,FALSE)</f>
        <v>19th</v>
      </c>
      <c r="J40" s="134">
        <v>33</v>
      </c>
      <c r="K40" s="134">
        <v>53</v>
      </c>
      <c r="L40" s="137">
        <f t="shared" si="2"/>
        <v>86</v>
      </c>
      <c r="M40" s="137">
        <f t="shared" si="3"/>
        <v>86</v>
      </c>
      <c r="N40" s="135" t="str">
        <f t="shared" si="4"/>
        <v>A</v>
      </c>
      <c r="O40" s="141" t="str">
        <f>VLOOKUP(RANK(M40,$M$10:$M$109),Sheet1!$A$381:$B$480,2,FALSE)</f>
        <v>3rd</v>
      </c>
      <c r="P40" s="144">
        <v>30</v>
      </c>
      <c r="Q40" s="144">
        <v>20</v>
      </c>
      <c r="R40" s="147">
        <f t="shared" si="5"/>
        <v>50</v>
      </c>
      <c r="S40" s="137">
        <f t="shared" si="6"/>
        <v>50</v>
      </c>
      <c r="T40" s="135" t="str">
        <f t="shared" si="7"/>
        <v>C</v>
      </c>
      <c r="U40" s="135" t="str">
        <f>VLOOKUP(RANK(S40,$S$10:$S$109),Sheet1!$A$381:$B$480,2,FALSE)</f>
        <v>29th</v>
      </c>
      <c r="V40" s="134">
        <v>38</v>
      </c>
      <c r="W40" s="134">
        <v>56</v>
      </c>
      <c r="X40" s="137">
        <f t="shared" si="191"/>
        <v>94</v>
      </c>
      <c r="Y40" s="137">
        <f t="shared" si="244"/>
        <v>94</v>
      </c>
      <c r="Z40" s="135" t="str">
        <f t="shared" si="8"/>
        <v>A</v>
      </c>
      <c r="AA40" s="135" t="str">
        <f>VLOOKUP(RANK(Y40,$Y$10:$Y$109),Sheet1!$A$381:$B$480,2,FALSE)</f>
        <v>1st</v>
      </c>
      <c r="AB40" s="134">
        <v>32</v>
      </c>
      <c r="AC40" s="134">
        <v>43</v>
      </c>
      <c r="AD40" s="137">
        <f t="shared" si="9"/>
        <v>75</v>
      </c>
      <c r="AE40" s="137">
        <f t="shared" si="10"/>
        <v>75</v>
      </c>
      <c r="AF40" s="135" t="str">
        <f t="shared" si="11"/>
        <v>A</v>
      </c>
      <c r="AG40" s="135" t="str">
        <f>VLOOKUP(RANK(AE40,$AE$10:$AE$109),Sheet1!$A$381:$B$480,2,FALSE)</f>
        <v>24th</v>
      </c>
      <c r="AH40" s="137"/>
      <c r="AI40" s="137"/>
      <c r="AJ40" s="137">
        <f t="shared" si="12"/>
        <v>0</v>
      </c>
      <c r="AK40" s="137">
        <f t="shared" si="13"/>
        <v>0</v>
      </c>
      <c r="AL40" s="135" t="str">
        <f t="shared" si="14"/>
        <v>F</v>
      </c>
      <c r="AM40" s="135" t="str">
        <f>VLOOKUP(RANK(AK40,$AK$10:$AK$109),Sheet1!$A$381:$B$480,2,FALSE)</f>
        <v>1st</v>
      </c>
      <c r="AN40" s="134"/>
      <c r="AO40" s="134"/>
      <c r="AP40" s="137">
        <f t="shared" si="15"/>
        <v>0</v>
      </c>
      <c r="AQ40" s="137">
        <f t="shared" si="16"/>
        <v>0</v>
      </c>
      <c r="AR40" s="135" t="str">
        <f t="shared" si="17"/>
        <v>F</v>
      </c>
      <c r="AS40" s="135" t="str">
        <f>VLOOKUP(RANK(AQ40,$AQ$10:$AQ$109),Sheet1!$A$381:$B$480,2,FALSE)</f>
        <v>1st</v>
      </c>
      <c r="AT40" s="144">
        <v>27</v>
      </c>
      <c r="AU40" s="144">
        <v>46</v>
      </c>
      <c r="AV40" s="137">
        <f t="shared" si="18"/>
        <v>73</v>
      </c>
      <c r="AW40" s="137">
        <f t="shared" si="19"/>
        <v>73</v>
      </c>
      <c r="AX40" s="135" t="str">
        <f t="shared" si="20"/>
        <v>B</v>
      </c>
      <c r="AY40" s="141" t="str">
        <f>VLOOKUP(RANK(AW40,$AW$10:$AW$109),Sheet1!$A$381:$B$480,2,FALSE)</f>
        <v>1st</v>
      </c>
      <c r="AZ40" s="144">
        <v>37</v>
      </c>
      <c r="BA40" s="144">
        <v>39</v>
      </c>
      <c r="BB40" s="147">
        <f t="shared" si="21"/>
        <v>76</v>
      </c>
      <c r="BC40" s="137">
        <f t="shared" si="22"/>
        <v>76</v>
      </c>
      <c r="BD40" s="135" t="str">
        <f t="shared" si="23"/>
        <v>A</v>
      </c>
      <c r="BE40" s="135" t="str">
        <f>VLOOKUP(RANK(BC40,$BC$10:$BC$109),Sheet1!$A$381:$B$480,2,FALSE)</f>
        <v>4th</v>
      </c>
      <c r="BF40" s="144">
        <v>27</v>
      </c>
      <c r="BG40" s="144">
        <v>40</v>
      </c>
      <c r="BH40" s="137">
        <f t="shared" si="24"/>
        <v>67</v>
      </c>
      <c r="BI40" s="137">
        <f t="shared" si="25"/>
        <v>67</v>
      </c>
      <c r="BJ40" s="135" t="str">
        <f t="shared" si="26"/>
        <v>B</v>
      </c>
      <c r="BK40" s="141" t="str">
        <f>VLOOKUP(RANK(BI40,$BI$10:$BI$109),Sheet1!$A$381:$B$480,2,FALSE)</f>
        <v>3rd</v>
      </c>
      <c r="BL40" s="149">
        <v>30</v>
      </c>
      <c r="BM40" s="149">
        <v>25</v>
      </c>
      <c r="BN40" s="147">
        <f t="shared" si="27"/>
        <v>55</v>
      </c>
      <c r="BO40" s="137">
        <f t="shared" si="28"/>
        <v>55</v>
      </c>
      <c r="BP40" s="135" t="str">
        <f t="shared" si="29"/>
        <v>C</v>
      </c>
      <c r="BQ40" s="141" t="str">
        <f>VLOOKUP(RANK(BO40,$BO$10:$BO$109),Sheet1!$A$381:$B$480,2,FALSE)</f>
        <v>14th</v>
      </c>
      <c r="BR40" s="149">
        <v>29</v>
      </c>
      <c r="BS40" s="149">
        <v>38</v>
      </c>
      <c r="BT40" s="147">
        <f t="shared" si="30"/>
        <v>67</v>
      </c>
      <c r="BU40" s="137">
        <f t="shared" si="31"/>
        <v>67</v>
      </c>
      <c r="BV40" s="135" t="str">
        <f t="shared" si="32"/>
        <v>B</v>
      </c>
      <c r="BW40" s="135" t="str">
        <f>VLOOKUP(RANK(BU40,$BU$10:$BU$109),Sheet1!$A$381:$B$480,2,FALSE)</f>
        <v>17th</v>
      </c>
      <c r="BX40" s="149">
        <v>34</v>
      </c>
      <c r="BY40" s="149">
        <v>30</v>
      </c>
      <c r="BZ40" s="137">
        <f t="shared" si="33"/>
        <v>64</v>
      </c>
      <c r="CA40" s="137">
        <f t="shared" si="34"/>
        <v>64</v>
      </c>
      <c r="CB40" s="135" t="str">
        <f t="shared" si="35"/>
        <v>B</v>
      </c>
      <c r="CC40" s="135" t="str">
        <f>VLOOKUP(RANK(CA40,$CA$10:$CA$109),Sheet1!$A$381:$B$480,2,FALSE)</f>
        <v>2nd</v>
      </c>
      <c r="CD40" s="149">
        <v>35</v>
      </c>
      <c r="CE40" s="149">
        <v>50</v>
      </c>
      <c r="CF40" s="137">
        <f t="shared" si="36"/>
        <v>85</v>
      </c>
      <c r="CG40" s="137">
        <f t="shared" si="37"/>
        <v>85</v>
      </c>
      <c r="CH40" s="135" t="str">
        <f t="shared" si="38"/>
        <v>A</v>
      </c>
      <c r="CI40" s="135" t="str">
        <f>VLOOKUP(RANK(CG40,$CG$10:$CG$109),Sheet1!$A$381:$B$480,2,FALSE)</f>
        <v>2nd</v>
      </c>
      <c r="CJ40" s="137"/>
      <c r="CK40" s="137"/>
      <c r="CL40" s="137">
        <f t="shared" si="39"/>
        <v>0</v>
      </c>
      <c r="CM40" s="137">
        <f t="shared" si="40"/>
        <v>0</v>
      </c>
      <c r="CN40" s="135" t="str">
        <f t="shared" si="41"/>
        <v>F</v>
      </c>
      <c r="CO40" s="135" t="str">
        <f>VLOOKUP(RANK(CM40,$CM$10:$CM$109),Sheet1!$A$381:$B$480,2,FALSE)</f>
        <v>1st</v>
      </c>
      <c r="CP40" s="137"/>
      <c r="CQ40" s="137"/>
      <c r="CR40" s="137">
        <f t="shared" si="42"/>
        <v>0</v>
      </c>
      <c r="CS40" s="137">
        <f t="shared" si="43"/>
        <v>0</v>
      </c>
      <c r="CT40" s="135" t="str">
        <f t="shared" si="44"/>
        <v>F</v>
      </c>
      <c r="CU40" s="135" t="str">
        <f>VLOOKUP(RANK(CS40,$CS$10:$CS$109),Sheet1!$A$381:$B$480,2,FALSE)</f>
        <v>1st</v>
      </c>
      <c r="CV40" s="151"/>
      <c r="CW40" s="135"/>
      <c r="CX40" s="151">
        <f t="shared" si="192"/>
        <v>0</v>
      </c>
      <c r="CY40" s="151">
        <f t="shared" si="193"/>
        <v>0</v>
      </c>
      <c r="CZ40" s="135" t="str">
        <f t="shared" si="45"/>
        <v>F</v>
      </c>
      <c r="DA40" s="135" t="str">
        <f>VLOOKUP(RANK(CY40,$CY$10:$CY$109),Sheet1!$A$381:$B$480,2,FALSE)</f>
        <v>1st</v>
      </c>
      <c r="DB40" s="135"/>
      <c r="DC40" s="151">
        <f t="shared" si="194"/>
        <v>867</v>
      </c>
      <c r="DD40" s="151">
        <f t="shared" si="195"/>
        <v>51</v>
      </c>
      <c r="DE40" s="135" t="str">
        <f>VLOOKUP(RANK(DD40,$DD$10:$DD$109),Sheet1!$A$381:$B$480,2,FALSE)</f>
        <v>2nd</v>
      </c>
      <c r="DF40" s="137"/>
      <c r="DG40" s="160">
        <f t="shared" si="46"/>
        <v>918</v>
      </c>
      <c r="DH40" s="119"/>
      <c r="DI40" s="162">
        <v>22</v>
      </c>
      <c r="DJ40" s="162">
        <v>48</v>
      </c>
      <c r="DK40" s="137">
        <f t="shared" si="47"/>
        <v>70</v>
      </c>
      <c r="DL40" s="137" t="str">
        <f t="shared" si="48"/>
        <v>75</v>
      </c>
      <c r="DM40" s="137">
        <f t="shared" si="49"/>
        <v>145</v>
      </c>
      <c r="DN40" s="137">
        <f t="shared" si="50"/>
        <v>72.5</v>
      </c>
      <c r="DO40" s="135" t="str">
        <f t="shared" si="51"/>
        <v>B</v>
      </c>
      <c r="DP40" s="135" t="str">
        <f>VLOOKUP(RANK(DN40,$DN$10:$DN$109),Sheet1!$A$381:$B$480,2,FALSE)</f>
        <v>25th</v>
      </c>
      <c r="DQ40" s="166">
        <v>23</v>
      </c>
      <c r="DR40" s="166">
        <v>30</v>
      </c>
      <c r="DS40" s="137">
        <f t="shared" si="52"/>
        <v>53</v>
      </c>
      <c r="DT40" s="137" t="str">
        <f t="shared" si="53"/>
        <v>86</v>
      </c>
      <c r="DU40" s="137">
        <f t="shared" si="54"/>
        <v>139</v>
      </c>
      <c r="DV40" s="137">
        <f t="shared" si="55"/>
        <v>69.5</v>
      </c>
      <c r="DW40" s="135" t="str">
        <f t="shared" si="56"/>
        <v>B</v>
      </c>
      <c r="DX40" s="135" t="str">
        <f>VLOOKUP(RANK(DV40,$DV$10:$DV$109),Sheet1!$A$381:$B$480,2,FALSE)</f>
        <v>2nd</v>
      </c>
      <c r="DY40" s="168">
        <v>29</v>
      </c>
      <c r="DZ40" s="168">
        <v>32</v>
      </c>
      <c r="EA40" s="137">
        <f t="shared" si="57"/>
        <v>61</v>
      </c>
      <c r="EB40" s="137" t="str">
        <f t="shared" si="58"/>
        <v>50</v>
      </c>
      <c r="EC40" s="137">
        <f t="shared" si="59"/>
        <v>111</v>
      </c>
      <c r="ED40" s="137">
        <f t="shared" si="60"/>
        <v>55.5</v>
      </c>
      <c r="EE40" s="135" t="str">
        <f t="shared" si="61"/>
        <v>C</v>
      </c>
      <c r="EF40" s="135" t="str">
        <f>VLOOKUP(RANK(ED40,$ED$10:$ED$109),Sheet1!$A$381:$B$480,2,FALSE)</f>
        <v>24th</v>
      </c>
      <c r="EG40" s="162">
        <v>27</v>
      </c>
      <c r="EH40" s="162">
        <v>39</v>
      </c>
      <c r="EI40" s="137">
        <f t="shared" si="62"/>
        <v>66</v>
      </c>
      <c r="EJ40" s="137" t="str">
        <f t="shared" si="63"/>
        <v>94</v>
      </c>
      <c r="EK40" s="137">
        <f t="shared" si="64"/>
        <v>160</v>
      </c>
      <c r="EL40" s="137">
        <f t="shared" si="65"/>
        <v>80</v>
      </c>
      <c r="EM40" s="135" t="str">
        <f t="shared" si="66"/>
        <v>A</v>
      </c>
      <c r="EN40" s="135" t="str">
        <f>VLOOKUP(RANK(EL40,$EL$10:$EL$109),Sheet1!$A$381:$B$480,2,FALSE)</f>
        <v>2nd</v>
      </c>
      <c r="EO40" s="162">
        <v>32</v>
      </c>
      <c r="EP40" s="162">
        <v>38</v>
      </c>
      <c r="EQ40" s="137">
        <f t="shared" si="67"/>
        <v>70</v>
      </c>
      <c r="ER40" s="137" t="str">
        <f t="shared" si="68"/>
        <v>75</v>
      </c>
      <c r="ES40" s="137">
        <f t="shared" si="69"/>
        <v>145</v>
      </c>
      <c r="ET40" s="137">
        <f t="shared" si="70"/>
        <v>72.5</v>
      </c>
      <c r="EU40" s="135" t="str">
        <f t="shared" si="71"/>
        <v>B</v>
      </c>
      <c r="EV40" s="135" t="str">
        <f>VLOOKUP(RANK(ET40,$ET$10:$ET$109),Sheet1!$A$381:$B$480,2,FALSE)</f>
        <v>13th</v>
      </c>
      <c r="EW40" s="137"/>
      <c r="EX40" s="137"/>
      <c r="EY40" s="137">
        <f t="shared" si="72"/>
        <v>0</v>
      </c>
      <c r="EZ40" s="137" t="str">
        <f t="shared" si="73"/>
        <v>0</v>
      </c>
      <c r="FA40" s="137">
        <f t="shared" si="74"/>
        <v>0</v>
      </c>
      <c r="FB40" s="137">
        <f t="shared" si="75"/>
        <v>0</v>
      </c>
      <c r="FC40" s="135" t="str">
        <f t="shared" si="76"/>
        <v>F</v>
      </c>
      <c r="FD40" s="135" t="str">
        <f>VLOOKUP(RANK(FB40,$FB$10:$FB$109),Sheet1!$A$381:$B$480,2,FALSE)</f>
        <v>1st</v>
      </c>
      <c r="FE40" s="137"/>
      <c r="FF40" s="137"/>
      <c r="FG40" s="137">
        <f t="shared" si="77"/>
        <v>0</v>
      </c>
      <c r="FH40" s="137" t="str">
        <f t="shared" si="78"/>
        <v>0</v>
      </c>
      <c r="FI40" s="137">
        <f t="shared" si="79"/>
        <v>0</v>
      </c>
      <c r="FJ40" s="137">
        <f t="shared" si="80"/>
        <v>0</v>
      </c>
      <c r="FK40" s="135" t="str">
        <f t="shared" si="81"/>
        <v>F</v>
      </c>
      <c r="FL40" s="135" t="str">
        <f>VLOOKUP(RANK(FJ40,$FJ$10:$FJ$109),Sheet1!$A$381:$B$480,2,FALSE)</f>
        <v>1st</v>
      </c>
      <c r="FM40" s="166">
        <v>28</v>
      </c>
      <c r="FN40" s="166">
        <v>28</v>
      </c>
      <c r="FO40" s="137">
        <f t="shared" si="82"/>
        <v>56</v>
      </c>
      <c r="FP40" s="137" t="str">
        <f t="shared" si="83"/>
        <v>73</v>
      </c>
      <c r="FQ40" s="137">
        <f t="shared" si="84"/>
        <v>129</v>
      </c>
      <c r="FR40" s="137">
        <f t="shared" si="85"/>
        <v>64.5</v>
      </c>
      <c r="FS40" s="135" t="str">
        <f t="shared" si="86"/>
        <v>B</v>
      </c>
      <c r="FT40" s="135" t="str">
        <f>VLOOKUP(RANK(FR40,$FR$10:$FR$109),Sheet1!$A$381:$B$480,2,FALSE)</f>
        <v>5th</v>
      </c>
      <c r="FU40" s="149">
        <v>26</v>
      </c>
      <c r="FV40" s="149">
        <v>50</v>
      </c>
      <c r="FW40" s="137">
        <f t="shared" si="87"/>
        <v>76</v>
      </c>
      <c r="FX40" s="137" t="str">
        <f t="shared" si="88"/>
        <v>76</v>
      </c>
      <c r="FY40" s="137">
        <f t="shared" si="196"/>
        <v>76</v>
      </c>
      <c r="FZ40" s="137">
        <f t="shared" si="89"/>
        <v>38</v>
      </c>
      <c r="GA40" s="135" t="str">
        <f t="shared" si="90"/>
        <v>E</v>
      </c>
      <c r="GB40" s="135" t="str">
        <f>VLOOKUP(RANK(FZ40,$FZ$10:$FZ$109),Sheet1!$A$381:$B$480,2,FALSE)</f>
        <v>2nd</v>
      </c>
      <c r="GC40" s="166">
        <v>22</v>
      </c>
      <c r="GD40" s="166">
        <v>30</v>
      </c>
      <c r="GE40" s="137">
        <f t="shared" si="91"/>
        <v>52</v>
      </c>
      <c r="GF40" s="137" t="str">
        <f t="shared" si="92"/>
        <v>67</v>
      </c>
      <c r="GG40" s="135">
        <f t="shared" si="197"/>
        <v>119</v>
      </c>
      <c r="GH40" s="137">
        <f t="shared" si="198"/>
        <v>59.5</v>
      </c>
      <c r="GI40" s="135" t="str">
        <f t="shared" si="93"/>
        <v>C</v>
      </c>
      <c r="GJ40" s="135" t="str">
        <f>VLOOKUP(RANK(GH40,$GH$10:$GH$109),Sheet1!$A$381:$B$480,2,FALSE)</f>
        <v>7th</v>
      </c>
      <c r="GK40" s="166">
        <v>30</v>
      </c>
      <c r="GL40" s="166">
        <v>29</v>
      </c>
      <c r="GM40" s="137">
        <f t="shared" si="94"/>
        <v>59</v>
      </c>
      <c r="GN40" s="137" t="str">
        <f t="shared" si="95"/>
        <v>55</v>
      </c>
      <c r="GO40" s="135">
        <f t="shared" si="199"/>
        <v>114</v>
      </c>
      <c r="GP40" s="137">
        <f t="shared" si="96"/>
        <v>57</v>
      </c>
      <c r="GQ40" s="135" t="str">
        <f t="shared" si="97"/>
        <v>C</v>
      </c>
      <c r="GR40" s="135" t="str">
        <f>VLOOKUP(RANK(GP40,$GP$10:$GP$109),Sheet1!$A$381:$B$480,2,FALSE)</f>
        <v>1st</v>
      </c>
      <c r="GS40" s="166">
        <v>19</v>
      </c>
      <c r="GT40" s="166">
        <v>51</v>
      </c>
      <c r="GU40" s="137">
        <f t="shared" si="98"/>
        <v>70</v>
      </c>
      <c r="GV40" s="137" t="str">
        <f t="shared" si="99"/>
        <v>67</v>
      </c>
      <c r="GW40" s="137">
        <f t="shared" si="100"/>
        <v>137</v>
      </c>
      <c r="GX40" s="137">
        <f t="shared" si="101"/>
        <v>68.5</v>
      </c>
      <c r="GY40" s="135" t="str">
        <f t="shared" si="102"/>
        <v>B</v>
      </c>
      <c r="GZ40" s="135" t="str">
        <f>VLOOKUP(RANK(GX40,$GX$10:$GX$109),Sheet1!$A$381:$B$480,2,FALSE)</f>
        <v>12th</v>
      </c>
      <c r="HA40" s="166">
        <v>28</v>
      </c>
      <c r="HB40" s="166">
        <v>30</v>
      </c>
      <c r="HC40" s="137">
        <f t="shared" si="103"/>
        <v>58</v>
      </c>
      <c r="HD40" s="137" t="str">
        <f t="shared" si="104"/>
        <v>64</v>
      </c>
      <c r="HE40" s="137">
        <f t="shared" si="105"/>
        <v>122</v>
      </c>
      <c r="HF40" s="137">
        <f t="shared" si="106"/>
        <v>61</v>
      </c>
      <c r="HG40" s="135" t="str">
        <f t="shared" si="107"/>
        <v>B</v>
      </c>
      <c r="HH40" s="135" t="str">
        <f>VLOOKUP(RANK(HF40,$HF$10:$HF$109),Sheet1!$A$381:$B$480,2,FALSE)</f>
        <v>3rd</v>
      </c>
      <c r="HI40" s="149">
        <v>30</v>
      </c>
      <c r="HJ40" s="149">
        <v>50</v>
      </c>
      <c r="HK40" s="137">
        <f t="shared" si="108"/>
        <v>80</v>
      </c>
      <c r="HL40" s="137" t="str">
        <f t="shared" si="109"/>
        <v>85</v>
      </c>
      <c r="HM40" s="137">
        <f t="shared" si="110"/>
        <v>165</v>
      </c>
      <c r="HN40" s="137">
        <f t="shared" si="111"/>
        <v>82.5</v>
      </c>
      <c r="HO40" s="135" t="str">
        <f t="shared" si="112"/>
        <v>A</v>
      </c>
      <c r="HP40" s="135" t="str">
        <f>VLOOKUP(RANK(HN40,$HN$10:$HN$109),Sheet1!$A$381:$B$480,2,FALSE)</f>
        <v>3rd</v>
      </c>
      <c r="HQ40" s="137"/>
      <c r="HR40" s="137"/>
      <c r="HS40" s="137">
        <f t="shared" si="113"/>
        <v>0</v>
      </c>
      <c r="HT40" s="137" t="str">
        <f t="shared" si="114"/>
        <v>0</v>
      </c>
      <c r="HU40" s="137">
        <f t="shared" si="115"/>
        <v>0</v>
      </c>
      <c r="HV40" s="137">
        <f t="shared" si="116"/>
        <v>0</v>
      </c>
      <c r="HW40" s="135" t="str">
        <f t="shared" si="117"/>
        <v>F</v>
      </c>
      <c r="HX40" s="135" t="str">
        <f>VLOOKUP(RANK(HV40,$HV$10:$HV$109),Sheet1!$A$381:$B$480,2,FALSE)</f>
        <v>1st</v>
      </c>
      <c r="HY40" s="137"/>
      <c r="HZ40" s="137"/>
      <c r="IA40" s="137">
        <f t="shared" si="118"/>
        <v>0</v>
      </c>
      <c r="IB40" s="137" t="str">
        <f t="shared" si="119"/>
        <v>0</v>
      </c>
      <c r="IC40" s="137">
        <f t="shared" si="120"/>
        <v>0</v>
      </c>
      <c r="ID40" s="137">
        <f t="shared" si="121"/>
        <v>0</v>
      </c>
      <c r="IE40" s="135" t="str">
        <f t="shared" si="122"/>
        <v>F</v>
      </c>
      <c r="IF40" s="135" t="str">
        <f>VLOOKUP(RANK(ID40,$ID$10:$ID$109),Sheet1!$A$381:$B$480,2,FALSE)</f>
        <v>1st</v>
      </c>
      <c r="IG40" s="135"/>
      <c r="IH40" s="135"/>
      <c r="II40" s="135">
        <f t="shared" si="200"/>
        <v>0</v>
      </c>
      <c r="IJ40" s="135" t="str">
        <f t="shared" si="201"/>
        <v>0</v>
      </c>
      <c r="IK40" s="135">
        <f t="shared" si="202"/>
        <v>0</v>
      </c>
      <c r="IL40" s="135">
        <f t="shared" si="203"/>
        <v>0</v>
      </c>
      <c r="IM40" s="135" t="str">
        <f t="shared" si="123"/>
        <v>F</v>
      </c>
      <c r="IN40" s="135" t="str">
        <f>VLOOKUP(RANK(IL40,$IL$10:$IL$109),Sheet1!$A$381:$B$480,2,FALSE)</f>
        <v>1st</v>
      </c>
      <c r="IO40" s="135">
        <f t="shared" si="204"/>
        <v>781</v>
      </c>
      <c r="IP40" s="177">
        <f t="shared" si="205"/>
        <v>45.941176470588204</v>
      </c>
      <c r="IQ40" s="135" t="str">
        <f>VLOOKUP(RANK(IP40,$IP$10:$IP$109),Sheet1!$A$381:$B$480,2,FALSE)</f>
        <v>4th</v>
      </c>
      <c r="IR40" s="178"/>
      <c r="IS40" s="137"/>
      <c r="IT40" s="137"/>
      <c r="IU40" s="137"/>
      <c r="IV40" s="137"/>
      <c r="IW40" s="181"/>
      <c r="IX40" s="184"/>
      <c r="IY40" s="186"/>
      <c r="IZ40" s="186">
        <f t="shared" si="206"/>
        <v>0</v>
      </c>
      <c r="JA40" s="186" t="str">
        <f t="shared" si="124"/>
        <v>75</v>
      </c>
      <c r="JB40" s="186" t="str">
        <f t="shared" si="125"/>
        <v>70</v>
      </c>
      <c r="JC40" s="186">
        <f t="shared" si="207"/>
        <v>145</v>
      </c>
      <c r="JD40" s="186">
        <f t="shared" si="208"/>
        <v>48.3333333333333</v>
      </c>
      <c r="JE40" s="135" t="str">
        <f t="shared" si="126"/>
        <v>D</v>
      </c>
      <c r="JF40" s="151" t="str">
        <f>VLOOKUP(RANK(JD40,$JD$10:$JD$109),Sheet1!$A$381:$B$480,2,FALSE)</f>
        <v>25th</v>
      </c>
      <c r="JG40" s="186"/>
      <c r="JH40" s="186"/>
      <c r="JI40" s="186">
        <f t="shared" si="127"/>
        <v>0</v>
      </c>
      <c r="JJ40" s="186" t="str">
        <f t="shared" si="128"/>
        <v>86</v>
      </c>
      <c r="JK40" s="186" t="str">
        <f t="shared" si="129"/>
        <v>53</v>
      </c>
      <c r="JL40" s="186">
        <f t="shared" si="209"/>
        <v>139</v>
      </c>
      <c r="JM40" s="186">
        <f t="shared" si="210"/>
        <v>46.3333333333333</v>
      </c>
      <c r="JN40" s="135" t="str">
        <f t="shared" si="130"/>
        <v>D</v>
      </c>
      <c r="JO40" s="151" t="str">
        <f>VLOOKUP(RANK(JM40,$JM$10:$JM$109),Sheet1!$A$381:$B$480,2,FALSE)</f>
        <v>2nd</v>
      </c>
      <c r="JP40" s="186"/>
      <c r="JQ40" s="186"/>
      <c r="JR40" s="186">
        <f t="shared" si="131"/>
        <v>0</v>
      </c>
      <c r="JS40" s="186" t="str">
        <f t="shared" si="132"/>
        <v>50</v>
      </c>
      <c r="JT40" s="186" t="str">
        <f t="shared" si="133"/>
        <v>61</v>
      </c>
      <c r="JU40" s="186">
        <f t="shared" si="211"/>
        <v>111</v>
      </c>
      <c r="JV40" s="186">
        <f t="shared" si="212"/>
        <v>37</v>
      </c>
      <c r="JW40" s="135" t="str">
        <f t="shared" si="134"/>
        <v>E</v>
      </c>
      <c r="JX40" s="151" t="str">
        <f>VLOOKUP(RANK(JV40,$JV$10:$JV$109),Sheet1!$A$381:$B$480,2,FALSE)</f>
        <v>24th</v>
      </c>
      <c r="JY40" s="186"/>
      <c r="JZ40" s="186"/>
      <c r="KA40" s="186">
        <f t="shared" si="135"/>
        <v>0</v>
      </c>
      <c r="KB40" s="186" t="str">
        <f t="shared" si="136"/>
        <v>94</v>
      </c>
      <c r="KC40" s="186" t="str">
        <f t="shared" si="137"/>
        <v>66</v>
      </c>
      <c r="KD40" s="186">
        <f t="shared" si="213"/>
        <v>160</v>
      </c>
      <c r="KE40" s="186">
        <f t="shared" si="214"/>
        <v>53.3333333333333</v>
      </c>
      <c r="KF40" s="135" t="str">
        <f t="shared" si="138"/>
        <v>C</v>
      </c>
      <c r="KG40" s="151" t="str">
        <f>VLOOKUP(RANK(KE40,$KE$10:$KE$109),Sheet1!$A$381:$B$480,2,FALSE)</f>
        <v>2nd</v>
      </c>
      <c r="KH40" s="186"/>
      <c r="KI40" s="186"/>
      <c r="KJ40" s="186">
        <f t="shared" si="139"/>
        <v>0</v>
      </c>
      <c r="KK40" s="186" t="str">
        <f t="shared" si="140"/>
        <v>75</v>
      </c>
      <c r="KL40" s="186" t="str">
        <f t="shared" si="141"/>
        <v>70</v>
      </c>
      <c r="KM40" s="186">
        <f t="shared" si="215"/>
        <v>145</v>
      </c>
      <c r="KN40" s="186">
        <f t="shared" si="216"/>
        <v>48.3333333333333</v>
      </c>
      <c r="KO40" s="135" t="str">
        <f t="shared" si="142"/>
        <v>D</v>
      </c>
      <c r="KP40" s="151" t="str">
        <f>VLOOKUP(RANK(KN40,$KN$10:$KN$109),Sheet1!$A$381:$B$480,2,FALSE)</f>
        <v>13th</v>
      </c>
      <c r="KQ40" s="186"/>
      <c r="KR40" s="186"/>
      <c r="KS40" s="186">
        <f t="shared" si="143"/>
        <v>0</v>
      </c>
      <c r="KT40" s="186" t="str">
        <f t="shared" si="144"/>
        <v>0</v>
      </c>
      <c r="KU40" s="186" t="str">
        <f t="shared" si="145"/>
        <v>0</v>
      </c>
      <c r="KV40" s="186">
        <f t="shared" si="217"/>
        <v>0</v>
      </c>
      <c r="KW40" s="186">
        <f t="shared" si="218"/>
        <v>0</v>
      </c>
      <c r="KX40" s="135" t="str">
        <f t="shared" si="146"/>
        <v>F</v>
      </c>
      <c r="KY40" s="151" t="str">
        <f>VLOOKUP(RANK(KW40,$KW$10:$KW$109),Sheet1!$A$381:$B$480,2,FALSE)</f>
        <v>1st</v>
      </c>
      <c r="KZ40" s="186"/>
      <c r="LA40" s="186"/>
      <c r="LB40" s="186">
        <f t="shared" si="147"/>
        <v>0</v>
      </c>
      <c r="LC40" s="186" t="str">
        <f t="shared" si="148"/>
        <v>0</v>
      </c>
      <c r="LD40" s="186" t="str">
        <f t="shared" si="149"/>
        <v>0</v>
      </c>
      <c r="LE40" s="186">
        <f t="shared" si="219"/>
        <v>0</v>
      </c>
      <c r="LF40" s="186">
        <f t="shared" si="220"/>
        <v>0</v>
      </c>
      <c r="LG40" s="135" t="str">
        <f t="shared" si="150"/>
        <v>F</v>
      </c>
      <c r="LH40" s="151" t="str">
        <f>VLOOKUP(RANK(LF40,$LF$10:$LF$109),Sheet1!$A$381:$B$480,2,FALSE)</f>
        <v>1st</v>
      </c>
      <c r="LI40" s="186"/>
      <c r="LJ40" s="186"/>
      <c r="LK40" s="186">
        <f t="shared" si="151"/>
        <v>0</v>
      </c>
      <c r="LL40" s="186" t="str">
        <f t="shared" si="152"/>
        <v>73</v>
      </c>
      <c r="LM40" s="186" t="str">
        <f t="shared" si="153"/>
        <v>56</v>
      </c>
      <c r="LN40" s="186">
        <f t="shared" si="221"/>
        <v>129</v>
      </c>
      <c r="LO40" s="186">
        <f t="shared" si="222"/>
        <v>43</v>
      </c>
      <c r="LP40" s="135" t="str">
        <f t="shared" si="154"/>
        <v>D</v>
      </c>
      <c r="LQ40" s="151" t="str">
        <f>VLOOKUP(RANK(LO40,$LO$10:$LO$109),Sheet1!$A$381:$B$480,2,FALSE)</f>
        <v>5th</v>
      </c>
      <c r="LR40" s="186"/>
      <c r="LS40" s="186"/>
      <c r="LT40" s="186">
        <f t="shared" si="155"/>
        <v>0</v>
      </c>
      <c r="LU40" s="186" t="str">
        <f t="shared" si="156"/>
        <v>76</v>
      </c>
      <c r="LV40" s="186" t="str">
        <f t="shared" si="157"/>
        <v>76</v>
      </c>
      <c r="LW40" s="186">
        <f t="shared" si="223"/>
        <v>152</v>
      </c>
      <c r="LX40" s="186">
        <f t="shared" si="224"/>
        <v>50.6666666666667</v>
      </c>
      <c r="LY40" s="135" t="str">
        <f t="shared" si="158"/>
        <v>C</v>
      </c>
      <c r="LZ40" s="151" t="str">
        <f>VLOOKUP(RANK(LX40,$LX$10:$LX$109),Sheet1!$A$381:$B$480,2,FALSE)</f>
        <v>3rd</v>
      </c>
      <c r="MA40" s="186"/>
      <c r="MB40" s="186"/>
      <c r="MC40" s="186">
        <f t="shared" si="159"/>
        <v>0</v>
      </c>
      <c r="MD40" s="186" t="str">
        <f t="shared" si="160"/>
        <v>67</v>
      </c>
      <c r="ME40" s="186" t="str">
        <f t="shared" si="161"/>
        <v>52</v>
      </c>
      <c r="MF40" s="183">
        <f t="shared" si="225"/>
        <v>119</v>
      </c>
      <c r="MG40" s="151">
        <f t="shared" si="226"/>
        <v>39.6666666666667</v>
      </c>
      <c r="MH40" s="135" t="str">
        <f t="shared" si="162"/>
        <v>E</v>
      </c>
      <c r="MI40" s="151" t="str">
        <f>VLOOKUP(RANK(MG40,$MG$10:$MG$109),Sheet1!$A$381:$B$480,2,FALSE)</f>
        <v>7th</v>
      </c>
      <c r="MJ40" s="186"/>
      <c r="MK40" s="186"/>
      <c r="ML40" s="186">
        <f t="shared" si="163"/>
        <v>0</v>
      </c>
      <c r="MM40" s="186" t="str">
        <f t="shared" si="164"/>
        <v>55</v>
      </c>
      <c r="MN40" s="186" t="str">
        <f t="shared" si="165"/>
        <v>59</v>
      </c>
      <c r="MO40" s="186">
        <f t="shared" si="227"/>
        <v>114</v>
      </c>
      <c r="MP40" s="186">
        <f t="shared" si="228"/>
        <v>38</v>
      </c>
      <c r="MQ40" s="135" t="str">
        <f t="shared" si="166"/>
        <v>E</v>
      </c>
      <c r="MR40" s="151" t="str">
        <f>VLOOKUP(RANK(MP40,$MP$10:$MP$109),Sheet1!$A$381:$B$480,2,FALSE)</f>
        <v>1st</v>
      </c>
      <c r="MS40" s="186"/>
      <c r="MT40" s="186"/>
      <c r="MU40" s="186">
        <f t="shared" si="167"/>
        <v>0</v>
      </c>
      <c r="MV40" s="186" t="str">
        <f t="shared" si="168"/>
        <v>67</v>
      </c>
      <c r="MW40" s="186" t="str">
        <f t="shared" si="169"/>
        <v>70</v>
      </c>
      <c r="MX40" s="186">
        <f t="shared" si="229"/>
        <v>137</v>
      </c>
      <c r="MY40" s="186">
        <f t="shared" si="230"/>
        <v>45.6666666666667</v>
      </c>
      <c r="MZ40" s="135" t="str">
        <f t="shared" si="170"/>
        <v>D</v>
      </c>
      <c r="NA40" s="151" t="str">
        <f>VLOOKUP(RANK(MY40,$MY$10:$MY$109),Sheet1!$A$381:$B$480,2,FALSE)</f>
        <v>12th</v>
      </c>
      <c r="NB40" s="186"/>
      <c r="NC40" s="186"/>
      <c r="ND40" s="186">
        <f t="shared" si="171"/>
        <v>0</v>
      </c>
      <c r="NE40" s="186" t="str">
        <f t="shared" si="172"/>
        <v>64</v>
      </c>
      <c r="NF40" s="186" t="str">
        <f t="shared" si="173"/>
        <v>58</v>
      </c>
      <c r="NG40" s="186">
        <f t="shared" si="231"/>
        <v>122</v>
      </c>
      <c r="NH40" s="186">
        <f t="shared" si="232"/>
        <v>40.6666666666667</v>
      </c>
      <c r="NI40" s="135" t="str">
        <f t="shared" si="174"/>
        <v>D</v>
      </c>
      <c r="NJ40" s="151" t="str">
        <f>VLOOKUP(RANK(NH40,$NH$10:$NH$109),Sheet1!$A$381:$B$480,2,FALSE)</f>
        <v>3rd</v>
      </c>
      <c r="NK40" s="186"/>
      <c r="NL40" s="186"/>
      <c r="NM40" s="186">
        <f t="shared" si="175"/>
        <v>0</v>
      </c>
      <c r="NN40" s="186" t="str">
        <f t="shared" si="176"/>
        <v>85</v>
      </c>
      <c r="NO40" s="186" t="str">
        <f t="shared" si="177"/>
        <v>80</v>
      </c>
      <c r="NP40" s="186">
        <f t="shared" si="233"/>
        <v>165</v>
      </c>
      <c r="NQ40" s="186">
        <f t="shared" si="178"/>
        <v>55</v>
      </c>
      <c r="NR40" s="135" t="str">
        <f t="shared" si="179"/>
        <v>C</v>
      </c>
      <c r="NS40" s="151" t="str">
        <f>VLOOKUP(RANK(NQ40,$NQ$10:$NQ$109),Sheet1!$A$381:$B$480,2,FALSE)</f>
        <v>3rd</v>
      </c>
      <c r="NT40" s="186"/>
      <c r="NU40" s="186"/>
      <c r="NV40" s="186">
        <f t="shared" si="180"/>
        <v>0</v>
      </c>
      <c r="NW40" s="186" t="str">
        <f t="shared" si="181"/>
        <v>0</v>
      </c>
      <c r="NX40" s="186" t="str">
        <f t="shared" si="182"/>
        <v>0</v>
      </c>
      <c r="NY40" s="186">
        <f t="shared" si="234"/>
        <v>0</v>
      </c>
      <c r="NZ40" s="186">
        <f t="shared" si="183"/>
        <v>0</v>
      </c>
      <c r="OA40" s="135" t="str">
        <f t="shared" si="184"/>
        <v>F</v>
      </c>
      <c r="OB40" s="151" t="str">
        <f>VLOOKUP(RANK(NZ40,$NZ$10:$NZ$109),Sheet1!$A$381:$B$480,2,FALSE)</f>
        <v>1st</v>
      </c>
      <c r="OC40" s="186"/>
      <c r="OD40" s="186"/>
      <c r="OE40" s="186">
        <f t="shared" si="185"/>
        <v>0</v>
      </c>
      <c r="OF40" s="186" t="str">
        <f t="shared" si="186"/>
        <v>0</v>
      </c>
      <c r="OG40" s="186" t="str">
        <f t="shared" si="187"/>
        <v>0</v>
      </c>
      <c r="OH40" s="186">
        <f t="shared" si="235"/>
        <v>0</v>
      </c>
      <c r="OI40" s="186">
        <f t="shared" si="236"/>
        <v>0</v>
      </c>
      <c r="OJ40" s="135" t="str">
        <f t="shared" si="188"/>
        <v>F</v>
      </c>
      <c r="OK40" s="151" t="str">
        <f>VLOOKUP(RANK(OI40,$OI$10:$OI$109),Sheet1!$A$381:$B$480,2,FALSE)</f>
        <v>1st</v>
      </c>
      <c r="OL40" s="151"/>
      <c r="OM40" s="151"/>
      <c r="ON40" s="151">
        <f t="shared" si="237"/>
        <v>0</v>
      </c>
      <c r="OO40" s="151" t="str">
        <f t="shared" si="238"/>
        <v>0</v>
      </c>
      <c r="OP40" s="151" t="str">
        <f t="shared" si="239"/>
        <v>0</v>
      </c>
      <c r="OQ40" s="151">
        <f t="shared" si="240"/>
        <v>0</v>
      </c>
      <c r="OR40" s="151">
        <f t="shared" si="241"/>
        <v>0</v>
      </c>
      <c r="OS40" s="135" t="str">
        <f t="shared" si="189"/>
        <v>F</v>
      </c>
      <c r="OT40" s="151" t="str">
        <f>VLOOKUP(RANK(OR40,$OI$10:$OI$109),Sheet1!$A$381:$B$480,2,FALSE)</f>
        <v>1st</v>
      </c>
      <c r="OU40" s="151">
        <f t="shared" si="242"/>
        <v>546</v>
      </c>
      <c r="OV40" s="151">
        <f t="shared" si="243"/>
        <v>32.117647058823501</v>
      </c>
      <c r="OW40" s="151" t="str">
        <f>VLOOKUP(RANK(OV40,$OV$10:$OV$109),Sheet1!$A$381:$B$480,2,FALSE)</f>
        <v>4th</v>
      </c>
      <c r="OX40" s="151"/>
      <c r="OY40" s="186"/>
      <c r="OZ40" s="186"/>
      <c r="PA40" s="186"/>
      <c r="PB40" s="186"/>
    </row>
    <row r="41" spans="1:418" s="118" customFormat="1" ht="18.75">
      <c r="A41" s="131">
        <v>32</v>
      </c>
      <c r="B41" s="132" t="s">
        <v>129</v>
      </c>
      <c r="C41" s="133" t="s">
        <v>97</v>
      </c>
      <c r="D41" s="134">
        <v>29</v>
      </c>
      <c r="E41" s="134">
        <v>41</v>
      </c>
      <c r="F41" s="137">
        <f t="shared" si="0"/>
        <v>70</v>
      </c>
      <c r="G41" s="137">
        <f t="shared" si="1"/>
        <v>70</v>
      </c>
      <c r="H41" s="135" t="str">
        <f t="shared" si="190"/>
        <v>B</v>
      </c>
      <c r="I41" s="135" t="str">
        <f>VLOOKUP(RANK(G41,$G$10:$G$109),Sheet1!$A$381:$B$480,2,FALSE)</f>
        <v>36th</v>
      </c>
      <c r="J41" s="134">
        <v>30</v>
      </c>
      <c r="K41" s="134">
        <v>50</v>
      </c>
      <c r="L41" s="137">
        <f t="shared" si="2"/>
        <v>80</v>
      </c>
      <c r="M41" s="137">
        <f t="shared" si="3"/>
        <v>80</v>
      </c>
      <c r="N41" s="135" t="str">
        <f t="shared" si="4"/>
        <v>A</v>
      </c>
      <c r="O41" s="141" t="str">
        <f>VLOOKUP(RANK(M41,$M$10:$M$109),Sheet1!$A$381:$B$480,2,FALSE)</f>
        <v>6th</v>
      </c>
      <c r="P41" s="144">
        <v>30</v>
      </c>
      <c r="Q41" s="144">
        <v>28</v>
      </c>
      <c r="R41" s="147">
        <f t="shared" si="5"/>
        <v>58</v>
      </c>
      <c r="S41" s="137">
        <f t="shared" si="6"/>
        <v>58</v>
      </c>
      <c r="T41" s="135" t="str">
        <f t="shared" si="7"/>
        <v>C</v>
      </c>
      <c r="U41" s="135" t="str">
        <f>VLOOKUP(RANK(S41,$S$10:$S$109),Sheet1!$A$381:$B$480,2,FALSE)</f>
        <v>18th</v>
      </c>
      <c r="V41" s="134">
        <v>31</v>
      </c>
      <c r="W41" s="134">
        <v>40</v>
      </c>
      <c r="X41" s="137">
        <f t="shared" si="191"/>
        <v>71</v>
      </c>
      <c r="Y41" s="137">
        <f t="shared" si="244"/>
        <v>71</v>
      </c>
      <c r="Z41" s="135" t="str">
        <f t="shared" si="8"/>
        <v>B</v>
      </c>
      <c r="AA41" s="135" t="str">
        <f>VLOOKUP(RANK(Y41,$Y$10:$Y$109),Sheet1!$A$381:$B$480,2,FALSE)</f>
        <v>19th</v>
      </c>
      <c r="AB41" s="134">
        <v>36</v>
      </c>
      <c r="AC41" s="134">
        <v>52</v>
      </c>
      <c r="AD41" s="137">
        <f t="shared" si="9"/>
        <v>88</v>
      </c>
      <c r="AE41" s="137">
        <f t="shared" si="10"/>
        <v>88</v>
      </c>
      <c r="AF41" s="135" t="str">
        <f t="shared" si="11"/>
        <v>A</v>
      </c>
      <c r="AG41" s="135" t="str">
        <f>VLOOKUP(RANK(AE41,$AE$10:$AE$109),Sheet1!$A$381:$B$480,2,FALSE)</f>
        <v>8th</v>
      </c>
      <c r="AH41" s="137"/>
      <c r="AI41" s="137"/>
      <c r="AJ41" s="137">
        <f t="shared" si="12"/>
        <v>0</v>
      </c>
      <c r="AK41" s="137">
        <f t="shared" si="13"/>
        <v>0</v>
      </c>
      <c r="AL41" s="135" t="str">
        <f t="shared" si="14"/>
        <v>F</v>
      </c>
      <c r="AM41" s="135" t="str">
        <f>VLOOKUP(RANK(AK41,$AK$10:$AK$109),Sheet1!$A$381:$B$480,2,FALSE)</f>
        <v>1st</v>
      </c>
      <c r="AN41" s="134"/>
      <c r="AO41" s="134"/>
      <c r="AP41" s="137">
        <f t="shared" si="15"/>
        <v>0</v>
      </c>
      <c r="AQ41" s="137">
        <f t="shared" si="16"/>
        <v>0</v>
      </c>
      <c r="AR41" s="135" t="str">
        <f t="shared" si="17"/>
        <v>F</v>
      </c>
      <c r="AS41" s="135" t="str">
        <f>VLOOKUP(RANK(AQ41,$AQ$10:$AQ$109),Sheet1!$A$381:$B$480,2,FALSE)</f>
        <v>1st</v>
      </c>
      <c r="AT41" s="144">
        <v>24</v>
      </c>
      <c r="AU41" s="144">
        <v>27</v>
      </c>
      <c r="AV41" s="137">
        <f t="shared" si="18"/>
        <v>51</v>
      </c>
      <c r="AW41" s="137">
        <f t="shared" si="19"/>
        <v>51</v>
      </c>
      <c r="AX41" s="135" t="str">
        <f t="shared" si="20"/>
        <v>C</v>
      </c>
      <c r="AY41" s="141" t="str">
        <f>VLOOKUP(RANK(AW41,$AW$10:$AW$109),Sheet1!$A$381:$B$480,2,FALSE)</f>
        <v>45th</v>
      </c>
      <c r="AZ41" s="144">
        <v>36</v>
      </c>
      <c r="BA41" s="144">
        <v>31</v>
      </c>
      <c r="BB41" s="147">
        <f t="shared" si="21"/>
        <v>67</v>
      </c>
      <c r="BC41" s="137">
        <f t="shared" si="22"/>
        <v>67</v>
      </c>
      <c r="BD41" s="135" t="str">
        <f t="shared" si="23"/>
        <v>B</v>
      </c>
      <c r="BE41" s="135" t="str">
        <f>VLOOKUP(RANK(BC41,$BC$10:$BC$109),Sheet1!$A$381:$B$480,2,FALSE)</f>
        <v>15th</v>
      </c>
      <c r="BF41" s="144">
        <v>22</v>
      </c>
      <c r="BG41" s="144">
        <v>28</v>
      </c>
      <c r="BH41" s="137">
        <f t="shared" si="24"/>
        <v>50</v>
      </c>
      <c r="BI41" s="137">
        <f t="shared" si="25"/>
        <v>50</v>
      </c>
      <c r="BJ41" s="135" t="str">
        <f t="shared" si="26"/>
        <v>C</v>
      </c>
      <c r="BK41" s="141" t="str">
        <f>VLOOKUP(RANK(BI41,$BI$10:$BI$109),Sheet1!$A$381:$B$480,2,FALSE)</f>
        <v>14th</v>
      </c>
      <c r="BL41" s="149">
        <v>30</v>
      </c>
      <c r="BM41" s="149">
        <v>27</v>
      </c>
      <c r="BN41" s="147">
        <f t="shared" si="27"/>
        <v>57</v>
      </c>
      <c r="BO41" s="137">
        <f t="shared" si="28"/>
        <v>57</v>
      </c>
      <c r="BP41" s="135" t="str">
        <f t="shared" si="29"/>
        <v>C</v>
      </c>
      <c r="BQ41" s="141" t="str">
        <f>VLOOKUP(RANK(BO41,$BO$10:$BO$109),Sheet1!$A$381:$B$480,2,FALSE)</f>
        <v>7th</v>
      </c>
      <c r="BR41" s="149">
        <v>28</v>
      </c>
      <c r="BS41" s="149">
        <v>15</v>
      </c>
      <c r="BT41" s="147">
        <f t="shared" si="30"/>
        <v>43</v>
      </c>
      <c r="BU41" s="137">
        <f t="shared" si="31"/>
        <v>43</v>
      </c>
      <c r="BV41" s="135" t="str">
        <f t="shared" si="32"/>
        <v>D</v>
      </c>
      <c r="BW41" s="135" t="str">
        <f>VLOOKUP(RANK(BU41,$BU$10:$BU$109),Sheet1!$A$381:$B$480,2,FALSE)</f>
        <v>51st</v>
      </c>
      <c r="BX41" s="149">
        <v>33</v>
      </c>
      <c r="BY41" s="149">
        <v>13</v>
      </c>
      <c r="BZ41" s="137">
        <f t="shared" si="33"/>
        <v>46</v>
      </c>
      <c r="CA41" s="137">
        <f t="shared" si="34"/>
        <v>46</v>
      </c>
      <c r="CB41" s="135" t="str">
        <f t="shared" si="35"/>
        <v>D</v>
      </c>
      <c r="CC41" s="135" t="str">
        <f>VLOOKUP(RANK(CA41,$CA$10:$CA$109),Sheet1!$A$381:$B$480,2,FALSE)</f>
        <v>11th</v>
      </c>
      <c r="CD41" s="149">
        <v>30</v>
      </c>
      <c r="CE41" s="149">
        <v>40</v>
      </c>
      <c r="CF41" s="137">
        <f t="shared" si="36"/>
        <v>70</v>
      </c>
      <c r="CG41" s="137">
        <f t="shared" si="37"/>
        <v>70</v>
      </c>
      <c r="CH41" s="135" t="str">
        <f t="shared" si="38"/>
        <v>B</v>
      </c>
      <c r="CI41" s="135" t="str">
        <f>VLOOKUP(RANK(CG41,$CG$10:$CG$109),Sheet1!$A$381:$B$480,2,FALSE)</f>
        <v>17th</v>
      </c>
      <c r="CJ41" s="137"/>
      <c r="CK41" s="137"/>
      <c r="CL41" s="137">
        <f t="shared" si="39"/>
        <v>0</v>
      </c>
      <c r="CM41" s="137">
        <f t="shared" si="40"/>
        <v>0</v>
      </c>
      <c r="CN41" s="135" t="str">
        <f t="shared" si="41"/>
        <v>F</v>
      </c>
      <c r="CO41" s="135" t="str">
        <f>VLOOKUP(RANK(CM41,$CM$10:$CM$109),Sheet1!$A$381:$B$480,2,FALSE)</f>
        <v>1st</v>
      </c>
      <c r="CP41" s="137"/>
      <c r="CQ41" s="137"/>
      <c r="CR41" s="137">
        <f t="shared" si="42"/>
        <v>0</v>
      </c>
      <c r="CS41" s="137">
        <f t="shared" si="43"/>
        <v>0</v>
      </c>
      <c r="CT41" s="135" t="str">
        <f t="shared" si="44"/>
        <v>F</v>
      </c>
      <c r="CU41" s="135" t="str">
        <f>VLOOKUP(RANK(CS41,$CS$10:$CS$109),Sheet1!$A$381:$B$480,2,FALSE)</f>
        <v>1st</v>
      </c>
      <c r="CV41" s="151"/>
      <c r="CW41" s="135"/>
      <c r="CX41" s="151">
        <f t="shared" si="192"/>
        <v>0</v>
      </c>
      <c r="CY41" s="151">
        <f t="shared" si="193"/>
        <v>0</v>
      </c>
      <c r="CZ41" s="135" t="str">
        <f t="shared" si="45"/>
        <v>F</v>
      </c>
      <c r="DA41" s="135" t="str">
        <f>VLOOKUP(RANK(CY41,$CY$10:$CY$109),Sheet1!$A$381:$B$480,2,FALSE)</f>
        <v>1st</v>
      </c>
      <c r="DB41" s="135"/>
      <c r="DC41" s="151">
        <f t="shared" si="194"/>
        <v>751</v>
      </c>
      <c r="DD41" s="151">
        <f t="shared" si="195"/>
        <v>44.176470588235297</v>
      </c>
      <c r="DE41" s="135" t="str">
        <f>VLOOKUP(RANK(DD41,$DD$10:$DD$109),Sheet1!$A$381:$B$480,2,FALSE)</f>
        <v>10th</v>
      </c>
      <c r="DF41" s="137"/>
      <c r="DG41" s="160">
        <f t="shared" si="46"/>
        <v>795.17647058823502</v>
      </c>
      <c r="DH41" s="119"/>
      <c r="DI41" s="162">
        <v>27</v>
      </c>
      <c r="DJ41" s="162">
        <v>48</v>
      </c>
      <c r="DK41" s="137">
        <f t="shared" si="47"/>
        <v>75</v>
      </c>
      <c r="DL41" s="137" t="str">
        <f t="shared" si="48"/>
        <v>70</v>
      </c>
      <c r="DM41" s="137">
        <f t="shared" si="49"/>
        <v>145</v>
      </c>
      <c r="DN41" s="137">
        <f t="shared" si="50"/>
        <v>72.5</v>
      </c>
      <c r="DO41" s="135" t="str">
        <f t="shared" si="51"/>
        <v>B</v>
      </c>
      <c r="DP41" s="135" t="str">
        <f>VLOOKUP(RANK(DN41,$DN$10:$DN$109),Sheet1!$A$381:$B$480,2,FALSE)</f>
        <v>25th</v>
      </c>
      <c r="DQ41" s="166">
        <v>21</v>
      </c>
      <c r="DR41" s="166">
        <v>31</v>
      </c>
      <c r="DS41" s="137">
        <f t="shared" si="52"/>
        <v>52</v>
      </c>
      <c r="DT41" s="137" t="str">
        <f t="shared" si="53"/>
        <v>80</v>
      </c>
      <c r="DU41" s="137">
        <f t="shared" si="54"/>
        <v>132</v>
      </c>
      <c r="DV41" s="137">
        <f t="shared" si="55"/>
        <v>66</v>
      </c>
      <c r="DW41" s="135" t="str">
        <f t="shared" si="56"/>
        <v>B</v>
      </c>
      <c r="DX41" s="135" t="str">
        <f>VLOOKUP(RANK(DV41,$DV$10:$DV$109),Sheet1!$A$381:$B$480,2,FALSE)</f>
        <v>7th</v>
      </c>
      <c r="DY41" s="168">
        <v>31</v>
      </c>
      <c r="DZ41" s="168">
        <v>26</v>
      </c>
      <c r="EA41" s="137">
        <f t="shared" si="57"/>
        <v>57</v>
      </c>
      <c r="EB41" s="137" t="str">
        <f t="shared" si="58"/>
        <v>58</v>
      </c>
      <c r="EC41" s="137">
        <f t="shared" si="59"/>
        <v>115</v>
      </c>
      <c r="ED41" s="137">
        <f t="shared" si="60"/>
        <v>57.5</v>
      </c>
      <c r="EE41" s="135" t="str">
        <f t="shared" si="61"/>
        <v>C</v>
      </c>
      <c r="EF41" s="135" t="str">
        <f>VLOOKUP(RANK(ED41,$ED$10:$ED$109),Sheet1!$A$381:$B$480,2,FALSE)</f>
        <v>15th</v>
      </c>
      <c r="EG41" s="162">
        <v>34</v>
      </c>
      <c r="EH41" s="162">
        <v>44</v>
      </c>
      <c r="EI41" s="137">
        <f t="shared" si="62"/>
        <v>78</v>
      </c>
      <c r="EJ41" s="137" t="str">
        <f t="shared" si="63"/>
        <v>71</v>
      </c>
      <c r="EK41" s="137">
        <f t="shared" si="64"/>
        <v>149</v>
      </c>
      <c r="EL41" s="137">
        <f t="shared" si="65"/>
        <v>74.5</v>
      </c>
      <c r="EM41" s="135" t="str">
        <f t="shared" si="66"/>
        <v>B</v>
      </c>
      <c r="EN41" s="135" t="str">
        <f>VLOOKUP(RANK(EL41,$EL$10:$EL$109),Sheet1!$A$381:$B$480,2,FALSE)</f>
        <v>9th</v>
      </c>
      <c r="EO41" s="162">
        <v>31</v>
      </c>
      <c r="EP41" s="162">
        <v>35</v>
      </c>
      <c r="EQ41" s="137">
        <f t="shared" si="67"/>
        <v>66</v>
      </c>
      <c r="ER41" s="137" t="str">
        <f t="shared" si="68"/>
        <v>88</v>
      </c>
      <c r="ES41" s="137">
        <f t="shared" si="69"/>
        <v>154</v>
      </c>
      <c r="ET41" s="137">
        <f t="shared" si="70"/>
        <v>77</v>
      </c>
      <c r="EU41" s="135" t="str">
        <f t="shared" si="71"/>
        <v>A</v>
      </c>
      <c r="EV41" s="135" t="str">
        <f>VLOOKUP(RANK(ET41,$ET$10:$ET$109),Sheet1!$A$381:$B$480,2,FALSE)</f>
        <v>7th</v>
      </c>
      <c r="EW41" s="137"/>
      <c r="EX41" s="137"/>
      <c r="EY41" s="137">
        <f t="shared" si="72"/>
        <v>0</v>
      </c>
      <c r="EZ41" s="137" t="str">
        <f t="shared" si="73"/>
        <v>0</v>
      </c>
      <c r="FA41" s="137">
        <f t="shared" si="74"/>
        <v>0</v>
      </c>
      <c r="FB41" s="137">
        <f t="shared" si="75"/>
        <v>0</v>
      </c>
      <c r="FC41" s="135" t="str">
        <f t="shared" si="76"/>
        <v>F</v>
      </c>
      <c r="FD41" s="135" t="str">
        <f>VLOOKUP(RANK(FB41,$FB$10:$FB$109),Sheet1!$A$381:$B$480,2,FALSE)</f>
        <v>1st</v>
      </c>
      <c r="FE41" s="137"/>
      <c r="FF41" s="137"/>
      <c r="FG41" s="137">
        <f t="shared" si="77"/>
        <v>0</v>
      </c>
      <c r="FH41" s="137" t="str">
        <f t="shared" si="78"/>
        <v>0</v>
      </c>
      <c r="FI41" s="137">
        <f t="shared" si="79"/>
        <v>0</v>
      </c>
      <c r="FJ41" s="137">
        <f t="shared" si="80"/>
        <v>0</v>
      </c>
      <c r="FK41" s="135" t="str">
        <f t="shared" si="81"/>
        <v>F</v>
      </c>
      <c r="FL41" s="135" t="str">
        <f>VLOOKUP(RANK(FJ41,$FJ$10:$FJ$109),Sheet1!$A$381:$B$480,2,FALSE)</f>
        <v>1st</v>
      </c>
      <c r="FM41" s="166">
        <v>25</v>
      </c>
      <c r="FN41" s="166">
        <v>25</v>
      </c>
      <c r="FO41" s="137">
        <f t="shared" si="82"/>
        <v>50</v>
      </c>
      <c r="FP41" s="137" t="str">
        <f t="shared" si="83"/>
        <v>51</v>
      </c>
      <c r="FQ41" s="137">
        <f t="shared" si="84"/>
        <v>101</v>
      </c>
      <c r="FR41" s="137">
        <f t="shared" si="85"/>
        <v>50.5</v>
      </c>
      <c r="FS41" s="135" t="str">
        <f t="shared" si="86"/>
        <v>C</v>
      </c>
      <c r="FT41" s="135" t="str">
        <f>VLOOKUP(RANK(FR41,$FR$10:$FR$109),Sheet1!$A$381:$B$480,2,FALSE)</f>
        <v>65th</v>
      </c>
      <c r="FU41" s="149">
        <v>40</v>
      </c>
      <c r="FV41" s="149">
        <v>20</v>
      </c>
      <c r="FW41" s="137">
        <f t="shared" si="87"/>
        <v>60</v>
      </c>
      <c r="FX41" s="137" t="str">
        <f t="shared" si="88"/>
        <v>67</v>
      </c>
      <c r="FY41" s="137">
        <f t="shared" si="196"/>
        <v>60</v>
      </c>
      <c r="FZ41" s="137">
        <f t="shared" si="89"/>
        <v>30</v>
      </c>
      <c r="GA41" s="135" t="str">
        <f t="shared" si="90"/>
        <v>F</v>
      </c>
      <c r="GB41" s="135" t="str">
        <f>VLOOKUP(RANK(FZ41,$FZ$10:$FZ$109),Sheet1!$A$381:$B$480,2,FALSE)</f>
        <v>23rd</v>
      </c>
      <c r="GC41" s="166">
        <v>23</v>
      </c>
      <c r="GD41" s="166">
        <v>30</v>
      </c>
      <c r="GE41" s="137">
        <f t="shared" si="91"/>
        <v>53</v>
      </c>
      <c r="GF41" s="137" t="str">
        <f t="shared" si="92"/>
        <v>50</v>
      </c>
      <c r="GG41" s="135">
        <f t="shared" si="197"/>
        <v>103</v>
      </c>
      <c r="GH41" s="137">
        <f t="shared" si="198"/>
        <v>51.5</v>
      </c>
      <c r="GI41" s="135" t="str">
        <f t="shared" si="93"/>
        <v>C</v>
      </c>
      <c r="GJ41" s="135" t="str">
        <f>VLOOKUP(RANK(GH41,$GH$10:$GH$109),Sheet1!$A$381:$B$480,2,FALSE)</f>
        <v>12th</v>
      </c>
      <c r="GK41" s="166">
        <v>27</v>
      </c>
      <c r="GL41" s="166">
        <v>28</v>
      </c>
      <c r="GM41" s="137">
        <f t="shared" si="94"/>
        <v>55</v>
      </c>
      <c r="GN41" s="137" t="str">
        <f t="shared" si="95"/>
        <v>57</v>
      </c>
      <c r="GO41" s="135">
        <f t="shared" si="199"/>
        <v>112</v>
      </c>
      <c r="GP41" s="137">
        <f t="shared" si="96"/>
        <v>56</v>
      </c>
      <c r="GQ41" s="135" t="str">
        <f t="shared" si="97"/>
        <v>C</v>
      </c>
      <c r="GR41" s="135" t="str">
        <f>VLOOKUP(RANK(GP41,$GP$10:$GP$109),Sheet1!$A$381:$B$480,2,FALSE)</f>
        <v>2nd</v>
      </c>
      <c r="GS41" s="166">
        <v>25</v>
      </c>
      <c r="GT41" s="166">
        <v>42</v>
      </c>
      <c r="GU41" s="137">
        <f t="shared" si="98"/>
        <v>67</v>
      </c>
      <c r="GV41" s="137" t="str">
        <f t="shared" si="99"/>
        <v>43</v>
      </c>
      <c r="GW41" s="137">
        <f t="shared" si="100"/>
        <v>110</v>
      </c>
      <c r="GX41" s="137">
        <f t="shared" si="101"/>
        <v>55</v>
      </c>
      <c r="GY41" s="135" t="str">
        <f t="shared" si="102"/>
        <v>C</v>
      </c>
      <c r="GZ41" s="135" t="str">
        <f>VLOOKUP(RANK(GX41,$GX$10:$GX$109),Sheet1!$A$381:$B$480,2,FALSE)</f>
        <v>37th</v>
      </c>
      <c r="HA41" s="166">
        <v>30</v>
      </c>
      <c r="HB41" s="166">
        <v>26</v>
      </c>
      <c r="HC41" s="137">
        <f t="shared" si="103"/>
        <v>56</v>
      </c>
      <c r="HD41" s="137" t="str">
        <f t="shared" si="104"/>
        <v>46</v>
      </c>
      <c r="HE41" s="137">
        <f t="shared" si="105"/>
        <v>102</v>
      </c>
      <c r="HF41" s="137">
        <f t="shared" si="106"/>
        <v>51</v>
      </c>
      <c r="HG41" s="135" t="str">
        <f t="shared" si="107"/>
        <v>C</v>
      </c>
      <c r="HH41" s="135" t="str">
        <f>VLOOKUP(RANK(HF41,$HF$10:$HF$109),Sheet1!$A$381:$B$480,2,FALSE)</f>
        <v>10th</v>
      </c>
      <c r="HI41" s="149">
        <v>28</v>
      </c>
      <c r="HJ41" s="149">
        <v>51</v>
      </c>
      <c r="HK41" s="137">
        <f t="shared" si="108"/>
        <v>79</v>
      </c>
      <c r="HL41" s="137" t="str">
        <f t="shared" si="109"/>
        <v>70</v>
      </c>
      <c r="HM41" s="137">
        <f t="shared" si="110"/>
        <v>149</v>
      </c>
      <c r="HN41" s="137">
        <f t="shared" si="111"/>
        <v>74.5</v>
      </c>
      <c r="HO41" s="135" t="str">
        <f t="shared" si="112"/>
        <v>B</v>
      </c>
      <c r="HP41" s="135" t="str">
        <f>VLOOKUP(RANK(HN41,$HN$10:$HN$109),Sheet1!$A$381:$B$480,2,FALSE)</f>
        <v>13th</v>
      </c>
      <c r="HQ41" s="137"/>
      <c r="HR41" s="137"/>
      <c r="HS41" s="137">
        <f t="shared" si="113"/>
        <v>0</v>
      </c>
      <c r="HT41" s="137" t="str">
        <f t="shared" si="114"/>
        <v>0</v>
      </c>
      <c r="HU41" s="137">
        <f t="shared" si="115"/>
        <v>0</v>
      </c>
      <c r="HV41" s="137">
        <f t="shared" si="116"/>
        <v>0</v>
      </c>
      <c r="HW41" s="135" t="str">
        <f t="shared" si="117"/>
        <v>F</v>
      </c>
      <c r="HX41" s="135" t="str">
        <f>VLOOKUP(RANK(HV41,$HV$10:$HV$109),Sheet1!$A$381:$B$480,2,FALSE)</f>
        <v>1st</v>
      </c>
      <c r="HY41" s="137"/>
      <c r="HZ41" s="137"/>
      <c r="IA41" s="137">
        <f t="shared" si="118"/>
        <v>0</v>
      </c>
      <c r="IB41" s="137" t="str">
        <f t="shared" si="119"/>
        <v>0</v>
      </c>
      <c r="IC41" s="137">
        <f t="shared" si="120"/>
        <v>0</v>
      </c>
      <c r="ID41" s="137">
        <f t="shared" si="121"/>
        <v>0</v>
      </c>
      <c r="IE41" s="135" t="str">
        <f t="shared" si="122"/>
        <v>F</v>
      </c>
      <c r="IF41" s="135" t="str">
        <f>VLOOKUP(RANK(ID41,$ID$10:$ID$109),Sheet1!$A$381:$B$480,2,FALSE)</f>
        <v>1st</v>
      </c>
      <c r="IG41" s="135"/>
      <c r="IH41" s="135"/>
      <c r="II41" s="135">
        <f t="shared" si="200"/>
        <v>0</v>
      </c>
      <c r="IJ41" s="135" t="str">
        <f t="shared" si="201"/>
        <v>0</v>
      </c>
      <c r="IK41" s="135">
        <f t="shared" si="202"/>
        <v>0</v>
      </c>
      <c r="IL41" s="135">
        <f t="shared" si="203"/>
        <v>0</v>
      </c>
      <c r="IM41" s="135" t="str">
        <f t="shared" si="123"/>
        <v>F</v>
      </c>
      <c r="IN41" s="135" t="str">
        <f>VLOOKUP(RANK(IL41,$IL$10:$IL$109),Sheet1!$A$381:$B$480,2,FALSE)</f>
        <v>1st</v>
      </c>
      <c r="IO41" s="135">
        <f t="shared" si="204"/>
        <v>716</v>
      </c>
      <c r="IP41" s="177">
        <f t="shared" si="205"/>
        <v>42.117647058823501</v>
      </c>
      <c r="IQ41" s="135" t="str">
        <f>VLOOKUP(RANK(IP41,$IP$10:$IP$109),Sheet1!$A$381:$B$480,2,FALSE)</f>
        <v>8th</v>
      </c>
      <c r="IR41" s="178"/>
      <c r="IS41" s="137"/>
      <c r="IT41" s="137"/>
      <c r="IU41" s="137"/>
      <c r="IV41" s="137"/>
      <c r="IW41" s="181"/>
      <c r="IX41" s="184"/>
      <c r="IY41" s="186"/>
      <c r="IZ41" s="186">
        <f t="shared" si="206"/>
        <v>0</v>
      </c>
      <c r="JA41" s="186" t="str">
        <f t="shared" si="124"/>
        <v>70</v>
      </c>
      <c r="JB41" s="186" t="str">
        <f t="shared" si="125"/>
        <v>75</v>
      </c>
      <c r="JC41" s="186">
        <f t="shared" si="207"/>
        <v>145</v>
      </c>
      <c r="JD41" s="186">
        <f t="shared" si="208"/>
        <v>48.3333333333333</v>
      </c>
      <c r="JE41" s="135" t="str">
        <f t="shared" si="126"/>
        <v>D</v>
      </c>
      <c r="JF41" s="151" t="str">
        <f>VLOOKUP(RANK(JD41,$JD$10:$JD$109),Sheet1!$A$381:$B$480,2,FALSE)</f>
        <v>25th</v>
      </c>
      <c r="JG41" s="186"/>
      <c r="JH41" s="186"/>
      <c r="JI41" s="186">
        <f t="shared" si="127"/>
        <v>0</v>
      </c>
      <c r="JJ41" s="186" t="str">
        <f t="shared" si="128"/>
        <v>80</v>
      </c>
      <c r="JK41" s="186" t="str">
        <f t="shared" si="129"/>
        <v>52</v>
      </c>
      <c r="JL41" s="186">
        <f t="shared" si="209"/>
        <v>132</v>
      </c>
      <c r="JM41" s="186">
        <f t="shared" si="210"/>
        <v>44</v>
      </c>
      <c r="JN41" s="135" t="str">
        <f t="shared" si="130"/>
        <v>D</v>
      </c>
      <c r="JO41" s="151" t="str">
        <f>VLOOKUP(RANK(JM41,$JM$10:$JM$109),Sheet1!$A$381:$B$480,2,FALSE)</f>
        <v>7th</v>
      </c>
      <c r="JP41" s="186"/>
      <c r="JQ41" s="186"/>
      <c r="JR41" s="186">
        <f t="shared" si="131"/>
        <v>0</v>
      </c>
      <c r="JS41" s="186" t="str">
        <f t="shared" si="132"/>
        <v>58</v>
      </c>
      <c r="JT41" s="186" t="str">
        <f t="shared" si="133"/>
        <v>57</v>
      </c>
      <c r="JU41" s="186">
        <f t="shared" si="211"/>
        <v>115</v>
      </c>
      <c r="JV41" s="186">
        <f t="shared" si="212"/>
        <v>38.3333333333333</v>
      </c>
      <c r="JW41" s="135" t="str">
        <f t="shared" si="134"/>
        <v>E</v>
      </c>
      <c r="JX41" s="151" t="str">
        <f>VLOOKUP(RANK(JV41,$JV$10:$JV$109),Sheet1!$A$381:$B$480,2,FALSE)</f>
        <v>15th</v>
      </c>
      <c r="JY41" s="186"/>
      <c r="JZ41" s="186"/>
      <c r="KA41" s="186">
        <f t="shared" si="135"/>
        <v>0</v>
      </c>
      <c r="KB41" s="186" t="str">
        <f t="shared" si="136"/>
        <v>71</v>
      </c>
      <c r="KC41" s="186" t="str">
        <f t="shared" si="137"/>
        <v>78</v>
      </c>
      <c r="KD41" s="186">
        <f t="shared" si="213"/>
        <v>149</v>
      </c>
      <c r="KE41" s="186">
        <f t="shared" si="214"/>
        <v>49.6666666666667</v>
      </c>
      <c r="KF41" s="135" t="str">
        <f t="shared" si="138"/>
        <v>D</v>
      </c>
      <c r="KG41" s="151" t="str">
        <f>VLOOKUP(RANK(KE41,$KE$10:$KE$109),Sheet1!$A$381:$B$480,2,FALSE)</f>
        <v>9th</v>
      </c>
      <c r="KH41" s="186"/>
      <c r="KI41" s="186"/>
      <c r="KJ41" s="186">
        <f t="shared" si="139"/>
        <v>0</v>
      </c>
      <c r="KK41" s="186" t="str">
        <f t="shared" si="140"/>
        <v>88</v>
      </c>
      <c r="KL41" s="186" t="str">
        <f t="shared" si="141"/>
        <v>66</v>
      </c>
      <c r="KM41" s="186">
        <f t="shared" si="215"/>
        <v>154</v>
      </c>
      <c r="KN41" s="186">
        <f t="shared" si="216"/>
        <v>51.3333333333333</v>
      </c>
      <c r="KO41" s="135" t="str">
        <f t="shared" si="142"/>
        <v>C</v>
      </c>
      <c r="KP41" s="151" t="str">
        <f>VLOOKUP(RANK(KN41,$KN$10:$KN$109),Sheet1!$A$381:$B$480,2,FALSE)</f>
        <v>7th</v>
      </c>
      <c r="KQ41" s="186"/>
      <c r="KR41" s="186"/>
      <c r="KS41" s="186">
        <f t="shared" si="143"/>
        <v>0</v>
      </c>
      <c r="KT41" s="186" t="str">
        <f t="shared" si="144"/>
        <v>0</v>
      </c>
      <c r="KU41" s="186" t="str">
        <f t="shared" si="145"/>
        <v>0</v>
      </c>
      <c r="KV41" s="186">
        <f t="shared" si="217"/>
        <v>0</v>
      </c>
      <c r="KW41" s="186">
        <f t="shared" si="218"/>
        <v>0</v>
      </c>
      <c r="KX41" s="135" t="str">
        <f t="shared" si="146"/>
        <v>F</v>
      </c>
      <c r="KY41" s="151" t="str">
        <f>VLOOKUP(RANK(KW41,$KW$10:$KW$109),Sheet1!$A$381:$B$480,2,FALSE)</f>
        <v>1st</v>
      </c>
      <c r="KZ41" s="186"/>
      <c r="LA41" s="186"/>
      <c r="LB41" s="186">
        <f t="shared" si="147"/>
        <v>0</v>
      </c>
      <c r="LC41" s="186" t="str">
        <f t="shared" si="148"/>
        <v>0</v>
      </c>
      <c r="LD41" s="186" t="str">
        <f t="shared" si="149"/>
        <v>0</v>
      </c>
      <c r="LE41" s="186">
        <f t="shared" si="219"/>
        <v>0</v>
      </c>
      <c r="LF41" s="186">
        <f t="shared" si="220"/>
        <v>0</v>
      </c>
      <c r="LG41" s="135" t="str">
        <f t="shared" si="150"/>
        <v>F</v>
      </c>
      <c r="LH41" s="151" t="str">
        <f>VLOOKUP(RANK(LF41,$LF$10:$LF$109),Sheet1!$A$381:$B$480,2,FALSE)</f>
        <v>1st</v>
      </c>
      <c r="LI41" s="186"/>
      <c r="LJ41" s="186"/>
      <c r="LK41" s="186">
        <f t="shared" si="151"/>
        <v>0</v>
      </c>
      <c r="LL41" s="186" t="str">
        <f t="shared" si="152"/>
        <v>51</v>
      </c>
      <c r="LM41" s="186" t="str">
        <f t="shared" si="153"/>
        <v>50</v>
      </c>
      <c r="LN41" s="186">
        <f t="shared" si="221"/>
        <v>101</v>
      </c>
      <c r="LO41" s="186">
        <f t="shared" si="222"/>
        <v>33.6666666666667</v>
      </c>
      <c r="LP41" s="135" t="str">
        <f t="shared" si="154"/>
        <v>F</v>
      </c>
      <c r="LQ41" s="151" t="str">
        <f>VLOOKUP(RANK(LO41,$LO$10:$LO$109),Sheet1!$A$381:$B$480,2,FALSE)</f>
        <v>65th</v>
      </c>
      <c r="LR41" s="186"/>
      <c r="LS41" s="186"/>
      <c r="LT41" s="186">
        <f t="shared" si="155"/>
        <v>0</v>
      </c>
      <c r="LU41" s="186" t="str">
        <f t="shared" si="156"/>
        <v>67</v>
      </c>
      <c r="LV41" s="186" t="str">
        <f t="shared" si="157"/>
        <v>60</v>
      </c>
      <c r="LW41" s="186">
        <f t="shared" si="223"/>
        <v>127</v>
      </c>
      <c r="LX41" s="186">
        <f t="shared" si="224"/>
        <v>42.3333333333333</v>
      </c>
      <c r="LY41" s="135" t="str">
        <f t="shared" si="158"/>
        <v>D</v>
      </c>
      <c r="LZ41" s="151" t="str">
        <f>VLOOKUP(RANK(LX41,$LX$10:$LX$109),Sheet1!$A$381:$B$480,2,FALSE)</f>
        <v>9th</v>
      </c>
      <c r="MA41" s="186"/>
      <c r="MB41" s="186"/>
      <c r="MC41" s="186">
        <f t="shared" si="159"/>
        <v>0</v>
      </c>
      <c r="MD41" s="186" t="str">
        <f t="shared" si="160"/>
        <v>50</v>
      </c>
      <c r="ME41" s="186" t="str">
        <f t="shared" si="161"/>
        <v>53</v>
      </c>
      <c r="MF41" s="183">
        <f t="shared" si="225"/>
        <v>103</v>
      </c>
      <c r="MG41" s="151">
        <f t="shared" si="226"/>
        <v>34.3333333333333</v>
      </c>
      <c r="MH41" s="135" t="str">
        <f t="shared" si="162"/>
        <v>F</v>
      </c>
      <c r="MI41" s="151" t="str">
        <f>VLOOKUP(RANK(MG41,$MG$10:$MG$109),Sheet1!$A$381:$B$480,2,FALSE)</f>
        <v>12th</v>
      </c>
      <c r="MJ41" s="186"/>
      <c r="MK41" s="186"/>
      <c r="ML41" s="186">
        <f t="shared" si="163"/>
        <v>0</v>
      </c>
      <c r="MM41" s="186" t="str">
        <f t="shared" si="164"/>
        <v>57</v>
      </c>
      <c r="MN41" s="186" t="str">
        <f t="shared" si="165"/>
        <v>55</v>
      </c>
      <c r="MO41" s="186">
        <f t="shared" si="227"/>
        <v>112</v>
      </c>
      <c r="MP41" s="186">
        <f t="shared" si="228"/>
        <v>37.3333333333333</v>
      </c>
      <c r="MQ41" s="135" t="str">
        <f t="shared" si="166"/>
        <v>E</v>
      </c>
      <c r="MR41" s="151" t="str">
        <f>VLOOKUP(RANK(MP41,$MP$10:$MP$109),Sheet1!$A$381:$B$480,2,FALSE)</f>
        <v>2nd</v>
      </c>
      <c r="MS41" s="186"/>
      <c r="MT41" s="186"/>
      <c r="MU41" s="186">
        <f t="shared" si="167"/>
        <v>0</v>
      </c>
      <c r="MV41" s="186" t="str">
        <f t="shared" si="168"/>
        <v>43</v>
      </c>
      <c r="MW41" s="186" t="str">
        <f t="shared" si="169"/>
        <v>67</v>
      </c>
      <c r="MX41" s="186">
        <f t="shared" si="229"/>
        <v>110</v>
      </c>
      <c r="MY41" s="186">
        <f t="shared" si="230"/>
        <v>36.6666666666667</v>
      </c>
      <c r="MZ41" s="135" t="str">
        <f t="shared" si="170"/>
        <v>E</v>
      </c>
      <c r="NA41" s="151" t="str">
        <f>VLOOKUP(RANK(MY41,$MY$10:$MY$109),Sheet1!$A$381:$B$480,2,FALSE)</f>
        <v>37th</v>
      </c>
      <c r="NB41" s="186"/>
      <c r="NC41" s="186"/>
      <c r="ND41" s="186">
        <f t="shared" si="171"/>
        <v>0</v>
      </c>
      <c r="NE41" s="186" t="str">
        <f t="shared" si="172"/>
        <v>46</v>
      </c>
      <c r="NF41" s="186" t="str">
        <f t="shared" si="173"/>
        <v>56</v>
      </c>
      <c r="NG41" s="186">
        <f t="shared" si="231"/>
        <v>102</v>
      </c>
      <c r="NH41" s="186">
        <f t="shared" si="232"/>
        <v>34</v>
      </c>
      <c r="NI41" s="135" t="str">
        <f t="shared" si="174"/>
        <v>F</v>
      </c>
      <c r="NJ41" s="151" t="str">
        <f>VLOOKUP(RANK(NH41,$NH$10:$NH$109),Sheet1!$A$381:$B$480,2,FALSE)</f>
        <v>10th</v>
      </c>
      <c r="NK41" s="186"/>
      <c r="NL41" s="186"/>
      <c r="NM41" s="186">
        <f t="shared" si="175"/>
        <v>0</v>
      </c>
      <c r="NN41" s="186" t="str">
        <f t="shared" si="176"/>
        <v>70</v>
      </c>
      <c r="NO41" s="186" t="str">
        <f t="shared" si="177"/>
        <v>79</v>
      </c>
      <c r="NP41" s="186">
        <f t="shared" si="233"/>
        <v>149</v>
      </c>
      <c r="NQ41" s="186">
        <f t="shared" si="178"/>
        <v>49.6666666666667</v>
      </c>
      <c r="NR41" s="135" t="str">
        <f t="shared" si="179"/>
        <v>D</v>
      </c>
      <c r="NS41" s="151" t="str">
        <f>VLOOKUP(RANK(NQ41,$NQ$10:$NQ$109),Sheet1!$A$381:$B$480,2,FALSE)</f>
        <v>13th</v>
      </c>
      <c r="NT41" s="186"/>
      <c r="NU41" s="186"/>
      <c r="NV41" s="186">
        <f t="shared" si="180"/>
        <v>0</v>
      </c>
      <c r="NW41" s="186" t="str">
        <f t="shared" si="181"/>
        <v>0</v>
      </c>
      <c r="NX41" s="186" t="str">
        <f t="shared" si="182"/>
        <v>0</v>
      </c>
      <c r="NY41" s="186">
        <f t="shared" si="234"/>
        <v>0</v>
      </c>
      <c r="NZ41" s="186">
        <f t="shared" si="183"/>
        <v>0</v>
      </c>
      <c r="OA41" s="135" t="str">
        <f t="shared" si="184"/>
        <v>F</v>
      </c>
      <c r="OB41" s="151" t="str">
        <f>VLOOKUP(RANK(NZ41,$NZ$10:$NZ$109),Sheet1!$A$381:$B$480,2,FALSE)</f>
        <v>1st</v>
      </c>
      <c r="OC41" s="186"/>
      <c r="OD41" s="186"/>
      <c r="OE41" s="186">
        <f t="shared" si="185"/>
        <v>0</v>
      </c>
      <c r="OF41" s="186" t="str">
        <f t="shared" si="186"/>
        <v>0</v>
      </c>
      <c r="OG41" s="186" t="str">
        <f t="shared" si="187"/>
        <v>0</v>
      </c>
      <c r="OH41" s="186">
        <f t="shared" si="235"/>
        <v>0</v>
      </c>
      <c r="OI41" s="186">
        <f t="shared" si="236"/>
        <v>0</v>
      </c>
      <c r="OJ41" s="135" t="str">
        <f t="shared" si="188"/>
        <v>F</v>
      </c>
      <c r="OK41" s="151" t="str">
        <f>VLOOKUP(RANK(OI41,$OI$10:$OI$109),Sheet1!$A$381:$B$480,2,FALSE)</f>
        <v>1st</v>
      </c>
      <c r="OL41" s="151"/>
      <c r="OM41" s="151"/>
      <c r="ON41" s="151">
        <f t="shared" si="237"/>
        <v>0</v>
      </c>
      <c r="OO41" s="151" t="str">
        <f t="shared" si="238"/>
        <v>0</v>
      </c>
      <c r="OP41" s="151" t="str">
        <f t="shared" si="239"/>
        <v>0</v>
      </c>
      <c r="OQ41" s="151">
        <f t="shared" si="240"/>
        <v>0</v>
      </c>
      <c r="OR41" s="151">
        <f t="shared" si="241"/>
        <v>0</v>
      </c>
      <c r="OS41" s="135" t="str">
        <f t="shared" si="189"/>
        <v>F</v>
      </c>
      <c r="OT41" s="151" t="str">
        <f>VLOOKUP(RANK(OR41,$OI$10:$OI$109),Sheet1!$A$381:$B$480,2,FALSE)</f>
        <v>1st</v>
      </c>
      <c r="OU41" s="151">
        <f t="shared" si="242"/>
        <v>499.66666666666703</v>
      </c>
      <c r="OV41" s="151">
        <f t="shared" si="243"/>
        <v>29.3921568627451</v>
      </c>
      <c r="OW41" s="151" t="str">
        <f>VLOOKUP(RANK(OV41,$OV$10:$OV$109),Sheet1!$A$381:$B$480,2,FALSE)</f>
        <v>8th</v>
      </c>
      <c r="OX41" s="151"/>
      <c r="OY41" s="186"/>
      <c r="OZ41" s="186"/>
      <c r="PA41" s="186"/>
      <c r="PB41" s="186"/>
    </row>
    <row r="42" spans="1:418" s="118" customFormat="1" ht="18.75">
      <c r="A42" s="131">
        <v>33</v>
      </c>
      <c r="B42" s="132" t="s">
        <v>130</v>
      </c>
      <c r="C42" s="133" t="s">
        <v>97</v>
      </c>
      <c r="D42" s="134">
        <v>25</v>
      </c>
      <c r="E42" s="134">
        <v>40</v>
      </c>
      <c r="F42" s="137">
        <f t="shared" si="0"/>
        <v>65</v>
      </c>
      <c r="G42" s="137">
        <f t="shared" si="1"/>
        <v>65</v>
      </c>
      <c r="H42" s="135" t="str">
        <f t="shared" si="190"/>
        <v>B</v>
      </c>
      <c r="I42" s="135" t="str">
        <f>VLOOKUP(RANK(G42,$G$10:$G$109),Sheet1!$A$381:$B$480,2,FALSE)</f>
        <v>56th</v>
      </c>
      <c r="J42" s="134">
        <v>32</v>
      </c>
      <c r="K42" s="134">
        <v>54</v>
      </c>
      <c r="L42" s="137">
        <f t="shared" si="2"/>
        <v>86</v>
      </c>
      <c r="M42" s="137">
        <f t="shared" si="3"/>
        <v>86</v>
      </c>
      <c r="N42" s="135" t="str">
        <f t="shared" si="4"/>
        <v>A</v>
      </c>
      <c r="O42" s="141" t="str">
        <f>VLOOKUP(RANK(M42,$M$10:$M$109),Sheet1!$A$381:$B$480,2,FALSE)</f>
        <v>3rd</v>
      </c>
      <c r="P42" s="144">
        <v>25</v>
      </c>
      <c r="Q42" s="144">
        <v>5</v>
      </c>
      <c r="R42" s="147">
        <f t="shared" si="5"/>
        <v>30</v>
      </c>
      <c r="S42" s="137">
        <f t="shared" si="6"/>
        <v>30</v>
      </c>
      <c r="T42" s="135" t="str">
        <f t="shared" si="7"/>
        <v>F</v>
      </c>
      <c r="U42" s="135" t="str">
        <f>VLOOKUP(RANK(S42,$S$10:$S$109),Sheet1!$A$381:$B$480,2,FALSE)</f>
        <v>80th</v>
      </c>
      <c r="V42" s="134">
        <v>30</v>
      </c>
      <c r="W42" s="134">
        <v>22</v>
      </c>
      <c r="X42" s="137">
        <f t="shared" si="191"/>
        <v>52</v>
      </c>
      <c r="Y42" s="137">
        <f t="shared" si="244"/>
        <v>52</v>
      </c>
      <c r="Z42" s="135" t="str">
        <f t="shared" si="8"/>
        <v>C</v>
      </c>
      <c r="AA42" s="135" t="str">
        <f>VLOOKUP(RANK(Y42,$Y$10:$Y$109),Sheet1!$A$381:$B$480,2,FALSE)</f>
        <v>51st</v>
      </c>
      <c r="AB42" s="134">
        <v>28</v>
      </c>
      <c r="AC42" s="134">
        <v>18</v>
      </c>
      <c r="AD42" s="137">
        <f t="shared" si="9"/>
        <v>46</v>
      </c>
      <c r="AE42" s="137">
        <f t="shared" si="10"/>
        <v>46</v>
      </c>
      <c r="AF42" s="135" t="str">
        <f t="shared" si="11"/>
        <v>D</v>
      </c>
      <c r="AG42" s="135" t="str">
        <f>VLOOKUP(RANK(AE42,$AE$10:$AE$109),Sheet1!$A$381:$B$480,2,FALSE)</f>
        <v>72nd</v>
      </c>
      <c r="AH42" s="137"/>
      <c r="AI42" s="137"/>
      <c r="AJ42" s="137">
        <f t="shared" si="12"/>
        <v>0</v>
      </c>
      <c r="AK42" s="137">
        <f t="shared" si="13"/>
        <v>0</v>
      </c>
      <c r="AL42" s="135" t="str">
        <f t="shared" si="14"/>
        <v>F</v>
      </c>
      <c r="AM42" s="135" t="str">
        <f>VLOOKUP(RANK(AK42,$AK$10:$AK$109),Sheet1!$A$381:$B$480,2,FALSE)</f>
        <v>1st</v>
      </c>
      <c r="AN42" s="134"/>
      <c r="AO42" s="134"/>
      <c r="AP42" s="137">
        <f t="shared" si="15"/>
        <v>0</v>
      </c>
      <c r="AQ42" s="137">
        <f t="shared" si="16"/>
        <v>0</v>
      </c>
      <c r="AR42" s="135" t="str">
        <f t="shared" si="17"/>
        <v>F</v>
      </c>
      <c r="AS42" s="135" t="str">
        <f>VLOOKUP(RANK(AQ42,$AQ$10:$AQ$109),Sheet1!$A$381:$B$480,2,FALSE)</f>
        <v>1st</v>
      </c>
      <c r="AT42" s="144">
        <v>25</v>
      </c>
      <c r="AU42" s="144">
        <v>35</v>
      </c>
      <c r="AV42" s="137">
        <f t="shared" si="18"/>
        <v>60</v>
      </c>
      <c r="AW42" s="137">
        <f t="shared" si="19"/>
        <v>60</v>
      </c>
      <c r="AX42" s="135" t="str">
        <f t="shared" si="20"/>
        <v>B</v>
      </c>
      <c r="AY42" s="141" t="str">
        <f>VLOOKUP(RANK(AW42,$AW$10:$AW$109),Sheet1!$A$381:$B$480,2,FALSE)</f>
        <v>9th</v>
      </c>
      <c r="AZ42" s="144">
        <v>31</v>
      </c>
      <c r="BA42" s="144">
        <v>13</v>
      </c>
      <c r="BB42" s="147">
        <f t="shared" si="21"/>
        <v>44</v>
      </c>
      <c r="BC42" s="137">
        <f t="shared" si="22"/>
        <v>44</v>
      </c>
      <c r="BD42" s="135" t="str">
        <f t="shared" si="23"/>
        <v>D</v>
      </c>
      <c r="BE42" s="135" t="str">
        <f>VLOOKUP(RANK(BC42,$BC$10:$BC$109),Sheet1!$A$381:$B$480,2,FALSE)</f>
        <v>79th</v>
      </c>
      <c r="BF42" s="144">
        <v>14</v>
      </c>
      <c r="BG42" s="144">
        <v>28</v>
      </c>
      <c r="BH42" s="137">
        <f t="shared" si="24"/>
        <v>42</v>
      </c>
      <c r="BI42" s="137">
        <f t="shared" si="25"/>
        <v>42</v>
      </c>
      <c r="BJ42" s="135" t="str">
        <f t="shared" si="26"/>
        <v>D</v>
      </c>
      <c r="BK42" s="141" t="str">
        <f>VLOOKUP(RANK(BI42,$BI$10:$BI$109),Sheet1!$A$381:$B$480,2,FALSE)</f>
        <v>28th</v>
      </c>
      <c r="BL42" s="149">
        <v>26</v>
      </c>
      <c r="BM42" s="149">
        <v>27</v>
      </c>
      <c r="BN42" s="147">
        <f t="shared" si="27"/>
        <v>53</v>
      </c>
      <c r="BO42" s="137">
        <f t="shared" si="28"/>
        <v>53</v>
      </c>
      <c r="BP42" s="135" t="str">
        <f t="shared" si="29"/>
        <v>C</v>
      </c>
      <c r="BQ42" s="141" t="str">
        <f>VLOOKUP(RANK(BO42,$BO$10:$BO$109),Sheet1!$A$381:$B$480,2,FALSE)</f>
        <v>36th</v>
      </c>
      <c r="BR42" s="149">
        <v>28</v>
      </c>
      <c r="BS42" s="149">
        <v>20</v>
      </c>
      <c r="BT42" s="147">
        <f t="shared" si="30"/>
        <v>48</v>
      </c>
      <c r="BU42" s="137">
        <f t="shared" si="31"/>
        <v>48</v>
      </c>
      <c r="BV42" s="135" t="str">
        <f t="shared" si="32"/>
        <v>D</v>
      </c>
      <c r="BW42" s="135" t="str">
        <f>VLOOKUP(RANK(BU42,$BU$10:$BU$109),Sheet1!$A$381:$B$480,2,FALSE)</f>
        <v>44th</v>
      </c>
      <c r="BX42" s="149">
        <v>26</v>
      </c>
      <c r="BY42" s="149">
        <v>12</v>
      </c>
      <c r="BZ42" s="137">
        <f t="shared" si="33"/>
        <v>38</v>
      </c>
      <c r="CA42" s="137">
        <f t="shared" si="34"/>
        <v>38</v>
      </c>
      <c r="CB42" s="135" t="str">
        <f t="shared" si="35"/>
        <v>E</v>
      </c>
      <c r="CC42" s="135" t="str">
        <f>VLOOKUP(RANK(CA42,$CA$10:$CA$109),Sheet1!$A$381:$B$480,2,FALSE)</f>
        <v>61st</v>
      </c>
      <c r="CD42" s="149">
        <v>25</v>
      </c>
      <c r="CE42" s="149">
        <v>30</v>
      </c>
      <c r="CF42" s="137">
        <f t="shared" si="36"/>
        <v>55</v>
      </c>
      <c r="CG42" s="137">
        <f t="shared" si="37"/>
        <v>55</v>
      </c>
      <c r="CH42" s="135" t="str">
        <f t="shared" si="38"/>
        <v>C</v>
      </c>
      <c r="CI42" s="135" t="str">
        <f>VLOOKUP(RANK(CG42,$CG$10:$CG$109),Sheet1!$A$381:$B$480,2,FALSE)</f>
        <v>46th</v>
      </c>
      <c r="CJ42" s="137"/>
      <c r="CK42" s="137"/>
      <c r="CL42" s="137">
        <f t="shared" si="39"/>
        <v>0</v>
      </c>
      <c r="CM42" s="137">
        <f t="shared" si="40"/>
        <v>0</v>
      </c>
      <c r="CN42" s="135" t="str">
        <f t="shared" si="41"/>
        <v>F</v>
      </c>
      <c r="CO42" s="135" t="str">
        <f>VLOOKUP(RANK(CM42,$CM$10:$CM$109),Sheet1!$A$381:$B$480,2,FALSE)</f>
        <v>1st</v>
      </c>
      <c r="CP42" s="137"/>
      <c r="CQ42" s="137"/>
      <c r="CR42" s="137">
        <f t="shared" si="42"/>
        <v>0</v>
      </c>
      <c r="CS42" s="137">
        <f t="shared" si="43"/>
        <v>0</v>
      </c>
      <c r="CT42" s="135" t="str">
        <f t="shared" si="44"/>
        <v>F</v>
      </c>
      <c r="CU42" s="135" t="str">
        <f>VLOOKUP(RANK(CS42,$CS$10:$CS$109),Sheet1!$A$381:$B$480,2,FALSE)</f>
        <v>1st</v>
      </c>
      <c r="CV42" s="151"/>
      <c r="CW42" s="135"/>
      <c r="CX42" s="151">
        <f t="shared" si="192"/>
        <v>0</v>
      </c>
      <c r="CY42" s="151">
        <f t="shared" si="193"/>
        <v>0</v>
      </c>
      <c r="CZ42" s="135" t="str">
        <f t="shared" si="45"/>
        <v>F</v>
      </c>
      <c r="DA42" s="135" t="str">
        <f>VLOOKUP(RANK(CY42,$CY$10:$CY$109),Sheet1!$A$381:$B$480,2,FALSE)</f>
        <v>1st</v>
      </c>
      <c r="DB42" s="135"/>
      <c r="DC42" s="151">
        <f t="shared" si="194"/>
        <v>619</v>
      </c>
      <c r="DD42" s="151">
        <f t="shared" si="195"/>
        <v>36.411764705882398</v>
      </c>
      <c r="DE42" s="135" t="str">
        <f>VLOOKUP(RANK(DD42,$DD$10:$DD$109),Sheet1!$A$381:$B$480,2,FALSE)</f>
        <v>49th</v>
      </c>
      <c r="DF42" s="137"/>
      <c r="DG42" s="160">
        <f t="shared" si="46"/>
        <v>655.41176470588198</v>
      </c>
      <c r="DH42" s="119"/>
      <c r="DI42" s="162">
        <v>29</v>
      </c>
      <c r="DJ42" s="162">
        <v>52</v>
      </c>
      <c r="DK42" s="137">
        <f t="shared" si="47"/>
        <v>81</v>
      </c>
      <c r="DL42" s="137" t="str">
        <f t="shared" ref="DL42:DL73" si="245">REPT(G42,1)</f>
        <v>65</v>
      </c>
      <c r="DM42" s="137">
        <f t="shared" si="49"/>
        <v>146</v>
      </c>
      <c r="DN42" s="137">
        <f t="shared" si="50"/>
        <v>73</v>
      </c>
      <c r="DO42" s="135" t="str">
        <f t="shared" si="51"/>
        <v>B</v>
      </c>
      <c r="DP42" s="135" t="str">
        <f>VLOOKUP(RANK(DN42,$DN$10:$DN$109),Sheet1!$A$381:$B$480,2,FALSE)</f>
        <v>23rd</v>
      </c>
      <c r="DQ42" s="166">
        <v>25</v>
      </c>
      <c r="DR42" s="166">
        <v>21</v>
      </c>
      <c r="DS42" s="137">
        <f t="shared" si="52"/>
        <v>46</v>
      </c>
      <c r="DT42" s="137" t="str">
        <f t="shared" ref="DT42:DT73" si="246">REPT(M42,1)</f>
        <v>86</v>
      </c>
      <c r="DU42" s="137">
        <f t="shared" si="54"/>
        <v>132</v>
      </c>
      <c r="DV42" s="137">
        <f t="shared" ref="DV42:DV73" si="247">DU42/2</f>
        <v>66</v>
      </c>
      <c r="DW42" s="135" t="str">
        <f t="shared" si="56"/>
        <v>B</v>
      </c>
      <c r="DX42" s="135" t="str">
        <f>VLOOKUP(RANK(DV42,$DV$10:$DV$109),Sheet1!$A$381:$B$480,2,FALSE)</f>
        <v>7th</v>
      </c>
      <c r="DY42" s="168">
        <v>23</v>
      </c>
      <c r="DZ42" s="168">
        <v>21</v>
      </c>
      <c r="EA42" s="137">
        <f t="shared" si="57"/>
        <v>44</v>
      </c>
      <c r="EB42" s="137" t="str">
        <f t="shared" ref="EB42:EB73" si="248">REPT(S42,1)</f>
        <v>30</v>
      </c>
      <c r="EC42" s="137">
        <f t="shared" si="59"/>
        <v>74</v>
      </c>
      <c r="ED42" s="137">
        <f t="shared" si="60"/>
        <v>37</v>
      </c>
      <c r="EE42" s="135" t="str">
        <f t="shared" si="61"/>
        <v>E</v>
      </c>
      <c r="EF42" s="135" t="str">
        <f>VLOOKUP(RANK(ED42,$ED$10:$ED$109),Sheet1!$A$381:$B$480,2,FALSE)</f>
        <v>76th</v>
      </c>
      <c r="EG42" s="162">
        <v>25</v>
      </c>
      <c r="EH42" s="162">
        <v>37</v>
      </c>
      <c r="EI42" s="137">
        <f t="shared" si="62"/>
        <v>62</v>
      </c>
      <c r="EJ42" s="137" t="str">
        <f t="shared" ref="EJ42:EJ73" si="249">REPT(X42,1)</f>
        <v>52</v>
      </c>
      <c r="EK42" s="137">
        <f t="shared" si="64"/>
        <v>114</v>
      </c>
      <c r="EL42" s="137">
        <f t="shared" si="65"/>
        <v>57</v>
      </c>
      <c r="EM42" s="135" t="str">
        <f t="shared" si="66"/>
        <v>C</v>
      </c>
      <c r="EN42" s="135" t="str">
        <f>VLOOKUP(RANK(EL42,$EL$10:$EL$109),Sheet1!$A$381:$B$480,2,FALSE)</f>
        <v>43rd</v>
      </c>
      <c r="EO42" s="162">
        <v>34</v>
      </c>
      <c r="EP42" s="162">
        <v>35</v>
      </c>
      <c r="EQ42" s="137">
        <f t="shared" si="67"/>
        <v>69</v>
      </c>
      <c r="ER42" s="137" t="str">
        <f t="shared" ref="ER42:ER73" si="250">REPT(AE42,1)</f>
        <v>46</v>
      </c>
      <c r="ES42" s="137">
        <f t="shared" si="69"/>
        <v>115</v>
      </c>
      <c r="ET42" s="137">
        <f t="shared" si="70"/>
        <v>57.5</v>
      </c>
      <c r="EU42" s="135" t="str">
        <f t="shared" si="71"/>
        <v>C</v>
      </c>
      <c r="EV42" s="135" t="str">
        <f>VLOOKUP(RANK(ET42,$ET$10:$ET$109),Sheet1!$A$381:$B$480,2,FALSE)</f>
        <v>42nd</v>
      </c>
      <c r="EW42" s="137"/>
      <c r="EX42" s="137"/>
      <c r="EY42" s="137">
        <f t="shared" si="72"/>
        <v>0</v>
      </c>
      <c r="EZ42" s="137" t="str">
        <f t="shared" ref="EZ42:EZ73" si="251">REPT(AK42,1)</f>
        <v>0</v>
      </c>
      <c r="FA42" s="137">
        <f t="shared" si="74"/>
        <v>0</v>
      </c>
      <c r="FB42" s="137">
        <f t="shared" si="75"/>
        <v>0</v>
      </c>
      <c r="FC42" s="135" t="str">
        <f t="shared" si="76"/>
        <v>F</v>
      </c>
      <c r="FD42" s="135" t="str">
        <f>VLOOKUP(RANK(FB42,$FB$10:$FB$109),Sheet1!$A$381:$B$480,2,FALSE)</f>
        <v>1st</v>
      </c>
      <c r="FE42" s="137"/>
      <c r="FF42" s="137"/>
      <c r="FG42" s="137">
        <f t="shared" si="77"/>
        <v>0</v>
      </c>
      <c r="FH42" s="137" t="str">
        <f t="shared" ref="FH42:FH73" si="252">REPT(AQ42,1)</f>
        <v>0</v>
      </c>
      <c r="FI42" s="137">
        <f t="shared" si="79"/>
        <v>0</v>
      </c>
      <c r="FJ42" s="137">
        <f t="shared" si="80"/>
        <v>0</v>
      </c>
      <c r="FK42" s="135" t="str">
        <f t="shared" si="81"/>
        <v>F</v>
      </c>
      <c r="FL42" s="135" t="str">
        <f>VLOOKUP(RANK(FJ42,$FJ$10:$FJ$109),Sheet1!$A$381:$B$480,2,FALSE)</f>
        <v>1st</v>
      </c>
      <c r="FM42" s="166">
        <v>27</v>
      </c>
      <c r="FN42" s="166">
        <v>24</v>
      </c>
      <c r="FO42" s="137">
        <f t="shared" si="82"/>
        <v>51</v>
      </c>
      <c r="FP42" s="137" t="str">
        <f t="shared" ref="FP42:FP73" si="253">REPT(AW42,1)</f>
        <v>60</v>
      </c>
      <c r="FQ42" s="137">
        <f t="shared" si="84"/>
        <v>111</v>
      </c>
      <c r="FR42" s="137">
        <f t="shared" si="85"/>
        <v>55.5</v>
      </c>
      <c r="FS42" s="135" t="str">
        <f t="shared" si="86"/>
        <v>C</v>
      </c>
      <c r="FT42" s="135" t="str">
        <f>VLOOKUP(RANK(FR42,$FR$10:$FR$109),Sheet1!$A$381:$B$480,2,FALSE)</f>
        <v>20th</v>
      </c>
      <c r="FU42" s="149">
        <v>36</v>
      </c>
      <c r="FV42" s="149">
        <v>22</v>
      </c>
      <c r="FW42" s="137">
        <f t="shared" si="87"/>
        <v>58</v>
      </c>
      <c r="FX42" s="137" t="str">
        <f t="shared" ref="FX42:FX73" si="254">REPT(BB42,1)</f>
        <v>44</v>
      </c>
      <c r="FY42" s="137">
        <f t="shared" si="196"/>
        <v>58</v>
      </c>
      <c r="FZ42" s="137">
        <f t="shared" si="89"/>
        <v>29</v>
      </c>
      <c r="GA42" s="135" t="str">
        <f t="shared" si="90"/>
        <v>F</v>
      </c>
      <c r="GB42" s="135" t="str">
        <f>VLOOKUP(RANK(FZ42,$FZ$10:$FZ$109),Sheet1!$A$381:$B$480,2,FALSE)</f>
        <v>28th</v>
      </c>
      <c r="GC42" s="166">
        <v>7</v>
      </c>
      <c r="GD42" s="166">
        <v>27</v>
      </c>
      <c r="GE42" s="137">
        <f t="shared" si="91"/>
        <v>34</v>
      </c>
      <c r="GF42" s="137" t="str">
        <f t="shared" ref="GF42:GF73" si="255">REPT(BI42,1)</f>
        <v>42</v>
      </c>
      <c r="GG42" s="135">
        <f t="shared" si="197"/>
        <v>76</v>
      </c>
      <c r="GH42" s="137">
        <f t="shared" si="198"/>
        <v>38</v>
      </c>
      <c r="GI42" s="135" t="str">
        <f t="shared" si="93"/>
        <v>E</v>
      </c>
      <c r="GJ42" s="135" t="str">
        <f>VLOOKUP(RANK(GH42,$GH$10:$GH$109),Sheet1!$A$381:$B$480,2,FALSE)</f>
        <v>50th</v>
      </c>
      <c r="GK42" s="166">
        <v>25</v>
      </c>
      <c r="GL42" s="166">
        <v>20</v>
      </c>
      <c r="GM42" s="137">
        <f t="shared" si="94"/>
        <v>45</v>
      </c>
      <c r="GN42" s="137" t="str">
        <f t="shared" ref="GN42:GN73" si="256">REPT(BO42,1)</f>
        <v>53</v>
      </c>
      <c r="GO42" s="135">
        <f t="shared" si="199"/>
        <v>98</v>
      </c>
      <c r="GP42" s="137">
        <f t="shared" si="96"/>
        <v>49</v>
      </c>
      <c r="GQ42" s="135" t="str">
        <f t="shared" si="97"/>
        <v>D</v>
      </c>
      <c r="GR42" s="135" t="str">
        <f>VLOOKUP(RANK(GP42,$GP$10:$GP$109),Sheet1!$A$381:$B$480,2,FALSE)</f>
        <v>31st</v>
      </c>
      <c r="GS42" s="166">
        <v>23</v>
      </c>
      <c r="GT42" s="166">
        <v>35</v>
      </c>
      <c r="GU42" s="137">
        <f t="shared" si="98"/>
        <v>58</v>
      </c>
      <c r="GV42" s="137" t="str">
        <f t="shared" ref="GV42:GV73" si="257">REPT(BU42,1)</f>
        <v>48</v>
      </c>
      <c r="GW42" s="137">
        <f t="shared" si="100"/>
        <v>106</v>
      </c>
      <c r="GX42" s="137">
        <f t="shared" si="101"/>
        <v>53</v>
      </c>
      <c r="GY42" s="135" t="str">
        <f t="shared" si="102"/>
        <v>C</v>
      </c>
      <c r="GZ42" s="135" t="str">
        <f>VLOOKUP(RANK(GX42,$GX$10:$GX$109),Sheet1!$A$381:$B$480,2,FALSE)</f>
        <v>44th</v>
      </c>
      <c r="HA42" s="166">
        <v>29</v>
      </c>
      <c r="HB42" s="166">
        <v>15</v>
      </c>
      <c r="HC42" s="137">
        <f t="shared" si="103"/>
        <v>44</v>
      </c>
      <c r="HD42" s="137" t="str">
        <f t="shared" ref="HD42:HD73" si="258">REPT(CA42,1)</f>
        <v>38</v>
      </c>
      <c r="HE42" s="137">
        <f t="shared" si="105"/>
        <v>82</v>
      </c>
      <c r="HF42" s="137">
        <f t="shared" si="106"/>
        <v>41</v>
      </c>
      <c r="HG42" s="135" t="str">
        <f t="shared" si="107"/>
        <v>D</v>
      </c>
      <c r="HH42" s="135" t="str">
        <f>VLOOKUP(RANK(HF42,$HF$10:$HF$109),Sheet1!$A$381:$B$480,2,FALSE)</f>
        <v>53rd</v>
      </c>
      <c r="HI42" s="149">
        <v>28</v>
      </c>
      <c r="HJ42" s="149">
        <v>58</v>
      </c>
      <c r="HK42" s="137">
        <f t="shared" si="108"/>
        <v>86</v>
      </c>
      <c r="HL42" s="137" t="str">
        <f t="shared" ref="HL42:HL73" si="259">REPT(CG42,1)</f>
        <v>55</v>
      </c>
      <c r="HM42" s="137">
        <f t="shared" si="110"/>
        <v>141</v>
      </c>
      <c r="HN42" s="137">
        <f t="shared" si="111"/>
        <v>70.5</v>
      </c>
      <c r="HO42" s="135" t="str">
        <f t="shared" si="112"/>
        <v>B</v>
      </c>
      <c r="HP42" s="135" t="str">
        <f>VLOOKUP(RANK(HN42,$HN$10:$HN$109),Sheet1!$A$381:$B$480,2,FALSE)</f>
        <v>24th</v>
      </c>
      <c r="HQ42" s="137"/>
      <c r="HR42" s="137"/>
      <c r="HS42" s="137">
        <f t="shared" si="113"/>
        <v>0</v>
      </c>
      <c r="HT42" s="137" t="str">
        <f t="shared" ref="HT42:HT73" si="260">REPT(CM42,1)</f>
        <v>0</v>
      </c>
      <c r="HU42" s="137">
        <f t="shared" si="115"/>
        <v>0</v>
      </c>
      <c r="HV42" s="137">
        <f t="shared" si="116"/>
        <v>0</v>
      </c>
      <c r="HW42" s="135" t="str">
        <f t="shared" si="117"/>
        <v>F</v>
      </c>
      <c r="HX42" s="135" t="str">
        <f>VLOOKUP(RANK(HV42,$HV$10:$HV$109),Sheet1!$A$381:$B$480,2,FALSE)</f>
        <v>1st</v>
      </c>
      <c r="HY42" s="137"/>
      <c r="HZ42" s="137"/>
      <c r="IA42" s="137">
        <f t="shared" ref="IA42:IA73" si="261">SUM(HY42:HZ42)</f>
        <v>0</v>
      </c>
      <c r="IB42" s="137" t="str">
        <f t="shared" ref="IB42:IB73" si="262">REPT(CS42,1)</f>
        <v>0</v>
      </c>
      <c r="IC42" s="137">
        <f t="shared" si="120"/>
        <v>0</v>
      </c>
      <c r="ID42" s="137">
        <f t="shared" si="121"/>
        <v>0</v>
      </c>
      <c r="IE42" s="135" t="str">
        <f t="shared" si="122"/>
        <v>F</v>
      </c>
      <c r="IF42" s="135" t="str">
        <f>VLOOKUP(RANK(ID42,$ID$10:$ID$109),Sheet1!$A$381:$B$480,2,FALSE)</f>
        <v>1st</v>
      </c>
      <c r="IG42" s="135"/>
      <c r="IH42" s="135"/>
      <c r="II42" s="135">
        <f t="shared" si="200"/>
        <v>0</v>
      </c>
      <c r="IJ42" s="135" t="str">
        <f t="shared" si="201"/>
        <v>0</v>
      </c>
      <c r="IK42" s="135">
        <f t="shared" si="202"/>
        <v>0</v>
      </c>
      <c r="IL42" s="135">
        <f t="shared" si="203"/>
        <v>0</v>
      </c>
      <c r="IM42" s="135" t="str">
        <f t="shared" si="123"/>
        <v>F</v>
      </c>
      <c r="IN42" s="135" t="str">
        <f>VLOOKUP(RANK(IL42,$IL$10:$IL$109),Sheet1!$A$381:$B$480,2,FALSE)</f>
        <v>1st</v>
      </c>
      <c r="IO42" s="135">
        <f t="shared" si="204"/>
        <v>626.5</v>
      </c>
      <c r="IP42" s="177">
        <f t="shared" si="205"/>
        <v>36.852941176470601</v>
      </c>
      <c r="IQ42" s="135" t="str">
        <f>VLOOKUP(RANK(IP42,$IP$10:$IP$109),Sheet1!$A$381:$B$480,2,FALSE)</f>
        <v>37th</v>
      </c>
      <c r="IR42" s="178"/>
      <c r="IS42" s="137"/>
      <c r="IT42" s="137"/>
      <c r="IU42" s="137"/>
      <c r="IV42" s="137"/>
      <c r="IW42" s="181"/>
      <c r="IX42" s="184"/>
      <c r="IY42" s="186"/>
      <c r="IZ42" s="186">
        <f t="shared" si="206"/>
        <v>0</v>
      </c>
      <c r="JA42" s="186" t="str">
        <f t="shared" si="124"/>
        <v>65</v>
      </c>
      <c r="JB42" s="186" t="str">
        <f t="shared" si="125"/>
        <v>81</v>
      </c>
      <c r="JC42" s="186">
        <f t="shared" si="207"/>
        <v>146</v>
      </c>
      <c r="JD42" s="186">
        <f t="shared" si="208"/>
        <v>48.6666666666667</v>
      </c>
      <c r="JE42" s="135" t="str">
        <f t="shared" si="126"/>
        <v>D</v>
      </c>
      <c r="JF42" s="151" t="str">
        <f>VLOOKUP(RANK(JD42,$JD$10:$JD$109),Sheet1!$A$381:$B$480,2,FALSE)</f>
        <v>23rd</v>
      </c>
      <c r="JG42" s="186"/>
      <c r="JH42" s="186"/>
      <c r="JI42" s="186">
        <f t="shared" si="127"/>
        <v>0</v>
      </c>
      <c r="JJ42" s="186" t="str">
        <f t="shared" si="128"/>
        <v>86</v>
      </c>
      <c r="JK42" s="186" t="str">
        <f t="shared" si="129"/>
        <v>46</v>
      </c>
      <c r="JL42" s="186">
        <f t="shared" si="209"/>
        <v>132</v>
      </c>
      <c r="JM42" s="186">
        <f t="shared" si="210"/>
        <v>44</v>
      </c>
      <c r="JN42" s="135" t="str">
        <f t="shared" si="130"/>
        <v>D</v>
      </c>
      <c r="JO42" s="151" t="str">
        <f>VLOOKUP(RANK(JM42,$JM$10:$JM$109),Sheet1!$A$381:$B$480,2,FALSE)</f>
        <v>7th</v>
      </c>
      <c r="JP42" s="186"/>
      <c r="JQ42" s="186"/>
      <c r="JR42" s="186">
        <f t="shared" si="131"/>
        <v>0</v>
      </c>
      <c r="JS42" s="186" t="str">
        <f t="shared" si="132"/>
        <v>30</v>
      </c>
      <c r="JT42" s="186" t="str">
        <f t="shared" si="133"/>
        <v>44</v>
      </c>
      <c r="JU42" s="186">
        <f t="shared" si="211"/>
        <v>74</v>
      </c>
      <c r="JV42" s="186">
        <f t="shared" si="212"/>
        <v>24.6666666666667</v>
      </c>
      <c r="JW42" s="135" t="str">
        <f t="shared" si="134"/>
        <v>F</v>
      </c>
      <c r="JX42" s="151" t="str">
        <f>VLOOKUP(RANK(JV42,$JV$10:$JV$109),Sheet1!$A$381:$B$480,2,FALSE)</f>
        <v>76th</v>
      </c>
      <c r="JY42" s="186"/>
      <c r="JZ42" s="186"/>
      <c r="KA42" s="186">
        <f t="shared" si="135"/>
        <v>0</v>
      </c>
      <c r="KB42" s="186" t="str">
        <f t="shared" si="136"/>
        <v>52</v>
      </c>
      <c r="KC42" s="186" t="str">
        <f t="shared" si="137"/>
        <v>62</v>
      </c>
      <c r="KD42" s="186">
        <f t="shared" si="213"/>
        <v>114</v>
      </c>
      <c r="KE42" s="186">
        <f t="shared" si="214"/>
        <v>38</v>
      </c>
      <c r="KF42" s="135" t="str">
        <f t="shared" si="138"/>
        <v>E</v>
      </c>
      <c r="KG42" s="151" t="str">
        <f>VLOOKUP(RANK(KE42,$KE$10:$KE$109),Sheet1!$A$381:$B$480,2,FALSE)</f>
        <v>43rd</v>
      </c>
      <c r="KH42" s="186"/>
      <c r="KI42" s="186"/>
      <c r="KJ42" s="186">
        <f t="shared" si="139"/>
        <v>0</v>
      </c>
      <c r="KK42" s="186" t="str">
        <f t="shared" si="140"/>
        <v>46</v>
      </c>
      <c r="KL42" s="186" t="str">
        <f t="shared" si="141"/>
        <v>69</v>
      </c>
      <c r="KM42" s="186">
        <f t="shared" si="215"/>
        <v>115</v>
      </c>
      <c r="KN42" s="186">
        <f t="shared" si="216"/>
        <v>38.3333333333333</v>
      </c>
      <c r="KO42" s="135" t="str">
        <f t="shared" si="142"/>
        <v>E</v>
      </c>
      <c r="KP42" s="151" t="str">
        <f>VLOOKUP(RANK(KN42,$KN$10:$KN$109),Sheet1!$A$381:$B$480,2,FALSE)</f>
        <v>42nd</v>
      </c>
      <c r="KQ42" s="186"/>
      <c r="KR42" s="186"/>
      <c r="KS42" s="186">
        <f t="shared" si="143"/>
        <v>0</v>
      </c>
      <c r="KT42" s="186" t="str">
        <f t="shared" si="144"/>
        <v>0</v>
      </c>
      <c r="KU42" s="186" t="str">
        <f t="shared" si="145"/>
        <v>0</v>
      </c>
      <c r="KV42" s="186">
        <f t="shared" si="217"/>
        <v>0</v>
      </c>
      <c r="KW42" s="186">
        <f t="shared" si="218"/>
        <v>0</v>
      </c>
      <c r="KX42" s="135" t="str">
        <f t="shared" si="146"/>
        <v>F</v>
      </c>
      <c r="KY42" s="151" t="str">
        <f>VLOOKUP(RANK(KW42,$KW$10:$KW$109),Sheet1!$A$381:$B$480,2,FALSE)</f>
        <v>1st</v>
      </c>
      <c r="KZ42" s="186"/>
      <c r="LA42" s="186"/>
      <c r="LB42" s="186">
        <f t="shared" si="147"/>
        <v>0</v>
      </c>
      <c r="LC42" s="186" t="str">
        <f t="shared" si="148"/>
        <v>0</v>
      </c>
      <c r="LD42" s="186" t="str">
        <f t="shared" si="149"/>
        <v>0</v>
      </c>
      <c r="LE42" s="186">
        <f t="shared" si="219"/>
        <v>0</v>
      </c>
      <c r="LF42" s="186">
        <f t="shared" si="220"/>
        <v>0</v>
      </c>
      <c r="LG42" s="135" t="str">
        <f t="shared" si="150"/>
        <v>F</v>
      </c>
      <c r="LH42" s="151" t="str">
        <f>VLOOKUP(RANK(LF42,$LF$10:$LF$109),Sheet1!$A$381:$B$480,2,FALSE)</f>
        <v>1st</v>
      </c>
      <c r="LI42" s="186"/>
      <c r="LJ42" s="186"/>
      <c r="LK42" s="186">
        <f t="shared" si="151"/>
        <v>0</v>
      </c>
      <c r="LL42" s="186" t="str">
        <f t="shared" si="152"/>
        <v>60</v>
      </c>
      <c r="LM42" s="186" t="str">
        <f t="shared" si="153"/>
        <v>51</v>
      </c>
      <c r="LN42" s="186">
        <f t="shared" si="221"/>
        <v>111</v>
      </c>
      <c r="LO42" s="186">
        <f t="shared" si="222"/>
        <v>37</v>
      </c>
      <c r="LP42" s="135" t="str">
        <f t="shared" si="154"/>
        <v>E</v>
      </c>
      <c r="LQ42" s="151" t="str">
        <f>VLOOKUP(RANK(LO42,$LO$10:$LO$109),Sheet1!$A$381:$B$480,2,FALSE)</f>
        <v>20th</v>
      </c>
      <c r="LR42" s="186"/>
      <c r="LS42" s="186"/>
      <c r="LT42" s="186">
        <f t="shared" si="155"/>
        <v>0</v>
      </c>
      <c r="LU42" s="186" t="str">
        <f t="shared" si="156"/>
        <v>44</v>
      </c>
      <c r="LV42" s="186" t="str">
        <f t="shared" si="157"/>
        <v>58</v>
      </c>
      <c r="LW42" s="186">
        <f t="shared" si="223"/>
        <v>102</v>
      </c>
      <c r="LX42" s="186">
        <f t="shared" si="224"/>
        <v>34</v>
      </c>
      <c r="LY42" s="135" t="str">
        <f t="shared" si="158"/>
        <v>F</v>
      </c>
      <c r="LZ42" s="151" t="str">
        <f>VLOOKUP(RANK(LX42,$LX$10:$LX$109),Sheet1!$A$381:$B$480,2,FALSE)</f>
        <v>52nd</v>
      </c>
      <c r="MA42" s="186"/>
      <c r="MB42" s="186"/>
      <c r="MC42" s="186">
        <f t="shared" si="159"/>
        <v>0</v>
      </c>
      <c r="MD42" s="186" t="str">
        <f t="shared" si="160"/>
        <v>42</v>
      </c>
      <c r="ME42" s="186" t="str">
        <f t="shared" si="161"/>
        <v>34</v>
      </c>
      <c r="MF42" s="183">
        <f t="shared" si="225"/>
        <v>76</v>
      </c>
      <c r="MG42" s="151">
        <f t="shared" si="226"/>
        <v>25.3333333333333</v>
      </c>
      <c r="MH42" s="135" t="str">
        <f t="shared" si="162"/>
        <v>F</v>
      </c>
      <c r="MI42" s="151" t="str">
        <f>VLOOKUP(RANK(MG42,$MG$10:$MG$109),Sheet1!$A$381:$B$480,2,FALSE)</f>
        <v>50th</v>
      </c>
      <c r="MJ42" s="186"/>
      <c r="MK42" s="186"/>
      <c r="ML42" s="186">
        <f t="shared" si="163"/>
        <v>0</v>
      </c>
      <c r="MM42" s="186" t="str">
        <f t="shared" si="164"/>
        <v>53</v>
      </c>
      <c r="MN42" s="186" t="str">
        <f t="shared" si="165"/>
        <v>45</v>
      </c>
      <c r="MO42" s="186">
        <f t="shared" si="227"/>
        <v>98</v>
      </c>
      <c r="MP42" s="186">
        <f t="shared" si="228"/>
        <v>32.6666666666667</v>
      </c>
      <c r="MQ42" s="135" t="str">
        <f t="shared" si="166"/>
        <v>F</v>
      </c>
      <c r="MR42" s="151" t="str">
        <f>VLOOKUP(RANK(MP42,$MP$10:$MP$109),Sheet1!$A$381:$B$480,2,FALSE)</f>
        <v>31st</v>
      </c>
      <c r="MS42" s="186"/>
      <c r="MT42" s="186"/>
      <c r="MU42" s="186">
        <f t="shared" si="167"/>
        <v>0</v>
      </c>
      <c r="MV42" s="186" t="str">
        <f t="shared" si="168"/>
        <v>48</v>
      </c>
      <c r="MW42" s="186" t="str">
        <f t="shared" si="169"/>
        <v>58</v>
      </c>
      <c r="MX42" s="186">
        <f t="shared" si="229"/>
        <v>106</v>
      </c>
      <c r="MY42" s="186">
        <f t="shared" si="230"/>
        <v>35.3333333333333</v>
      </c>
      <c r="MZ42" s="135" t="str">
        <f t="shared" si="170"/>
        <v>E</v>
      </c>
      <c r="NA42" s="151" t="str">
        <f>VLOOKUP(RANK(MY42,$MY$10:$MY$109),Sheet1!$A$381:$B$480,2,FALSE)</f>
        <v>44th</v>
      </c>
      <c r="NB42" s="186"/>
      <c r="NC42" s="186"/>
      <c r="ND42" s="186">
        <f t="shared" si="171"/>
        <v>0</v>
      </c>
      <c r="NE42" s="186" t="str">
        <f t="shared" si="172"/>
        <v>38</v>
      </c>
      <c r="NF42" s="186" t="str">
        <f t="shared" si="173"/>
        <v>44</v>
      </c>
      <c r="NG42" s="186">
        <f t="shared" si="231"/>
        <v>82</v>
      </c>
      <c r="NH42" s="186">
        <f t="shared" si="232"/>
        <v>27.3333333333333</v>
      </c>
      <c r="NI42" s="135" t="str">
        <f t="shared" si="174"/>
        <v>F</v>
      </c>
      <c r="NJ42" s="151" t="str">
        <f>VLOOKUP(RANK(NH42,$NH$10:$NH$109),Sheet1!$A$381:$B$480,2,FALSE)</f>
        <v>53rd</v>
      </c>
      <c r="NK42" s="186"/>
      <c r="NL42" s="186"/>
      <c r="NM42" s="186">
        <f t="shared" si="175"/>
        <v>0</v>
      </c>
      <c r="NN42" s="186" t="str">
        <f t="shared" si="176"/>
        <v>55</v>
      </c>
      <c r="NO42" s="186" t="str">
        <f t="shared" si="177"/>
        <v>86</v>
      </c>
      <c r="NP42" s="186">
        <f t="shared" si="233"/>
        <v>141</v>
      </c>
      <c r="NQ42" s="186">
        <f t="shared" ref="NQ42:NQ73" si="263">NP42/3</f>
        <v>47</v>
      </c>
      <c r="NR42" s="135" t="str">
        <f t="shared" si="179"/>
        <v>D</v>
      </c>
      <c r="NS42" s="151" t="str">
        <f>VLOOKUP(RANK(NQ42,$NQ$10:$NQ$109),Sheet1!$A$381:$B$480,2,FALSE)</f>
        <v>24th</v>
      </c>
      <c r="NT42" s="186"/>
      <c r="NU42" s="186"/>
      <c r="NV42" s="186">
        <f t="shared" si="180"/>
        <v>0</v>
      </c>
      <c r="NW42" s="186" t="str">
        <f t="shared" si="181"/>
        <v>0</v>
      </c>
      <c r="NX42" s="186" t="str">
        <f t="shared" si="182"/>
        <v>0</v>
      </c>
      <c r="NY42" s="186">
        <f t="shared" si="234"/>
        <v>0</v>
      </c>
      <c r="NZ42" s="186">
        <f t="shared" ref="NZ42:NZ73" si="264">NY42/3</f>
        <v>0</v>
      </c>
      <c r="OA42" s="135" t="str">
        <f t="shared" si="184"/>
        <v>F</v>
      </c>
      <c r="OB42" s="151" t="str">
        <f>VLOOKUP(RANK(NZ42,$NZ$10:$NZ$109),Sheet1!$A$381:$B$480,2,FALSE)</f>
        <v>1st</v>
      </c>
      <c r="OC42" s="186"/>
      <c r="OD42" s="186"/>
      <c r="OE42" s="186">
        <f t="shared" si="185"/>
        <v>0</v>
      </c>
      <c r="OF42" s="186" t="str">
        <f t="shared" si="186"/>
        <v>0</v>
      </c>
      <c r="OG42" s="186" t="str">
        <f t="shared" si="187"/>
        <v>0</v>
      </c>
      <c r="OH42" s="186">
        <f t="shared" si="235"/>
        <v>0</v>
      </c>
      <c r="OI42" s="186">
        <f t="shared" si="236"/>
        <v>0</v>
      </c>
      <c r="OJ42" s="135" t="str">
        <f t="shared" si="188"/>
        <v>F</v>
      </c>
      <c r="OK42" s="151" t="str">
        <f>VLOOKUP(RANK(OI42,$OI$10:$OI$109),Sheet1!$A$381:$B$480,2,FALSE)</f>
        <v>1st</v>
      </c>
      <c r="OL42" s="151"/>
      <c r="OM42" s="151"/>
      <c r="ON42" s="151">
        <f t="shared" si="237"/>
        <v>0</v>
      </c>
      <c r="OO42" s="151" t="str">
        <f t="shared" si="238"/>
        <v>0</v>
      </c>
      <c r="OP42" s="151" t="str">
        <f t="shared" si="239"/>
        <v>0</v>
      </c>
      <c r="OQ42" s="151">
        <f t="shared" si="240"/>
        <v>0</v>
      </c>
      <c r="OR42" s="151">
        <f t="shared" si="241"/>
        <v>0</v>
      </c>
      <c r="OS42" s="135" t="str">
        <f t="shared" si="189"/>
        <v>F</v>
      </c>
      <c r="OT42" s="151" t="str">
        <f>VLOOKUP(RANK(OR42,$OI$10:$OI$109),Sheet1!$A$381:$B$480,2,FALSE)</f>
        <v>1st</v>
      </c>
      <c r="OU42" s="151">
        <f t="shared" si="242"/>
        <v>432.33333333333297</v>
      </c>
      <c r="OV42" s="151">
        <f t="shared" si="243"/>
        <v>25.431372549019599</v>
      </c>
      <c r="OW42" s="151" t="str">
        <f>VLOOKUP(RANK(OV42,$OV$10:$OV$109),Sheet1!$A$381:$B$480,2,FALSE)</f>
        <v>39th</v>
      </c>
      <c r="OX42" s="151"/>
      <c r="OY42" s="186"/>
      <c r="OZ42" s="186"/>
      <c r="PA42" s="186"/>
      <c r="PB42" s="186"/>
    </row>
    <row r="43" spans="1:418" s="118" customFormat="1" ht="18.75">
      <c r="A43" s="131">
        <v>34</v>
      </c>
      <c r="B43" s="132" t="s">
        <v>131</v>
      </c>
      <c r="C43" s="133" t="s">
        <v>97</v>
      </c>
      <c r="D43" s="134">
        <v>25</v>
      </c>
      <c r="E43" s="134">
        <v>48</v>
      </c>
      <c r="F43" s="137">
        <f t="shared" si="0"/>
        <v>73</v>
      </c>
      <c r="G43" s="137">
        <f t="shared" si="1"/>
        <v>73</v>
      </c>
      <c r="H43" s="135" t="str">
        <f t="shared" ref="H43:H74" si="265">IF(G43&gt;=75,"A",IF(G43&gt;=60,"B",IF(G43&gt;=50,"C",IF(G43&gt;=40,"D",IF(G43&gt;=35,"E","F")))))</f>
        <v>B</v>
      </c>
      <c r="I43" s="135" t="str">
        <f>VLOOKUP(RANK(G43,$G$10:$G$109),Sheet1!$A$381:$B$480,2,FALSE)</f>
        <v>24th</v>
      </c>
      <c r="J43" s="134">
        <v>20</v>
      </c>
      <c r="K43" s="134">
        <v>14</v>
      </c>
      <c r="L43" s="137">
        <f t="shared" si="2"/>
        <v>34</v>
      </c>
      <c r="M43" s="137">
        <f t="shared" si="3"/>
        <v>34</v>
      </c>
      <c r="N43" s="135" t="str">
        <f t="shared" si="4"/>
        <v>F</v>
      </c>
      <c r="O43" s="141" t="str">
        <f>VLOOKUP(RANK(M43,$M$10:$M$109),Sheet1!$A$381:$B$480,2,FALSE)</f>
        <v>94th</v>
      </c>
      <c r="P43" s="144">
        <v>28</v>
      </c>
      <c r="Q43" s="144">
        <v>13</v>
      </c>
      <c r="R43" s="147">
        <f t="shared" si="5"/>
        <v>41</v>
      </c>
      <c r="S43" s="137">
        <f t="shared" si="6"/>
        <v>41</v>
      </c>
      <c r="T43" s="135" t="str">
        <f t="shared" si="7"/>
        <v>D</v>
      </c>
      <c r="U43" s="135" t="str">
        <f>VLOOKUP(RANK(S43,$S$10:$S$109),Sheet1!$A$381:$B$480,2,FALSE)</f>
        <v>54th</v>
      </c>
      <c r="V43" s="134">
        <v>18</v>
      </c>
      <c r="W43" s="134">
        <v>12</v>
      </c>
      <c r="X43" s="137">
        <f t="shared" si="191"/>
        <v>30</v>
      </c>
      <c r="Y43" s="137">
        <f t="shared" si="244"/>
        <v>30</v>
      </c>
      <c r="Z43" s="135" t="str">
        <f t="shared" si="8"/>
        <v>F</v>
      </c>
      <c r="AA43" s="135" t="str">
        <f>VLOOKUP(RANK(Y43,$Y$10:$Y$109),Sheet1!$A$381:$B$480,2,FALSE)</f>
        <v>95th</v>
      </c>
      <c r="AB43" s="134">
        <v>28</v>
      </c>
      <c r="AC43" s="134">
        <v>15</v>
      </c>
      <c r="AD43" s="137">
        <f t="shared" si="9"/>
        <v>43</v>
      </c>
      <c r="AE43" s="137">
        <f t="shared" si="10"/>
        <v>43</v>
      </c>
      <c r="AF43" s="135" t="str">
        <f t="shared" si="11"/>
        <v>D</v>
      </c>
      <c r="AG43" s="135" t="str">
        <f>VLOOKUP(RANK(AE43,$AE$10:$AE$109),Sheet1!$A$381:$B$480,2,FALSE)</f>
        <v>75th</v>
      </c>
      <c r="AH43" s="137"/>
      <c r="AI43" s="137"/>
      <c r="AJ43" s="137">
        <f t="shared" si="12"/>
        <v>0</v>
      </c>
      <c r="AK43" s="137">
        <f t="shared" si="13"/>
        <v>0</v>
      </c>
      <c r="AL43" s="135" t="str">
        <f t="shared" si="14"/>
        <v>F</v>
      </c>
      <c r="AM43" s="135" t="str">
        <f>VLOOKUP(RANK(AK43,$AK$10:$AK$109),Sheet1!$A$381:$B$480,2,FALSE)</f>
        <v>1st</v>
      </c>
      <c r="AN43" s="134"/>
      <c r="AO43" s="134"/>
      <c r="AP43" s="137">
        <f t="shared" si="15"/>
        <v>0</v>
      </c>
      <c r="AQ43" s="137">
        <f t="shared" si="16"/>
        <v>0</v>
      </c>
      <c r="AR43" s="135" t="str">
        <f t="shared" si="17"/>
        <v>F</v>
      </c>
      <c r="AS43" s="135" t="str">
        <f>VLOOKUP(RANK(AQ43,$AQ$10:$AQ$109),Sheet1!$A$381:$B$480,2,FALSE)</f>
        <v>1st</v>
      </c>
      <c r="AT43" s="144">
        <v>24</v>
      </c>
      <c r="AU43" s="144">
        <v>26</v>
      </c>
      <c r="AV43" s="137">
        <f t="shared" si="18"/>
        <v>50</v>
      </c>
      <c r="AW43" s="137">
        <f t="shared" si="19"/>
        <v>50</v>
      </c>
      <c r="AX43" s="135" t="str">
        <f t="shared" si="20"/>
        <v>C</v>
      </c>
      <c r="AY43" s="141" t="str">
        <f>VLOOKUP(RANK(AW43,$AW$10:$AW$109),Sheet1!$A$381:$B$480,2,FALSE)</f>
        <v>58th</v>
      </c>
      <c r="AZ43" s="144">
        <v>33</v>
      </c>
      <c r="BA43" s="144">
        <v>22</v>
      </c>
      <c r="BB43" s="147">
        <f t="shared" si="21"/>
        <v>55</v>
      </c>
      <c r="BC43" s="137">
        <f t="shared" si="22"/>
        <v>55</v>
      </c>
      <c r="BD43" s="135" t="str">
        <f t="shared" si="23"/>
        <v>C</v>
      </c>
      <c r="BE43" s="135" t="str">
        <f>VLOOKUP(RANK(BC43,$BC$10:$BC$109),Sheet1!$A$381:$B$480,2,FALSE)</f>
        <v>43rd</v>
      </c>
      <c r="BF43" s="144">
        <v>12</v>
      </c>
      <c r="BG43" s="144">
        <v>28</v>
      </c>
      <c r="BH43" s="137">
        <f t="shared" si="24"/>
        <v>40</v>
      </c>
      <c r="BI43" s="137">
        <f t="shared" si="25"/>
        <v>40</v>
      </c>
      <c r="BJ43" s="135" t="str">
        <f t="shared" si="26"/>
        <v>D</v>
      </c>
      <c r="BK43" s="141" t="str">
        <f>VLOOKUP(RANK(BI43,$BI$10:$BI$109),Sheet1!$A$381:$B$480,2,FALSE)</f>
        <v>32nd</v>
      </c>
      <c r="BL43" s="149">
        <v>24</v>
      </c>
      <c r="BM43" s="149">
        <v>27</v>
      </c>
      <c r="BN43" s="147">
        <f t="shared" si="27"/>
        <v>51</v>
      </c>
      <c r="BO43" s="137">
        <f t="shared" si="28"/>
        <v>51</v>
      </c>
      <c r="BP43" s="135" t="str">
        <f t="shared" si="29"/>
        <v>C</v>
      </c>
      <c r="BQ43" s="141" t="str">
        <f>VLOOKUP(RANK(BO43,$BO$10:$BO$109),Sheet1!$A$381:$B$480,2,FALSE)</f>
        <v>69th</v>
      </c>
      <c r="BR43" s="149">
        <v>27</v>
      </c>
      <c r="BS43" s="149">
        <v>2</v>
      </c>
      <c r="BT43" s="147">
        <f t="shared" si="30"/>
        <v>29</v>
      </c>
      <c r="BU43" s="137">
        <f t="shared" si="31"/>
        <v>29</v>
      </c>
      <c r="BV43" s="135" t="str">
        <f t="shared" si="32"/>
        <v>F</v>
      </c>
      <c r="BW43" s="135" t="str">
        <f>VLOOKUP(RANK(BU43,$BU$10:$BU$109),Sheet1!$A$381:$B$480,2,FALSE)</f>
        <v>97th</v>
      </c>
      <c r="BX43" s="149">
        <v>27</v>
      </c>
      <c r="BY43" s="149">
        <v>10</v>
      </c>
      <c r="BZ43" s="137">
        <f t="shared" si="33"/>
        <v>37</v>
      </c>
      <c r="CA43" s="137">
        <f t="shared" si="34"/>
        <v>37</v>
      </c>
      <c r="CB43" s="135" t="str">
        <f t="shared" si="35"/>
        <v>E</v>
      </c>
      <c r="CC43" s="135" t="str">
        <f>VLOOKUP(RANK(CA43,$CA$10:$CA$109),Sheet1!$A$381:$B$480,2,FALSE)</f>
        <v>70th</v>
      </c>
      <c r="CD43" s="149">
        <v>25</v>
      </c>
      <c r="CE43" s="149">
        <v>30</v>
      </c>
      <c r="CF43" s="137">
        <f t="shared" si="36"/>
        <v>55</v>
      </c>
      <c r="CG43" s="137">
        <f t="shared" si="37"/>
        <v>55</v>
      </c>
      <c r="CH43" s="135" t="str">
        <f t="shared" si="38"/>
        <v>C</v>
      </c>
      <c r="CI43" s="135" t="str">
        <f>VLOOKUP(RANK(CG43,$CG$10:$CG$109),Sheet1!$A$381:$B$480,2,FALSE)</f>
        <v>46th</v>
      </c>
      <c r="CJ43" s="137"/>
      <c r="CK43" s="137"/>
      <c r="CL43" s="137">
        <f t="shared" si="39"/>
        <v>0</v>
      </c>
      <c r="CM43" s="137">
        <f t="shared" si="40"/>
        <v>0</v>
      </c>
      <c r="CN43" s="135" t="str">
        <f t="shared" si="41"/>
        <v>F</v>
      </c>
      <c r="CO43" s="135" t="str">
        <f>VLOOKUP(RANK(CM43,$CM$10:$CM$109),Sheet1!$A$381:$B$480,2,FALSE)</f>
        <v>1st</v>
      </c>
      <c r="CP43" s="137"/>
      <c r="CQ43" s="137"/>
      <c r="CR43" s="137">
        <f t="shared" si="42"/>
        <v>0</v>
      </c>
      <c r="CS43" s="137">
        <f t="shared" si="43"/>
        <v>0</v>
      </c>
      <c r="CT43" s="135" t="str">
        <f t="shared" si="44"/>
        <v>F</v>
      </c>
      <c r="CU43" s="135" t="str">
        <f>VLOOKUP(RANK(CS43,$CS$10:$CS$109),Sheet1!$A$381:$B$480,2,FALSE)</f>
        <v>1st</v>
      </c>
      <c r="CV43" s="151"/>
      <c r="CW43" s="135"/>
      <c r="CX43" s="151">
        <f t="shared" ref="CX43:CX74" si="266">SUM(CV43:CW43)</f>
        <v>0</v>
      </c>
      <c r="CY43" s="151">
        <f t="shared" ref="CY43:CY74" si="267">SUM(CV43:CW43)</f>
        <v>0</v>
      </c>
      <c r="CZ43" s="135" t="str">
        <f t="shared" si="45"/>
        <v>F</v>
      </c>
      <c r="DA43" s="135" t="str">
        <f>VLOOKUP(RANK(CY43,$CY$10:$CY$109),Sheet1!$A$381:$B$480,2,FALSE)</f>
        <v>1st</v>
      </c>
      <c r="DB43" s="135"/>
      <c r="DC43" s="151">
        <f t="shared" ref="DC43:DC74" si="268">CR43+CL43+CF43+BZ43+BT43+BH43+BB43+AV43+AP43+AJ43+AD43+X43+L43+F43+BN43+R43+CX43</f>
        <v>538</v>
      </c>
      <c r="DD43" s="151">
        <f t="shared" ref="DD43:DD74" si="269">DC43/17</f>
        <v>31.647058823529399</v>
      </c>
      <c r="DE43" s="135" t="str">
        <f>VLOOKUP(RANK(DD43,$DD$10:$DD$109),Sheet1!$A$381:$B$480,2,FALSE)</f>
        <v>83rd</v>
      </c>
      <c r="DF43" s="137"/>
      <c r="DG43" s="160">
        <f t="shared" si="46"/>
        <v>569.64705882352905</v>
      </c>
      <c r="DH43" s="119"/>
      <c r="DI43" s="162">
        <v>5</v>
      </c>
      <c r="DJ43" s="162">
        <v>46</v>
      </c>
      <c r="DK43" s="137">
        <f t="shared" si="47"/>
        <v>51</v>
      </c>
      <c r="DL43" s="137" t="str">
        <f t="shared" si="245"/>
        <v>73</v>
      </c>
      <c r="DM43" s="137">
        <f t="shared" si="49"/>
        <v>124</v>
      </c>
      <c r="DN43" s="137">
        <f t="shared" si="50"/>
        <v>62</v>
      </c>
      <c r="DO43" s="135" t="str">
        <f t="shared" si="51"/>
        <v>B</v>
      </c>
      <c r="DP43" s="135" t="str">
        <f>VLOOKUP(RANK(DN43,$DN$10:$DN$109),Sheet1!$A$381:$B$480,2,FALSE)</f>
        <v>69th</v>
      </c>
      <c r="DQ43" s="166">
        <v>23</v>
      </c>
      <c r="DR43" s="166">
        <v>17</v>
      </c>
      <c r="DS43" s="137">
        <f t="shared" si="52"/>
        <v>40</v>
      </c>
      <c r="DT43" s="137" t="str">
        <f t="shared" si="246"/>
        <v>34</v>
      </c>
      <c r="DU43" s="137">
        <f t="shared" si="54"/>
        <v>74</v>
      </c>
      <c r="DV43" s="137">
        <f t="shared" si="247"/>
        <v>37</v>
      </c>
      <c r="DW43" s="135" t="str">
        <f t="shared" si="56"/>
        <v>E</v>
      </c>
      <c r="DX43" s="135" t="str">
        <f>VLOOKUP(RANK(DV43,$DV$10:$DV$109),Sheet1!$A$381:$B$480,2,FALSE)</f>
        <v>89th</v>
      </c>
      <c r="DY43" s="168">
        <v>23</v>
      </c>
      <c r="DZ43" s="168">
        <v>14</v>
      </c>
      <c r="EA43" s="137">
        <f t="shared" si="57"/>
        <v>37</v>
      </c>
      <c r="EB43" s="137" t="str">
        <f t="shared" si="248"/>
        <v>41</v>
      </c>
      <c r="EC43" s="137">
        <f t="shared" si="59"/>
        <v>78</v>
      </c>
      <c r="ED43" s="137">
        <f t="shared" si="60"/>
        <v>39</v>
      </c>
      <c r="EE43" s="135" t="str">
        <f t="shared" si="61"/>
        <v>E</v>
      </c>
      <c r="EF43" s="135" t="str">
        <f>VLOOKUP(RANK(ED43,$ED$10:$ED$109),Sheet1!$A$381:$B$480,2,FALSE)</f>
        <v>71st</v>
      </c>
      <c r="EG43" s="162">
        <v>15</v>
      </c>
      <c r="EH43" s="162">
        <v>19</v>
      </c>
      <c r="EI43" s="137">
        <f t="shared" si="62"/>
        <v>34</v>
      </c>
      <c r="EJ43" s="137" t="str">
        <f t="shared" si="249"/>
        <v>30</v>
      </c>
      <c r="EK43" s="137">
        <f t="shared" si="64"/>
        <v>64</v>
      </c>
      <c r="EL43" s="137">
        <f t="shared" si="65"/>
        <v>32</v>
      </c>
      <c r="EM43" s="135" t="str">
        <f t="shared" si="66"/>
        <v>F</v>
      </c>
      <c r="EN43" s="135" t="str">
        <f>VLOOKUP(RANK(EL43,$EL$10:$EL$109),Sheet1!$A$381:$B$480,2,FALSE)</f>
        <v>97th</v>
      </c>
      <c r="EO43" s="162">
        <v>25</v>
      </c>
      <c r="EP43" s="162">
        <v>7</v>
      </c>
      <c r="EQ43" s="137">
        <f t="shared" si="67"/>
        <v>32</v>
      </c>
      <c r="ER43" s="137" t="str">
        <f t="shared" si="250"/>
        <v>43</v>
      </c>
      <c r="ES43" s="137">
        <f t="shared" si="69"/>
        <v>75</v>
      </c>
      <c r="ET43" s="137">
        <f t="shared" si="70"/>
        <v>37.5</v>
      </c>
      <c r="EU43" s="135" t="str">
        <f t="shared" si="71"/>
        <v>E</v>
      </c>
      <c r="EV43" s="135" t="str">
        <f>VLOOKUP(RANK(ET43,$ET$10:$ET$109),Sheet1!$A$381:$B$480,2,FALSE)</f>
        <v>78th</v>
      </c>
      <c r="EW43" s="137"/>
      <c r="EX43" s="137"/>
      <c r="EY43" s="137">
        <f t="shared" si="72"/>
        <v>0</v>
      </c>
      <c r="EZ43" s="137" t="str">
        <f t="shared" si="251"/>
        <v>0</v>
      </c>
      <c r="FA43" s="137">
        <f t="shared" si="74"/>
        <v>0</v>
      </c>
      <c r="FB43" s="137">
        <f t="shared" si="75"/>
        <v>0</v>
      </c>
      <c r="FC43" s="135" t="str">
        <f t="shared" si="76"/>
        <v>F</v>
      </c>
      <c r="FD43" s="135" t="str">
        <f>VLOOKUP(RANK(FB43,$FB$10:$FB$109),Sheet1!$A$381:$B$480,2,FALSE)</f>
        <v>1st</v>
      </c>
      <c r="FE43" s="137"/>
      <c r="FF43" s="137"/>
      <c r="FG43" s="137">
        <f t="shared" si="77"/>
        <v>0</v>
      </c>
      <c r="FH43" s="137" t="str">
        <f t="shared" si="252"/>
        <v>0</v>
      </c>
      <c r="FI43" s="137">
        <f t="shared" si="79"/>
        <v>0</v>
      </c>
      <c r="FJ43" s="137">
        <f t="shared" si="80"/>
        <v>0</v>
      </c>
      <c r="FK43" s="135" t="str">
        <f t="shared" si="81"/>
        <v>F</v>
      </c>
      <c r="FL43" s="135" t="str">
        <f>VLOOKUP(RANK(FJ43,$FJ$10:$FJ$109),Sheet1!$A$381:$B$480,2,FALSE)</f>
        <v>1st</v>
      </c>
      <c r="FM43" s="166">
        <v>25</v>
      </c>
      <c r="FN43" s="166">
        <v>25</v>
      </c>
      <c r="FO43" s="137">
        <f t="shared" si="82"/>
        <v>50</v>
      </c>
      <c r="FP43" s="137" t="str">
        <f t="shared" si="253"/>
        <v>50</v>
      </c>
      <c r="FQ43" s="137">
        <f t="shared" si="84"/>
        <v>100</v>
      </c>
      <c r="FR43" s="137">
        <f t="shared" si="85"/>
        <v>50</v>
      </c>
      <c r="FS43" s="135" t="str">
        <f t="shared" si="86"/>
        <v>C</v>
      </c>
      <c r="FT43" s="135" t="str">
        <f>VLOOKUP(RANK(FR43,$FR$10:$FR$109),Sheet1!$A$381:$B$480,2,FALSE)</f>
        <v>77th</v>
      </c>
      <c r="FU43" s="149">
        <v>0</v>
      </c>
      <c r="FV43" s="149">
        <v>15</v>
      </c>
      <c r="FW43" s="137">
        <f t="shared" si="87"/>
        <v>15</v>
      </c>
      <c r="FX43" s="137" t="str">
        <f t="shared" si="254"/>
        <v>55</v>
      </c>
      <c r="FY43" s="137">
        <f t="shared" si="196"/>
        <v>15</v>
      </c>
      <c r="FZ43" s="137">
        <f t="shared" si="89"/>
        <v>7.5</v>
      </c>
      <c r="GA43" s="135" t="str">
        <f t="shared" si="90"/>
        <v>F</v>
      </c>
      <c r="GB43" s="135" t="str">
        <f>VLOOKUP(RANK(FZ43,$FZ$10:$FZ$109),Sheet1!$A$381:$B$480,2,FALSE)</f>
        <v>94th</v>
      </c>
      <c r="GC43" s="166">
        <v>2</v>
      </c>
      <c r="GD43" s="166">
        <v>23</v>
      </c>
      <c r="GE43" s="137">
        <f t="shared" si="91"/>
        <v>25</v>
      </c>
      <c r="GF43" s="137" t="str">
        <f t="shared" si="255"/>
        <v>40</v>
      </c>
      <c r="GG43" s="135">
        <f t="shared" ref="GG43:GG74" si="270">GE43+GF43</f>
        <v>65</v>
      </c>
      <c r="GH43" s="137">
        <f t="shared" ref="GH43:GH74" si="271">GG43/2</f>
        <v>32.5</v>
      </c>
      <c r="GI43" s="135" t="str">
        <f t="shared" si="93"/>
        <v>F</v>
      </c>
      <c r="GJ43" s="135" t="str">
        <f>VLOOKUP(RANK(GH43,$GH$10:$GH$109),Sheet1!$A$381:$B$480,2,FALSE)</f>
        <v>69th</v>
      </c>
      <c r="GK43" s="166">
        <v>27</v>
      </c>
      <c r="GL43" s="166">
        <v>13</v>
      </c>
      <c r="GM43" s="137">
        <f t="shared" si="94"/>
        <v>40</v>
      </c>
      <c r="GN43" s="137" t="str">
        <f t="shared" si="256"/>
        <v>51</v>
      </c>
      <c r="GO43" s="135">
        <f t="shared" ref="GO43:GO74" si="272">GM43+GN43</f>
        <v>91</v>
      </c>
      <c r="GP43" s="137">
        <f t="shared" si="96"/>
        <v>45.5</v>
      </c>
      <c r="GQ43" s="135" t="str">
        <f t="shared" si="97"/>
        <v>D</v>
      </c>
      <c r="GR43" s="135" t="str">
        <f>VLOOKUP(RANK(GP43,$GP$10:$GP$109),Sheet1!$A$381:$B$480,2,FALSE)</f>
        <v>89th</v>
      </c>
      <c r="GS43" s="166">
        <v>9</v>
      </c>
      <c r="GT43" s="166">
        <v>12</v>
      </c>
      <c r="GU43" s="137">
        <f t="shared" si="98"/>
        <v>21</v>
      </c>
      <c r="GV43" s="137" t="str">
        <f t="shared" si="257"/>
        <v>29</v>
      </c>
      <c r="GW43" s="137">
        <f t="shared" si="100"/>
        <v>50</v>
      </c>
      <c r="GX43" s="137">
        <f t="shared" si="101"/>
        <v>25</v>
      </c>
      <c r="GY43" s="135" t="str">
        <f t="shared" si="102"/>
        <v>F</v>
      </c>
      <c r="GZ43" s="135" t="str">
        <f>VLOOKUP(RANK(GX43,$GX$10:$GX$109),Sheet1!$A$381:$B$480,2,FALSE)</f>
        <v>96th</v>
      </c>
      <c r="HA43" s="166">
        <v>32</v>
      </c>
      <c r="HB43" s="166">
        <v>8</v>
      </c>
      <c r="HC43" s="137">
        <f t="shared" si="103"/>
        <v>40</v>
      </c>
      <c r="HD43" s="137" t="str">
        <f t="shared" si="258"/>
        <v>37</v>
      </c>
      <c r="HE43" s="137">
        <f t="shared" si="105"/>
        <v>77</v>
      </c>
      <c r="HF43" s="137">
        <f t="shared" si="106"/>
        <v>38.5</v>
      </c>
      <c r="HG43" s="135" t="str">
        <f t="shared" si="107"/>
        <v>E</v>
      </c>
      <c r="HH43" s="135" t="str">
        <f>VLOOKUP(RANK(HF43,$HF$10:$HF$109),Sheet1!$A$381:$B$480,2,FALSE)</f>
        <v>74th</v>
      </c>
      <c r="HI43" s="149">
        <v>30</v>
      </c>
      <c r="HJ43" s="149">
        <v>35</v>
      </c>
      <c r="HK43" s="137">
        <f t="shared" si="108"/>
        <v>65</v>
      </c>
      <c r="HL43" s="137" t="str">
        <f t="shared" si="259"/>
        <v>55</v>
      </c>
      <c r="HM43" s="137">
        <f t="shared" si="110"/>
        <v>120</v>
      </c>
      <c r="HN43" s="137">
        <f t="shared" si="111"/>
        <v>60</v>
      </c>
      <c r="HO43" s="135" t="str">
        <f t="shared" si="112"/>
        <v>B</v>
      </c>
      <c r="HP43" s="135" t="str">
        <f>VLOOKUP(RANK(HN43,$HN$10:$HN$109),Sheet1!$A$381:$B$480,2,FALSE)</f>
        <v>68th</v>
      </c>
      <c r="HQ43" s="137"/>
      <c r="HR43" s="137"/>
      <c r="HS43" s="137">
        <f t="shared" si="113"/>
        <v>0</v>
      </c>
      <c r="HT43" s="137" t="str">
        <f t="shared" si="260"/>
        <v>0</v>
      </c>
      <c r="HU43" s="137">
        <f t="shared" si="115"/>
        <v>0</v>
      </c>
      <c r="HV43" s="137">
        <f t="shared" si="116"/>
        <v>0</v>
      </c>
      <c r="HW43" s="135" t="str">
        <f t="shared" si="117"/>
        <v>F</v>
      </c>
      <c r="HX43" s="135" t="str">
        <f>VLOOKUP(RANK(HV43,$HV$10:$HV$109),Sheet1!$A$381:$B$480,2,FALSE)</f>
        <v>1st</v>
      </c>
      <c r="HY43" s="137"/>
      <c r="HZ43" s="137"/>
      <c r="IA43" s="137">
        <f t="shared" si="261"/>
        <v>0</v>
      </c>
      <c r="IB43" s="137" t="str">
        <f t="shared" si="262"/>
        <v>0</v>
      </c>
      <c r="IC43" s="137">
        <f t="shared" si="120"/>
        <v>0</v>
      </c>
      <c r="ID43" s="137">
        <f t="shared" si="121"/>
        <v>0</v>
      </c>
      <c r="IE43" s="135" t="str">
        <f t="shared" si="122"/>
        <v>F</v>
      </c>
      <c r="IF43" s="135" t="str">
        <f>VLOOKUP(RANK(ID43,$ID$10:$ID$109),Sheet1!$A$381:$B$480,2,FALSE)</f>
        <v>1st</v>
      </c>
      <c r="IG43" s="135"/>
      <c r="IH43" s="135"/>
      <c r="II43" s="135">
        <f t="shared" ref="II43:II74" si="273">SUM(IG43:IH43)</f>
        <v>0</v>
      </c>
      <c r="IJ43" s="135" t="str">
        <f t="shared" ref="IJ43:IJ74" si="274">REPT(CY43,1)</f>
        <v>0</v>
      </c>
      <c r="IK43" s="135">
        <f t="shared" ref="IK43:IK74" si="275">II43+IJ43</f>
        <v>0</v>
      </c>
      <c r="IL43" s="135">
        <f t="shared" ref="IL43:IL74" si="276">IK43/2</f>
        <v>0</v>
      </c>
      <c r="IM43" s="135" t="str">
        <f t="shared" si="123"/>
        <v>F</v>
      </c>
      <c r="IN43" s="135" t="str">
        <f>VLOOKUP(RANK(IL43,$IL$10:$IL$109),Sheet1!$A$381:$B$480,2,FALSE)</f>
        <v>1st</v>
      </c>
      <c r="IO43" s="135">
        <f t="shared" ref="IO43:IO74" si="277">ID43+HV43+HN43+HF43+GX43+GP43+GH43+FZ43+FR43+FJ43+FB43+ET43+EL43+ED43+DV43+DN43+IL43</f>
        <v>466.5</v>
      </c>
      <c r="IP43" s="177">
        <f t="shared" ref="IP43:IP74" si="278">IO43/17</f>
        <v>27.4411764705882</v>
      </c>
      <c r="IQ43" s="135" t="str">
        <f>VLOOKUP(RANK(IP43,$IP$10:$IP$109),Sheet1!$A$381:$B$480,2,FALSE)</f>
        <v>92nd</v>
      </c>
      <c r="IR43" s="178"/>
      <c r="IS43" s="137"/>
      <c r="IT43" s="137"/>
      <c r="IU43" s="137"/>
      <c r="IV43" s="137"/>
      <c r="IW43" s="181"/>
      <c r="IX43" s="184"/>
      <c r="IY43" s="186"/>
      <c r="IZ43" s="186">
        <f t="shared" si="206"/>
        <v>0</v>
      </c>
      <c r="JA43" s="186" t="str">
        <f t="shared" si="124"/>
        <v>73</v>
      </c>
      <c r="JB43" s="186" t="str">
        <f t="shared" si="125"/>
        <v>51</v>
      </c>
      <c r="JC43" s="186">
        <f t="shared" ref="JC43:JC74" si="279">IZ43+JA43+JB43</f>
        <v>124</v>
      </c>
      <c r="JD43" s="186">
        <f t="shared" ref="JD43:JD74" si="280">JC43/3</f>
        <v>41.3333333333333</v>
      </c>
      <c r="JE43" s="135" t="str">
        <f t="shared" si="126"/>
        <v>D</v>
      </c>
      <c r="JF43" s="151" t="str">
        <f>VLOOKUP(RANK(JD43,$JD$10:$JD$109),Sheet1!$A$381:$B$480,2,FALSE)</f>
        <v>69th</v>
      </c>
      <c r="JG43" s="186"/>
      <c r="JH43" s="186"/>
      <c r="JI43" s="186">
        <f t="shared" si="127"/>
        <v>0</v>
      </c>
      <c r="JJ43" s="186" t="str">
        <f t="shared" si="128"/>
        <v>34</v>
      </c>
      <c r="JK43" s="186" t="str">
        <f t="shared" si="129"/>
        <v>40</v>
      </c>
      <c r="JL43" s="186">
        <f t="shared" ref="JL43:JL74" si="281">JI43+JJ43+JK43</f>
        <v>74</v>
      </c>
      <c r="JM43" s="186">
        <f t="shared" ref="JM43:JM74" si="282">JL43/3</f>
        <v>24.6666666666667</v>
      </c>
      <c r="JN43" s="135" t="str">
        <f t="shared" si="130"/>
        <v>F</v>
      </c>
      <c r="JO43" s="151" t="str">
        <f>VLOOKUP(RANK(JM43,$JM$10:$JM$109),Sheet1!$A$381:$B$480,2,FALSE)</f>
        <v>89th</v>
      </c>
      <c r="JP43" s="186"/>
      <c r="JQ43" s="186"/>
      <c r="JR43" s="186">
        <f t="shared" si="131"/>
        <v>0</v>
      </c>
      <c r="JS43" s="186" t="str">
        <f t="shared" si="132"/>
        <v>41</v>
      </c>
      <c r="JT43" s="186" t="str">
        <f t="shared" si="133"/>
        <v>37</v>
      </c>
      <c r="JU43" s="186">
        <f t="shared" ref="JU43:JU74" si="283">JR43+JS43+JT43</f>
        <v>78</v>
      </c>
      <c r="JV43" s="186">
        <f t="shared" ref="JV43:JV74" si="284">JU43/3</f>
        <v>26</v>
      </c>
      <c r="JW43" s="135" t="str">
        <f t="shared" si="134"/>
        <v>F</v>
      </c>
      <c r="JX43" s="151" t="str">
        <f>VLOOKUP(RANK(JV43,$JV$10:$JV$109),Sheet1!$A$381:$B$480,2,FALSE)</f>
        <v>71st</v>
      </c>
      <c r="JY43" s="186"/>
      <c r="JZ43" s="186"/>
      <c r="KA43" s="186">
        <f t="shared" si="135"/>
        <v>0</v>
      </c>
      <c r="KB43" s="186" t="str">
        <f t="shared" si="136"/>
        <v>30</v>
      </c>
      <c r="KC43" s="186" t="str">
        <f t="shared" si="137"/>
        <v>34</v>
      </c>
      <c r="KD43" s="186">
        <f t="shared" ref="KD43:KD74" si="285">KA43+KB43+KC43</f>
        <v>64</v>
      </c>
      <c r="KE43" s="186">
        <f t="shared" ref="KE43:KE74" si="286">KD43/3</f>
        <v>21.3333333333333</v>
      </c>
      <c r="KF43" s="135" t="str">
        <f t="shared" si="138"/>
        <v>F</v>
      </c>
      <c r="KG43" s="151" t="str">
        <f>VLOOKUP(RANK(KE43,$KE$10:$KE$109),Sheet1!$A$381:$B$480,2,FALSE)</f>
        <v>97th</v>
      </c>
      <c r="KH43" s="186"/>
      <c r="KI43" s="186"/>
      <c r="KJ43" s="186">
        <f t="shared" si="139"/>
        <v>0</v>
      </c>
      <c r="KK43" s="186" t="str">
        <f t="shared" si="140"/>
        <v>43</v>
      </c>
      <c r="KL43" s="186" t="str">
        <f t="shared" si="141"/>
        <v>32</v>
      </c>
      <c r="KM43" s="186">
        <f t="shared" ref="KM43:KM74" si="287">KJ43+KK43+KL43</f>
        <v>75</v>
      </c>
      <c r="KN43" s="186">
        <f t="shared" ref="KN43:KN74" si="288">KM43/3</f>
        <v>25</v>
      </c>
      <c r="KO43" s="135" t="str">
        <f t="shared" si="142"/>
        <v>F</v>
      </c>
      <c r="KP43" s="151" t="str">
        <f>VLOOKUP(RANK(KN43,$KN$10:$KN$109),Sheet1!$A$381:$B$480,2,FALSE)</f>
        <v>78th</v>
      </c>
      <c r="KQ43" s="186"/>
      <c r="KR43" s="186"/>
      <c r="KS43" s="186">
        <f t="shared" si="143"/>
        <v>0</v>
      </c>
      <c r="KT43" s="186" t="str">
        <f t="shared" si="144"/>
        <v>0</v>
      </c>
      <c r="KU43" s="186" t="str">
        <f t="shared" si="145"/>
        <v>0</v>
      </c>
      <c r="KV43" s="186">
        <f t="shared" ref="KV43:KV74" si="289">KS43+KT43+KU43</f>
        <v>0</v>
      </c>
      <c r="KW43" s="186">
        <f t="shared" ref="KW43:KW74" si="290">KV43/3</f>
        <v>0</v>
      </c>
      <c r="KX43" s="135" t="str">
        <f t="shared" si="146"/>
        <v>F</v>
      </c>
      <c r="KY43" s="151" t="str">
        <f>VLOOKUP(RANK(KW43,$KW$10:$KW$109),Sheet1!$A$381:$B$480,2,FALSE)</f>
        <v>1st</v>
      </c>
      <c r="KZ43" s="186"/>
      <c r="LA43" s="186"/>
      <c r="LB43" s="186">
        <f t="shared" si="147"/>
        <v>0</v>
      </c>
      <c r="LC43" s="186" t="str">
        <f t="shared" si="148"/>
        <v>0</v>
      </c>
      <c r="LD43" s="186" t="str">
        <f t="shared" si="149"/>
        <v>0</v>
      </c>
      <c r="LE43" s="186">
        <f t="shared" ref="LE43:LE74" si="291">LB43+LC43+LD43</f>
        <v>0</v>
      </c>
      <c r="LF43" s="186">
        <f t="shared" ref="LF43:LF74" si="292">LE43/3</f>
        <v>0</v>
      </c>
      <c r="LG43" s="135" t="str">
        <f t="shared" si="150"/>
        <v>F</v>
      </c>
      <c r="LH43" s="151" t="str">
        <f>VLOOKUP(RANK(LF43,$LF$10:$LF$109),Sheet1!$A$381:$B$480,2,FALSE)</f>
        <v>1st</v>
      </c>
      <c r="LI43" s="186"/>
      <c r="LJ43" s="186"/>
      <c r="LK43" s="186">
        <f t="shared" si="151"/>
        <v>0</v>
      </c>
      <c r="LL43" s="186" t="str">
        <f t="shared" si="152"/>
        <v>50</v>
      </c>
      <c r="LM43" s="186" t="str">
        <f t="shared" si="153"/>
        <v>50</v>
      </c>
      <c r="LN43" s="186">
        <f t="shared" ref="LN43:LN74" si="293">LK43+LL43+LM43</f>
        <v>100</v>
      </c>
      <c r="LO43" s="186">
        <f t="shared" ref="LO43:LO74" si="294">LN43/3</f>
        <v>33.3333333333333</v>
      </c>
      <c r="LP43" s="135" t="str">
        <f t="shared" si="154"/>
        <v>F</v>
      </c>
      <c r="LQ43" s="151" t="str">
        <f>VLOOKUP(RANK(LO43,$LO$10:$LO$109),Sheet1!$A$381:$B$480,2,FALSE)</f>
        <v>77th</v>
      </c>
      <c r="LR43" s="186"/>
      <c r="LS43" s="186"/>
      <c r="LT43" s="186">
        <f t="shared" si="155"/>
        <v>0</v>
      </c>
      <c r="LU43" s="186" t="str">
        <f t="shared" si="156"/>
        <v>55</v>
      </c>
      <c r="LV43" s="186" t="str">
        <f t="shared" si="157"/>
        <v>15</v>
      </c>
      <c r="LW43" s="186">
        <f t="shared" ref="LW43:LW74" si="295">LT43+LV43+LU43</f>
        <v>70</v>
      </c>
      <c r="LX43" s="186">
        <f t="shared" ref="LX43:LX74" si="296">LW43/3</f>
        <v>23.3333333333333</v>
      </c>
      <c r="LY43" s="135" t="str">
        <f t="shared" si="158"/>
        <v>F</v>
      </c>
      <c r="LZ43" s="151" t="str">
        <f>VLOOKUP(RANK(LX43,$LX$10:$LX$109),Sheet1!$A$381:$B$480,2,FALSE)</f>
        <v>90th</v>
      </c>
      <c r="MA43" s="186"/>
      <c r="MB43" s="186"/>
      <c r="MC43" s="186">
        <f t="shared" si="159"/>
        <v>0</v>
      </c>
      <c r="MD43" s="186" t="str">
        <f t="shared" si="160"/>
        <v>40</v>
      </c>
      <c r="ME43" s="186" t="str">
        <f t="shared" si="161"/>
        <v>25</v>
      </c>
      <c r="MF43" s="183">
        <f t="shared" ref="MF43:MF74" si="297">MC43+MD43+ME43</f>
        <v>65</v>
      </c>
      <c r="MG43" s="151">
        <f t="shared" ref="MG43:MG74" si="298">MF43/3</f>
        <v>21.6666666666667</v>
      </c>
      <c r="MH43" s="135" t="str">
        <f t="shared" si="162"/>
        <v>F</v>
      </c>
      <c r="MI43" s="151" t="str">
        <f>VLOOKUP(RANK(MG43,$MG$10:$MG$109),Sheet1!$A$381:$B$480,2,FALSE)</f>
        <v>69th</v>
      </c>
      <c r="MJ43" s="186"/>
      <c r="MK43" s="186"/>
      <c r="ML43" s="186">
        <f t="shared" si="163"/>
        <v>0</v>
      </c>
      <c r="MM43" s="186" t="str">
        <f t="shared" si="164"/>
        <v>51</v>
      </c>
      <c r="MN43" s="186" t="str">
        <f t="shared" si="165"/>
        <v>40</v>
      </c>
      <c r="MO43" s="186">
        <f t="shared" ref="MO43:MO74" si="299">ML43+MM43+MN43</f>
        <v>91</v>
      </c>
      <c r="MP43" s="186">
        <f t="shared" ref="MP43:MP74" si="300">MO43/3</f>
        <v>30.3333333333333</v>
      </c>
      <c r="MQ43" s="135" t="str">
        <f t="shared" si="166"/>
        <v>F</v>
      </c>
      <c r="MR43" s="151" t="str">
        <f>VLOOKUP(RANK(MP43,$MP$10:$MP$109),Sheet1!$A$381:$B$480,2,FALSE)</f>
        <v>89th</v>
      </c>
      <c r="MS43" s="186"/>
      <c r="MT43" s="186"/>
      <c r="MU43" s="186">
        <f t="shared" si="167"/>
        <v>0</v>
      </c>
      <c r="MV43" s="186" t="str">
        <f t="shared" si="168"/>
        <v>29</v>
      </c>
      <c r="MW43" s="186" t="str">
        <f t="shared" si="169"/>
        <v>21</v>
      </c>
      <c r="MX43" s="186">
        <f t="shared" ref="MX43:MX74" si="301">MU43+MV43+MW43</f>
        <v>50</v>
      </c>
      <c r="MY43" s="186">
        <f t="shared" ref="MY43:MY74" si="302">MX43/3</f>
        <v>16.6666666666667</v>
      </c>
      <c r="MZ43" s="135" t="str">
        <f t="shared" si="170"/>
        <v>F</v>
      </c>
      <c r="NA43" s="151" t="str">
        <f>VLOOKUP(RANK(MY43,$MY$10:$MY$109),Sheet1!$A$381:$B$480,2,FALSE)</f>
        <v>96th</v>
      </c>
      <c r="NB43" s="186"/>
      <c r="NC43" s="186"/>
      <c r="ND43" s="186">
        <f t="shared" si="171"/>
        <v>0</v>
      </c>
      <c r="NE43" s="186" t="str">
        <f t="shared" si="172"/>
        <v>37</v>
      </c>
      <c r="NF43" s="186" t="str">
        <f t="shared" si="173"/>
        <v>40</v>
      </c>
      <c r="NG43" s="186">
        <f t="shared" ref="NG43:NG74" si="303">ND43+NF43+NE43</f>
        <v>77</v>
      </c>
      <c r="NH43" s="186">
        <f t="shared" ref="NH43:NH74" si="304">NG43/3</f>
        <v>25.6666666666667</v>
      </c>
      <c r="NI43" s="135" t="str">
        <f t="shared" si="174"/>
        <v>F</v>
      </c>
      <c r="NJ43" s="151" t="str">
        <f>VLOOKUP(RANK(NH43,$NH$10:$NH$109),Sheet1!$A$381:$B$480,2,FALSE)</f>
        <v>74th</v>
      </c>
      <c r="NK43" s="186"/>
      <c r="NL43" s="186"/>
      <c r="NM43" s="186">
        <f t="shared" si="175"/>
        <v>0</v>
      </c>
      <c r="NN43" s="186" t="str">
        <f t="shared" si="176"/>
        <v>55</v>
      </c>
      <c r="NO43" s="186" t="str">
        <f t="shared" si="177"/>
        <v>65</v>
      </c>
      <c r="NP43" s="186">
        <f t="shared" ref="NP43:NP74" si="305">NM43+NO43+NN43</f>
        <v>120</v>
      </c>
      <c r="NQ43" s="186">
        <f t="shared" si="263"/>
        <v>40</v>
      </c>
      <c r="NR43" s="135" t="str">
        <f t="shared" si="179"/>
        <v>D</v>
      </c>
      <c r="NS43" s="151" t="str">
        <f>VLOOKUP(RANK(NQ43,$NQ$10:$NQ$109),Sheet1!$A$381:$B$480,2,FALSE)</f>
        <v>68th</v>
      </c>
      <c r="NT43" s="186"/>
      <c r="NU43" s="186"/>
      <c r="NV43" s="186">
        <f t="shared" si="180"/>
        <v>0</v>
      </c>
      <c r="NW43" s="186" t="str">
        <f t="shared" si="181"/>
        <v>0</v>
      </c>
      <c r="NX43" s="186" t="str">
        <f t="shared" si="182"/>
        <v>0</v>
      </c>
      <c r="NY43" s="186">
        <f t="shared" ref="NY43:NY74" si="306">NV43+NX43+NW43</f>
        <v>0</v>
      </c>
      <c r="NZ43" s="186">
        <f t="shared" si="264"/>
        <v>0</v>
      </c>
      <c r="OA43" s="135" t="str">
        <f t="shared" si="184"/>
        <v>F</v>
      </c>
      <c r="OB43" s="151" t="str">
        <f>VLOOKUP(RANK(NZ43,$NZ$10:$NZ$109),Sheet1!$A$381:$B$480,2,FALSE)</f>
        <v>1st</v>
      </c>
      <c r="OC43" s="186"/>
      <c r="OD43" s="186"/>
      <c r="OE43" s="186">
        <f t="shared" si="185"/>
        <v>0</v>
      </c>
      <c r="OF43" s="186" t="str">
        <f t="shared" si="186"/>
        <v>0</v>
      </c>
      <c r="OG43" s="186" t="str">
        <f t="shared" si="187"/>
        <v>0</v>
      </c>
      <c r="OH43" s="186">
        <f t="shared" ref="OH43:OH74" si="307">OE43+OG43+OF43</f>
        <v>0</v>
      </c>
      <c r="OI43" s="186">
        <f t="shared" si="236"/>
        <v>0</v>
      </c>
      <c r="OJ43" s="135" t="str">
        <f t="shared" si="188"/>
        <v>F</v>
      </c>
      <c r="OK43" s="151" t="str">
        <f>VLOOKUP(RANK(OI43,$OI$10:$OI$109),Sheet1!$A$381:$B$480,2,FALSE)</f>
        <v>1st</v>
      </c>
      <c r="OL43" s="151"/>
      <c r="OM43" s="151"/>
      <c r="ON43" s="151">
        <f t="shared" ref="ON43:ON74" si="308">SUM(OL43:OM43)</f>
        <v>0</v>
      </c>
      <c r="OO43" s="151" t="str">
        <f t="shared" ref="OO43:OO74" si="309">REPT(CY43,1)</f>
        <v>0</v>
      </c>
      <c r="OP43" s="151" t="str">
        <f t="shared" ref="OP43:OP74" si="310">REPT(IL43,1)</f>
        <v>0</v>
      </c>
      <c r="OQ43" s="151">
        <f t="shared" ref="OQ43:OQ74" si="311">ON43+OP43+OO43</f>
        <v>0</v>
      </c>
      <c r="OR43" s="151">
        <f t="shared" ref="OR43:OR74" si="312">OQ43/3</f>
        <v>0</v>
      </c>
      <c r="OS43" s="135" t="str">
        <f t="shared" si="189"/>
        <v>F</v>
      </c>
      <c r="OT43" s="151" t="str">
        <f>VLOOKUP(RANK(OR43,$OI$10:$OI$109),Sheet1!$A$381:$B$480,2,FALSE)</f>
        <v>1st</v>
      </c>
      <c r="OU43" s="151">
        <f t="shared" ref="OU43:OU74" si="313">(OI43+NZ43+NQ43+NH43+MY43+MP43+MG43+LX43+LO43+LF43+KW43+KN43+KE43+JV43+JM43+JD43+OR43)</f>
        <v>329.33333333333297</v>
      </c>
      <c r="OV43" s="151">
        <f t="shared" ref="OV43:OV74" si="314">(OI43+NZ43+NQ43+NH43+MY43+MP43+MG43+LX43+LO43+LF43+KW43+KN43+KE43+JV43+JM43+JD43)/17</f>
        <v>19.372549019607799</v>
      </c>
      <c r="OW43" s="151" t="str">
        <f>VLOOKUP(RANK(OV43,$OV$10:$OV$109),Sheet1!$A$381:$B$480,2,FALSE)</f>
        <v>92nd</v>
      </c>
      <c r="OX43" s="151"/>
      <c r="OY43" s="186"/>
      <c r="OZ43" s="186"/>
      <c r="PA43" s="186"/>
      <c r="PB43" s="186"/>
    </row>
    <row r="44" spans="1:418" s="118" customFormat="1" ht="18.75">
      <c r="A44" s="131">
        <v>35</v>
      </c>
      <c r="B44" s="132" t="s">
        <v>132</v>
      </c>
      <c r="C44" s="133" t="s">
        <v>97</v>
      </c>
      <c r="D44" s="134">
        <v>26</v>
      </c>
      <c r="E44" s="134">
        <v>50</v>
      </c>
      <c r="F44" s="137">
        <f t="shared" si="0"/>
        <v>76</v>
      </c>
      <c r="G44" s="137">
        <f t="shared" si="1"/>
        <v>76</v>
      </c>
      <c r="H44" s="135" t="str">
        <f t="shared" si="265"/>
        <v>A</v>
      </c>
      <c r="I44" s="135" t="str">
        <f>VLOOKUP(RANK(G44,$G$10:$G$109),Sheet1!$A$381:$B$480,2,FALSE)</f>
        <v>16th</v>
      </c>
      <c r="J44" s="134">
        <v>22</v>
      </c>
      <c r="K44" s="134">
        <v>18</v>
      </c>
      <c r="L44" s="137">
        <f t="shared" si="2"/>
        <v>40</v>
      </c>
      <c r="M44" s="137">
        <f t="shared" si="3"/>
        <v>40</v>
      </c>
      <c r="N44" s="135" t="str">
        <f t="shared" si="4"/>
        <v>D</v>
      </c>
      <c r="O44" s="141" t="str">
        <f>VLOOKUP(RANK(M44,$M$10:$M$109),Sheet1!$A$381:$B$480,2,FALSE)</f>
        <v>88th</v>
      </c>
      <c r="P44" s="144">
        <v>30</v>
      </c>
      <c r="Q44" s="144">
        <v>20</v>
      </c>
      <c r="R44" s="147">
        <f t="shared" si="5"/>
        <v>50</v>
      </c>
      <c r="S44" s="137">
        <f t="shared" si="6"/>
        <v>50</v>
      </c>
      <c r="T44" s="135" t="str">
        <f t="shared" si="7"/>
        <v>C</v>
      </c>
      <c r="U44" s="135" t="str">
        <f>VLOOKUP(RANK(S44,$S$10:$S$109),Sheet1!$A$381:$B$480,2,FALSE)</f>
        <v>29th</v>
      </c>
      <c r="V44" s="134">
        <v>28</v>
      </c>
      <c r="W44" s="134">
        <v>17</v>
      </c>
      <c r="X44" s="137">
        <f t="shared" si="191"/>
        <v>45</v>
      </c>
      <c r="Y44" s="137">
        <f t="shared" si="244"/>
        <v>45</v>
      </c>
      <c r="Z44" s="135" t="str">
        <f t="shared" si="8"/>
        <v>D</v>
      </c>
      <c r="AA44" s="135" t="str">
        <f>VLOOKUP(RANK(Y44,$Y$10:$Y$109),Sheet1!$A$381:$B$480,2,FALSE)</f>
        <v>78th</v>
      </c>
      <c r="AB44" s="134">
        <v>29</v>
      </c>
      <c r="AC44" s="134">
        <v>13</v>
      </c>
      <c r="AD44" s="137">
        <f t="shared" si="9"/>
        <v>42</v>
      </c>
      <c r="AE44" s="137">
        <f t="shared" si="10"/>
        <v>42</v>
      </c>
      <c r="AF44" s="135" t="str">
        <f t="shared" si="11"/>
        <v>D</v>
      </c>
      <c r="AG44" s="135" t="str">
        <f>VLOOKUP(RANK(AE44,$AE$10:$AE$109),Sheet1!$A$381:$B$480,2,FALSE)</f>
        <v>76th</v>
      </c>
      <c r="AH44" s="137"/>
      <c r="AI44" s="137"/>
      <c r="AJ44" s="137">
        <f t="shared" si="12"/>
        <v>0</v>
      </c>
      <c r="AK44" s="137">
        <f t="shared" si="13"/>
        <v>0</v>
      </c>
      <c r="AL44" s="135" t="str">
        <f t="shared" si="14"/>
        <v>F</v>
      </c>
      <c r="AM44" s="135" t="str">
        <f>VLOOKUP(RANK(AK44,$AK$10:$AK$109),Sheet1!$A$381:$B$480,2,FALSE)</f>
        <v>1st</v>
      </c>
      <c r="AN44" s="134"/>
      <c r="AO44" s="134"/>
      <c r="AP44" s="137">
        <f t="shared" si="15"/>
        <v>0</v>
      </c>
      <c r="AQ44" s="137">
        <f t="shared" si="16"/>
        <v>0</v>
      </c>
      <c r="AR44" s="135" t="str">
        <f t="shared" si="17"/>
        <v>F</v>
      </c>
      <c r="AS44" s="135" t="str">
        <f>VLOOKUP(RANK(AQ44,$AQ$10:$AQ$109),Sheet1!$A$381:$B$480,2,FALSE)</f>
        <v>1st</v>
      </c>
      <c r="AT44" s="142">
        <v>25</v>
      </c>
      <c r="AU44" s="145">
        <v>25</v>
      </c>
      <c r="AV44" s="137">
        <f t="shared" si="18"/>
        <v>50</v>
      </c>
      <c r="AW44" s="137">
        <f t="shared" si="19"/>
        <v>50</v>
      </c>
      <c r="AX44" s="135" t="str">
        <f t="shared" si="20"/>
        <v>C</v>
      </c>
      <c r="AY44" s="141" t="str">
        <f>VLOOKUP(RANK(AW44,$AW$10:$AW$109),Sheet1!$A$381:$B$480,2,FALSE)</f>
        <v>58th</v>
      </c>
      <c r="AZ44" s="144">
        <v>31</v>
      </c>
      <c r="BA44" s="144">
        <v>13</v>
      </c>
      <c r="BB44" s="147">
        <f t="shared" si="21"/>
        <v>44</v>
      </c>
      <c r="BC44" s="137">
        <f t="shared" si="22"/>
        <v>44</v>
      </c>
      <c r="BD44" s="135" t="str">
        <f t="shared" si="23"/>
        <v>D</v>
      </c>
      <c r="BE44" s="135" t="str">
        <f>VLOOKUP(RANK(BC44,$BC$10:$BC$109),Sheet1!$A$381:$B$480,2,FALSE)</f>
        <v>79th</v>
      </c>
      <c r="BF44" s="144">
        <v>12</v>
      </c>
      <c r="BG44" s="144">
        <v>19</v>
      </c>
      <c r="BH44" s="137">
        <f t="shared" si="24"/>
        <v>31</v>
      </c>
      <c r="BI44" s="137">
        <f t="shared" si="25"/>
        <v>31</v>
      </c>
      <c r="BJ44" s="135" t="str">
        <f t="shared" si="26"/>
        <v>F</v>
      </c>
      <c r="BK44" s="141" t="str">
        <f>VLOOKUP(RANK(BI44,$BI$10:$BI$109),Sheet1!$A$381:$B$480,2,FALSE)</f>
        <v>62nd</v>
      </c>
      <c r="BL44" s="149">
        <v>24</v>
      </c>
      <c r="BM44" s="149">
        <v>27</v>
      </c>
      <c r="BN44" s="147">
        <f t="shared" si="27"/>
        <v>51</v>
      </c>
      <c r="BO44" s="137">
        <f t="shared" si="28"/>
        <v>51</v>
      </c>
      <c r="BP44" s="135" t="str">
        <f t="shared" si="29"/>
        <v>C</v>
      </c>
      <c r="BQ44" s="141" t="str">
        <f>VLOOKUP(RANK(BO44,$BO$10:$BO$109),Sheet1!$A$381:$B$480,2,FALSE)</f>
        <v>69th</v>
      </c>
      <c r="BR44" s="149">
        <v>26</v>
      </c>
      <c r="BS44" s="149">
        <v>14</v>
      </c>
      <c r="BT44" s="147">
        <f t="shared" si="30"/>
        <v>40</v>
      </c>
      <c r="BU44" s="137">
        <f t="shared" si="31"/>
        <v>40</v>
      </c>
      <c r="BV44" s="135" t="str">
        <f t="shared" si="32"/>
        <v>D</v>
      </c>
      <c r="BW44" s="135" t="str">
        <f>VLOOKUP(RANK(BU44,$BU$10:$BU$109),Sheet1!$A$381:$B$480,2,FALSE)</f>
        <v>63rd</v>
      </c>
      <c r="BX44" s="149">
        <v>27</v>
      </c>
      <c r="BY44" s="149">
        <v>10</v>
      </c>
      <c r="BZ44" s="137">
        <f t="shared" si="33"/>
        <v>37</v>
      </c>
      <c r="CA44" s="137">
        <f t="shared" si="34"/>
        <v>37</v>
      </c>
      <c r="CB44" s="135" t="str">
        <f t="shared" si="35"/>
        <v>E</v>
      </c>
      <c r="CC44" s="135" t="str">
        <f>VLOOKUP(RANK(CA44,$CA$10:$CA$109),Sheet1!$A$381:$B$480,2,FALSE)</f>
        <v>70th</v>
      </c>
      <c r="CD44" s="149">
        <v>25</v>
      </c>
      <c r="CE44" s="149">
        <v>30</v>
      </c>
      <c r="CF44" s="137">
        <f t="shared" si="36"/>
        <v>55</v>
      </c>
      <c r="CG44" s="137">
        <f t="shared" si="37"/>
        <v>55</v>
      </c>
      <c r="CH44" s="135" t="str">
        <f t="shared" si="38"/>
        <v>C</v>
      </c>
      <c r="CI44" s="135" t="str">
        <f>VLOOKUP(RANK(CG44,$CG$10:$CG$109),Sheet1!$A$381:$B$480,2,FALSE)</f>
        <v>46th</v>
      </c>
      <c r="CJ44" s="137"/>
      <c r="CK44" s="137"/>
      <c r="CL44" s="137">
        <f t="shared" si="39"/>
        <v>0</v>
      </c>
      <c r="CM44" s="137">
        <f t="shared" si="40"/>
        <v>0</v>
      </c>
      <c r="CN44" s="135" t="str">
        <f t="shared" si="41"/>
        <v>F</v>
      </c>
      <c r="CO44" s="135" t="str">
        <f>VLOOKUP(RANK(CM44,$CM$10:$CM$109),Sheet1!$A$381:$B$480,2,FALSE)</f>
        <v>1st</v>
      </c>
      <c r="CP44" s="137"/>
      <c r="CQ44" s="137"/>
      <c r="CR44" s="137">
        <f t="shared" si="42"/>
        <v>0</v>
      </c>
      <c r="CS44" s="137">
        <f t="shared" si="43"/>
        <v>0</v>
      </c>
      <c r="CT44" s="135" t="str">
        <f t="shared" si="44"/>
        <v>F</v>
      </c>
      <c r="CU44" s="135" t="str">
        <f>VLOOKUP(RANK(CS44,$CS$10:$CS$109),Sheet1!$A$381:$B$480,2,FALSE)</f>
        <v>1st</v>
      </c>
      <c r="CV44" s="151"/>
      <c r="CW44" s="135"/>
      <c r="CX44" s="151">
        <f t="shared" si="266"/>
        <v>0</v>
      </c>
      <c r="CY44" s="151">
        <f t="shared" si="267"/>
        <v>0</v>
      </c>
      <c r="CZ44" s="135" t="str">
        <f t="shared" si="45"/>
        <v>F</v>
      </c>
      <c r="DA44" s="135" t="str">
        <f>VLOOKUP(RANK(CY44,$CY$10:$CY$109),Sheet1!$A$381:$B$480,2,FALSE)</f>
        <v>1st</v>
      </c>
      <c r="DB44" s="135"/>
      <c r="DC44" s="151">
        <f t="shared" si="268"/>
        <v>561</v>
      </c>
      <c r="DD44" s="151">
        <f t="shared" si="269"/>
        <v>33</v>
      </c>
      <c r="DE44" s="135" t="str">
        <f>VLOOKUP(RANK(DD44,$DD$10:$DD$109),Sheet1!$A$381:$B$480,2,FALSE)</f>
        <v>70th</v>
      </c>
      <c r="DF44" s="137"/>
      <c r="DG44" s="160">
        <f t="shared" si="46"/>
        <v>594</v>
      </c>
      <c r="DH44" s="119"/>
      <c r="DI44" s="162">
        <v>19</v>
      </c>
      <c r="DJ44" s="162">
        <v>20</v>
      </c>
      <c r="DK44" s="137">
        <f t="shared" si="47"/>
        <v>39</v>
      </c>
      <c r="DL44" s="137" t="str">
        <f t="shared" si="245"/>
        <v>76</v>
      </c>
      <c r="DM44" s="137">
        <f t="shared" si="49"/>
        <v>115</v>
      </c>
      <c r="DN44" s="137">
        <f t="shared" si="50"/>
        <v>57.5</v>
      </c>
      <c r="DO44" s="135" t="str">
        <f t="shared" si="51"/>
        <v>C</v>
      </c>
      <c r="DP44" s="135" t="str">
        <f>VLOOKUP(RANK(DN44,$DN$10:$DN$109),Sheet1!$A$381:$B$480,2,FALSE)</f>
        <v>81st</v>
      </c>
      <c r="DQ44" s="166">
        <v>23</v>
      </c>
      <c r="DR44" s="166">
        <v>25</v>
      </c>
      <c r="DS44" s="137">
        <f t="shared" si="52"/>
        <v>48</v>
      </c>
      <c r="DT44" s="137" t="str">
        <f t="shared" si="246"/>
        <v>40</v>
      </c>
      <c r="DU44" s="137">
        <f t="shared" si="54"/>
        <v>88</v>
      </c>
      <c r="DV44" s="137">
        <f t="shared" si="247"/>
        <v>44</v>
      </c>
      <c r="DW44" s="135" t="str">
        <f t="shared" si="56"/>
        <v>D</v>
      </c>
      <c r="DX44" s="135" t="str">
        <f>VLOOKUP(RANK(DV44,$DV$10:$DV$109),Sheet1!$A$381:$B$480,2,FALSE)</f>
        <v>76th</v>
      </c>
      <c r="DY44" s="168">
        <v>26</v>
      </c>
      <c r="DZ44" s="168">
        <v>12</v>
      </c>
      <c r="EA44" s="137">
        <f t="shared" si="57"/>
        <v>38</v>
      </c>
      <c r="EB44" s="137" t="str">
        <f t="shared" si="248"/>
        <v>50</v>
      </c>
      <c r="EC44" s="137">
        <f t="shared" si="59"/>
        <v>88</v>
      </c>
      <c r="ED44" s="137">
        <f t="shared" si="60"/>
        <v>44</v>
      </c>
      <c r="EE44" s="135" t="str">
        <f t="shared" si="61"/>
        <v>D</v>
      </c>
      <c r="EF44" s="135" t="str">
        <f>VLOOKUP(RANK(ED44,$ED$10:$ED$109),Sheet1!$A$381:$B$480,2,FALSE)</f>
        <v>56th</v>
      </c>
      <c r="EG44" s="162">
        <v>24</v>
      </c>
      <c r="EH44" s="162">
        <v>26</v>
      </c>
      <c r="EI44" s="137">
        <f t="shared" si="62"/>
        <v>50</v>
      </c>
      <c r="EJ44" s="137" t="str">
        <f t="shared" si="249"/>
        <v>45</v>
      </c>
      <c r="EK44" s="137">
        <f t="shared" si="64"/>
        <v>95</v>
      </c>
      <c r="EL44" s="137">
        <f t="shared" si="65"/>
        <v>47.5</v>
      </c>
      <c r="EM44" s="135" t="str">
        <f t="shared" si="66"/>
        <v>D</v>
      </c>
      <c r="EN44" s="135" t="str">
        <f>VLOOKUP(RANK(EL44,$EL$10:$EL$109),Sheet1!$A$381:$B$480,2,FALSE)</f>
        <v>71st</v>
      </c>
      <c r="EO44" s="162">
        <v>30</v>
      </c>
      <c r="EP44" s="162">
        <v>16</v>
      </c>
      <c r="EQ44" s="137">
        <f t="shared" si="67"/>
        <v>46</v>
      </c>
      <c r="ER44" s="137" t="str">
        <f t="shared" si="250"/>
        <v>42</v>
      </c>
      <c r="ES44" s="137">
        <f t="shared" si="69"/>
        <v>88</v>
      </c>
      <c r="ET44" s="137">
        <f t="shared" si="70"/>
        <v>44</v>
      </c>
      <c r="EU44" s="135" t="str">
        <f t="shared" si="71"/>
        <v>D</v>
      </c>
      <c r="EV44" s="135" t="str">
        <f>VLOOKUP(RANK(ET44,$ET$10:$ET$109),Sheet1!$A$381:$B$480,2,FALSE)</f>
        <v>70th</v>
      </c>
      <c r="EW44" s="137"/>
      <c r="EX44" s="137"/>
      <c r="EY44" s="137">
        <f t="shared" si="72"/>
        <v>0</v>
      </c>
      <c r="EZ44" s="137" t="str">
        <f t="shared" si="251"/>
        <v>0</v>
      </c>
      <c r="FA44" s="137">
        <f t="shared" si="74"/>
        <v>0</v>
      </c>
      <c r="FB44" s="137">
        <f t="shared" si="75"/>
        <v>0</v>
      </c>
      <c r="FC44" s="135" t="str">
        <f t="shared" si="76"/>
        <v>F</v>
      </c>
      <c r="FD44" s="135" t="str">
        <f>VLOOKUP(RANK(FB44,$FB$10:$FB$109),Sheet1!$A$381:$B$480,2,FALSE)</f>
        <v>1st</v>
      </c>
      <c r="FE44" s="137"/>
      <c r="FF44" s="137"/>
      <c r="FG44" s="137">
        <f t="shared" si="77"/>
        <v>0</v>
      </c>
      <c r="FH44" s="137" t="str">
        <f t="shared" si="252"/>
        <v>0</v>
      </c>
      <c r="FI44" s="137">
        <f t="shared" si="79"/>
        <v>0</v>
      </c>
      <c r="FJ44" s="137">
        <f t="shared" si="80"/>
        <v>0</v>
      </c>
      <c r="FK44" s="135" t="str">
        <f t="shared" si="81"/>
        <v>F</v>
      </c>
      <c r="FL44" s="135" t="str">
        <f>VLOOKUP(RANK(FJ44,$FJ$10:$FJ$109),Sheet1!$A$381:$B$480,2,FALSE)</f>
        <v>1st</v>
      </c>
      <c r="FM44" s="164">
        <v>27</v>
      </c>
      <c r="FN44" s="165">
        <v>25</v>
      </c>
      <c r="FO44" s="137">
        <f t="shared" si="82"/>
        <v>52</v>
      </c>
      <c r="FP44" s="137" t="str">
        <f t="shared" si="253"/>
        <v>50</v>
      </c>
      <c r="FQ44" s="137">
        <f t="shared" si="84"/>
        <v>102</v>
      </c>
      <c r="FR44" s="137">
        <f t="shared" si="85"/>
        <v>51</v>
      </c>
      <c r="FS44" s="135" t="str">
        <f t="shared" si="86"/>
        <v>C</v>
      </c>
      <c r="FT44" s="135" t="str">
        <f>VLOOKUP(RANK(FR44,$FR$10:$FR$109),Sheet1!$A$381:$B$480,2,FALSE)</f>
        <v>56th</v>
      </c>
      <c r="FU44" s="149">
        <v>34</v>
      </c>
      <c r="FV44" s="149">
        <v>20</v>
      </c>
      <c r="FW44" s="137">
        <f t="shared" si="87"/>
        <v>54</v>
      </c>
      <c r="FX44" s="137" t="str">
        <f t="shared" si="254"/>
        <v>44</v>
      </c>
      <c r="FY44" s="137">
        <f t="shared" si="196"/>
        <v>54</v>
      </c>
      <c r="FZ44" s="137">
        <f t="shared" si="89"/>
        <v>27</v>
      </c>
      <c r="GA44" s="135" t="str">
        <f t="shared" si="90"/>
        <v>F</v>
      </c>
      <c r="GB44" s="135" t="str">
        <f>VLOOKUP(RANK(FZ44,$FZ$10:$FZ$109),Sheet1!$A$381:$B$480,2,FALSE)</f>
        <v>41st</v>
      </c>
      <c r="GC44" s="166">
        <v>13</v>
      </c>
      <c r="GD44" s="166">
        <v>26</v>
      </c>
      <c r="GE44" s="137">
        <f t="shared" si="91"/>
        <v>39</v>
      </c>
      <c r="GF44" s="137" t="str">
        <f t="shared" si="255"/>
        <v>31</v>
      </c>
      <c r="GG44" s="135">
        <f t="shared" si="270"/>
        <v>70</v>
      </c>
      <c r="GH44" s="137">
        <f t="shared" si="271"/>
        <v>35</v>
      </c>
      <c r="GI44" s="135" t="str">
        <f t="shared" si="93"/>
        <v>E</v>
      </c>
      <c r="GJ44" s="135" t="str">
        <f>VLOOKUP(RANK(GH44,$GH$10:$GH$109),Sheet1!$A$381:$B$480,2,FALSE)</f>
        <v>59th</v>
      </c>
      <c r="GK44" s="166">
        <v>24</v>
      </c>
      <c r="GL44" s="166">
        <v>18</v>
      </c>
      <c r="GM44" s="137">
        <f t="shared" si="94"/>
        <v>42</v>
      </c>
      <c r="GN44" s="137" t="str">
        <f t="shared" si="256"/>
        <v>51</v>
      </c>
      <c r="GO44" s="135">
        <f t="shared" si="272"/>
        <v>93</v>
      </c>
      <c r="GP44" s="137">
        <f t="shared" si="96"/>
        <v>46.5</v>
      </c>
      <c r="GQ44" s="135" t="str">
        <f t="shared" si="97"/>
        <v>D</v>
      </c>
      <c r="GR44" s="135" t="str">
        <f>VLOOKUP(RANK(GP44,$GP$10:$GP$109),Sheet1!$A$381:$B$480,2,FALSE)</f>
        <v>74th</v>
      </c>
      <c r="GS44" s="166">
        <v>16</v>
      </c>
      <c r="GT44" s="166">
        <v>23</v>
      </c>
      <c r="GU44" s="137">
        <f t="shared" si="98"/>
        <v>39</v>
      </c>
      <c r="GV44" s="137" t="str">
        <f t="shared" si="257"/>
        <v>40</v>
      </c>
      <c r="GW44" s="137">
        <f t="shared" si="100"/>
        <v>79</v>
      </c>
      <c r="GX44" s="137">
        <f t="shared" si="101"/>
        <v>39.5</v>
      </c>
      <c r="GY44" s="135" t="str">
        <f t="shared" si="102"/>
        <v>E</v>
      </c>
      <c r="GZ44" s="135" t="str">
        <f>VLOOKUP(RANK(GX44,$GX$10:$GX$109),Sheet1!$A$381:$B$480,2,FALSE)</f>
        <v>71st</v>
      </c>
      <c r="HA44" s="166">
        <v>31</v>
      </c>
      <c r="HB44" s="166">
        <v>10</v>
      </c>
      <c r="HC44" s="137">
        <f t="shared" si="103"/>
        <v>41</v>
      </c>
      <c r="HD44" s="137" t="str">
        <f t="shared" si="258"/>
        <v>37</v>
      </c>
      <c r="HE44" s="137">
        <f t="shared" si="105"/>
        <v>78</v>
      </c>
      <c r="HF44" s="137">
        <f t="shared" si="106"/>
        <v>39</v>
      </c>
      <c r="HG44" s="135" t="str">
        <f t="shared" si="107"/>
        <v>E</v>
      </c>
      <c r="HH44" s="135" t="str">
        <f>VLOOKUP(RANK(HF44,$HF$10:$HF$109),Sheet1!$A$381:$B$480,2,FALSE)</f>
        <v>71st</v>
      </c>
      <c r="HI44" s="149">
        <v>27</v>
      </c>
      <c r="HJ44" s="149">
        <v>40</v>
      </c>
      <c r="HK44" s="137">
        <f t="shared" si="108"/>
        <v>67</v>
      </c>
      <c r="HL44" s="137" t="str">
        <f t="shared" si="259"/>
        <v>55</v>
      </c>
      <c r="HM44" s="137">
        <f t="shared" si="110"/>
        <v>122</v>
      </c>
      <c r="HN44" s="137">
        <f t="shared" si="111"/>
        <v>61</v>
      </c>
      <c r="HO44" s="135" t="str">
        <f t="shared" si="112"/>
        <v>B</v>
      </c>
      <c r="HP44" s="135" t="str">
        <f>VLOOKUP(RANK(HN44,$HN$10:$HN$109),Sheet1!$A$381:$B$480,2,FALSE)</f>
        <v>64th</v>
      </c>
      <c r="HQ44" s="137"/>
      <c r="HR44" s="137"/>
      <c r="HS44" s="137">
        <f t="shared" si="113"/>
        <v>0</v>
      </c>
      <c r="HT44" s="137" t="str">
        <f t="shared" si="260"/>
        <v>0</v>
      </c>
      <c r="HU44" s="137">
        <f t="shared" si="115"/>
        <v>0</v>
      </c>
      <c r="HV44" s="137">
        <f t="shared" si="116"/>
        <v>0</v>
      </c>
      <c r="HW44" s="135" t="str">
        <f t="shared" si="117"/>
        <v>F</v>
      </c>
      <c r="HX44" s="135" t="str">
        <f>VLOOKUP(RANK(HV44,$HV$10:$HV$109),Sheet1!$A$381:$B$480,2,FALSE)</f>
        <v>1st</v>
      </c>
      <c r="HY44" s="137"/>
      <c r="HZ44" s="137"/>
      <c r="IA44" s="137">
        <f t="shared" si="261"/>
        <v>0</v>
      </c>
      <c r="IB44" s="137" t="str">
        <f t="shared" si="262"/>
        <v>0</v>
      </c>
      <c r="IC44" s="137">
        <f t="shared" si="120"/>
        <v>0</v>
      </c>
      <c r="ID44" s="137">
        <f t="shared" si="121"/>
        <v>0</v>
      </c>
      <c r="IE44" s="135" t="str">
        <f t="shared" si="122"/>
        <v>F</v>
      </c>
      <c r="IF44" s="135" t="str">
        <f>VLOOKUP(RANK(ID44,$ID$10:$ID$109),Sheet1!$A$381:$B$480,2,FALSE)</f>
        <v>1st</v>
      </c>
      <c r="IG44" s="135"/>
      <c r="IH44" s="135"/>
      <c r="II44" s="135">
        <f t="shared" si="273"/>
        <v>0</v>
      </c>
      <c r="IJ44" s="135" t="str">
        <f t="shared" si="274"/>
        <v>0</v>
      </c>
      <c r="IK44" s="135">
        <f t="shared" si="275"/>
        <v>0</v>
      </c>
      <c r="IL44" s="135">
        <f t="shared" si="276"/>
        <v>0</v>
      </c>
      <c r="IM44" s="135" t="str">
        <f t="shared" si="123"/>
        <v>F</v>
      </c>
      <c r="IN44" s="135" t="str">
        <f>VLOOKUP(RANK(IL44,$IL$10:$IL$109),Sheet1!$A$381:$B$480,2,FALSE)</f>
        <v>1st</v>
      </c>
      <c r="IO44" s="135">
        <f t="shared" si="277"/>
        <v>536</v>
      </c>
      <c r="IP44" s="177">
        <f t="shared" si="278"/>
        <v>31.529411764705898</v>
      </c>
      <c r="IQ44" s="135" t="str">
        <f>VLOOKUP(RANK(IP44,$IP$10:$IP$109),Sheet1!$A$381:$B$480,2,FALSE)</f>
        <v>70th</v>
      </c>
      <c r="IR44" s="178"/>
      <c r="IS44" s="137"/>
      <c r="IT44" s="137"/>
      <c r="IU44" s="137"/>
      <c r="IV44" s="137"/>
      <c r="IW44" s="181"/>
      <c r="IX44" s="184"/>
      <c r="IY44" s="186"/>
      <c r="IZ44" s="186">
        <f t="shared" si="206"/>
        <v>0</v>
      </c>
      <c r="JA44" s="186" t="str">
        <f t="shared" si="124"/>
        <v>76</v>
      </c>
      <c r="JB44" s="186" t="str">
        <f t="shared" si="125"/>
        <v>39</v>
      </c>
      <c r="JC44" s="186">
        <f t="shared" si="279"/>
        <v>115</v>
      </c>
      <c r="JD44" s="186">
        <f t="shared" si="280"/>
        <v>38.3333333333333</v>
      </c>
      <c r="JE44" s="135" t="str">
        <f t="shared" si="126"/>
        <v>E</v>
      </c>
      <c r="JF44" s="151" t="str">
        <f>VLOOKUP(RANK(JD44,$JD$10:$JD$109),Sheet1!$A$381:$B$480,2,FALSE)</f>
        <v>81st</v>
      </c>
      <c r="JG44" s="186"/>
      <c r="JH44" s="186"/>
      <c r="JI44" s="186">
        <f t="shared" si="127"/>
        <v>0</v>
      </c>
      <c r="JJ44" s="186" t="str">
        <f t="shared" si="128"/>
        <v>40</v>
      </c>
      <c r="JK44" s="186" t="str">
        <f t="shared" si="129"/>
        <v>48</v>
      </c>
      <c r="JL44" s="186">
        <f t="shared" si="281"/>
        <v>88</v>
      </c>
      <c r="JM44" s="186">
        <f t="shared" si="282"/>
        <v>29.3333333333333</v>
      </c>
      <c r="JN44" s="135" t="str">
        <f t="shared" si="130"/>
        <v>F</v>
      </c>
      <c r="JO44" s="151" t="str">
        <f>VLOOKUP(RANK(JM44,$JM$10:$JM$109),Sheet1!$A$381:$B$480,2,FALSE)</f>
        <v>76th</v>
      </c>
      <c r="JP44" s="186"/>
      <c r="JQ44" s="186"/>
      <c r="JR44" s="186">
        <f t="shared" si="131"/>
        <v>0</v>
      </c>
      <c r="JS44" s="186" t="str">
        <f t="shared" si="132"/>
        <v>50</v>
      </c>
      <c r="JT44" s="186" t="str">
        <f t="shared" si="133"/>
        <v>38</v>
      </c>
      <c r="JU44" s="186">
        <f t="shared" si="283"/>
        <v>88</v>
      </c>
      <c r="JV44" s="186">
        <f t="shared" si="284"/>
        <v>29.3333333333333</v>
      </c>
      <c r="JW44" s="135" t="str">
        <f t="shared" si="134"/>
        <v>F</v>
      </c>
      <c r="JX44" s="151" t="str">
        <f>VLOOKUP(RANK(JV44,$JV$10:$JV$109),Sheet1!$A$381:$B$480,2,FALSE)</f>
        <v>56th</v>
      </c>
      <c r="JY44" s="186"/>
      <c r="JZ44" s="186"/>
      <c r="KA44" s="186">
        <f t="shared" si="135"/>
        <v>0</v>
      </c>
      <c r="KB44" s="186" t="str">
        <f t="shared" si="136"/>
        <v>45</v>
      </c>
      <c r="KC44" s="186" t="str">
        <f t="shared" si="137"/>
        <v>50</v>
      </c>
      <c r="KD44" s="186">
        <f t="shared" si="285"/>
        <v>95</v>
      </c>
      <c r="KE44" s="186">
        <f t="shared" si="286"/>
        <v>31.6666666666667</v>
      </c>
      <c r="KF44" s="135" t="str">
        <f t="shared" si="138"/>
        <v>F</v>
      </c>
      <c r="KG44" s="151" t="str">
        <f>VLOOKUP(RANK(KE44,$KE$10:$KE$109),Sheet1!$A$381:$B$480,2,FALSE)</f>
        <v>71st</v>
      </c>
      <c r="KH44" s="186"/>
      <c r="KI44" s="186"/>
      <c r="KJ44" s="186">
        <f t="shared" si="139"/>
        <v>0</v>
      </c>
      <c r="KK44" s="186" t="str">
        <f t="shared" si="140"/>
        <v>42</v>
      </c>
      <c r="KL44" s="186" t="str">
        <f t="shared" si="141"/>
        <v>46</v>
      </c>
      <c r="KM44" s="186">
        <f t="shared" si="287"/>
        <v>88</v>
      </c>
      <c r="KN44" s="186">
        <f t="shared" si="288"/>
        <v>29.3333333333333</v>
      </c>
      <c r="KO44" s="135" t="str">
        <f t="shared" si="142"/>
        <v>F</v>
      </c>
      <c r="KP44" s="151" t="str">
        <f>VLOOKUP(RANK(KN44,$KN$10:$KN$109),Sheet1!$A$381:$B$480,2,FALSE)</f>
        <v>70th</v>
      </c>
      <c r="KQ44" s="186"/>
      <c r="KR44" s="186"/>
      <c r="KS44" s="186">
        <f t="shared" si="143"/>
        <v>0</v>
      </c>
      <c r="KT44" s="186" t="str">
        <f t="shared" si="144"/>
        <v>0</v>
      </c>
      <c r="KU44" s="186" t="str">
        <f t="shared" si="145"/>
        <v>0</v>
      </c>
      <c r="KV44" s="186">
        <f t="shared" si="289"/>
        <v>0</v>
      </c>
      <c r="KW44" s="186">
        <f t="shared" si="290"/>
        <v>0</v>
      </c>
      <c r="KX44" s="135" t="str">
        <f t="shared" si="146"/>
        <v>F</v>
      </c>
      <c r="KY44" s="151" t="str">
        <f>VLOOKUP(RANK(KW44,$KW$10:$KW$109),Sheet1!$A$381:$B$480,2,FALSE)</f>
        <v>1st</v>
      </c>
      <c r="KZ44" s="186"/>
      <c r="LA44" s="186"/>
      <c r="LB44" s="186">
        <f t="shared" si="147"/>
        <v>0</v>
      </c>
      <c r="LC44" s="186" t="str">
        <f t="shared" si="148"/>
        <v>0</v>
      </c>
      <c r="LD44" s="186" t="str">
        <f t="shared" si="149"/>
        <v>0</v>
      </c>
      <c r="LE44" s="186">
        <f t="shared" si="291"/>
        <v>0</v>
      </c>
      <c r="LF44" s="186">
        <f t="shared" si="292"/>
        <v>0</v>
      </c>
      <c r="LG44" s="135" t="str">
        <f t="shared" si="150"/>
        <v>F</v>
      </c>
      <c r="LH44" s="151" t="str">
        <f>VLOOKUP(RANK(LF44,$LF$10:$LF$109),Sheet1!$A$381:$B$480,2,FALSE)</f>
        <v>1st</v>
      </c>
      <c r="LI44" s="186"/>
      <c r="LJ44" s="186"/>
      <c r="LK44" s="186">
        <f t="shared" si="151"/>
        <v>0</v>
      </c>
      <c r="LL44" s="186" t="str">
        <f t="shared" si="152"/>
        <v>50</v>
      </c>
      <c r="LM44" s="186" t="str">
        <f t="shared" si="153"/>
        <v>52</v>
      </c>
      <c r="LN44" s="186">
        <f t="shared" si="293"/>
        <v>102</v>
      </c>
      <c r="LO44" s="186">
        <f t="shared" si="294"/>
        <v>34</v>
      </c>
      <c r="LP44" s="135" t="str">
        <f t="shared" si="154"/>
        <v>F</v>
      </c>
      <c r="LQ44" s="151" t="str">
        <f>VLOOKUP(RANK(LO44,$LO$10:$LO$109),Sheet1!$A$381:$B$480,2,FALSE)</f>
        <v>56th</v>
      </c>
      <c r="LR44" s="186"/>
      <c r="LS44" s="186"/>
      <c r="LT44" s="186">
        <f t="shared" si="155"/>
        <v>0</v>
      </c>
      <c r="LU44" s="186" t="str">
        <f t="shared" si="156"/>
        <v>44</v>
      </c>
      <c r="LV44" s="186" t="str">
        <f t="shared" si="157"/>
        <v>54</v>
      </c>
      <c r="LW44" s="186">
        <f t="shared" si="295"/>
        <v>98</v>
      </c>
      <c r="LX44" s="186">
        <f t="shared" si="296"/>
        <v>32.6666666666667</v>
      </c>
      <c r="LY44" s="135" t="str">
        <f t="shared" si="158"/>
        <v>F</v>
      </c>
      <c r="LZ44" s="151" t="str">
        <f>VLOOKUP(RANK(LX44,$LX$10:$LX$109),Sheet1!$A$381:$B$480,2,FALSE)</f>
        <v>60th</v>
      </c>
      <c r="MA44" s="186"/>
      <c r="MB44" s="186"/>
      <c r="MC44" s="186">
        <f t="shared" si="159"/>
        <v>0</v>
      </c>
      <c r="MD44" s="186" t="str">
        <f t="shared" si="160"/>
        <v>31</v>
      </c>
      <c r="ME44" s="186" t="str">
        <f t="shared" si="161"/>
        <v>39</v>
      </c>
      <c r="MF44" s="183">
        <f t="shared" si="297"/>
        <v>70</v>
      </c>
      <c r="MG44" s="151">
        <f t="shared" si="298"/>
        <v>23.3333333333333</v>
      </c>
      <c r="MH44" s="135" t="str">
        <f t="shared" si="162"/>
        <v>F</v>
      </c>
      <c r="MI44" s="151" t="str">
        <f>VLOOKUP(RANK(MG44,$MG$10:$MG$109),Sheet1!$A$381:$B$480,2,FALSE)</f>
        <v>59th</v>
      </c>
      <c r="MJ44" s="186"/>
      <c r="MK44" s="186"/>
      <c r="ML44" s="186">
        <f t="shared" si="163"/>
        <v>0</v>
      </c>
      <c r="MM44" s="186" t="str">
        <f t="shared" si="164"/>
        <v>51</v>
      </c>
      <c r="MN44" s="186" t="str">
        <f t="shared" si="165"/>
        <v>42</v>
      </c>
      <c r="MO44" s="186">
        <f t="shared" si="299"/>
        <v>93</v>
      </c>
      <c r="MP44" s="186">
        <f t="shared" si="300"/>
        <v>31</v>
      </c>
      <c r="MQ44" s="135" t="str">
        <f t="shared" si="166"/>
        <v>F</v>
      </c>
      <c r="MR44" s="151" t="str">
        <f>VLOOKUP(RANK(MP44,$MP$10:$MP$109),Sheet1!$A$381:$B$480,2,FALSE)</f>
        <v>74th</v>
      </c>
      <c r="MS44" s="186"/>
      <c r="MT44" s="186"/>
      <c r="MU44" s="186">
        <f t="shared" si="167"/>
        <v>0</v>
      </c>
      <c r="MV44" s="186" t="str">
        <f t="shared" si="168"/>
        <v>40</v>
      </c>
      <c r="MW44" s="186" t="str">
        <f t="shared" si="169"/>
        <v>39</v>
      </c>
      <c r="MX44" s="186">
        <f t="shared" si="301"/>
        <v>79</v>
      </c>
      <c r="MY44" s="186">
        <f t="shared" si="302"/>
        <v>26.3333333333333</v>
      </c>
      <c r="MZ44" s="135" t="str">
        <f t="shared" si="170"/>
        <v>F</v>
      </c>
      <c r="NA44" s="151" t="str">
        <f>VLOOKUP(RANK(MY44,$MY$10:$MY$109),Sheet1!$A$381:$B$480,2,FALSE)</f>
        <v>71st</v>
      </c>
      <c r="NB44" s="186"/>
      <c r="NC44" s="186"/>
      <c r="ND44" s="186">
        <f t="shared" si="171"/>
        <v>0</v>
      </c>
      <c r="NE44" s="186" t="str">
        <f t="shared" si="172"/>
        <v>37</v>
      </c>
      <c r="NF44" s="186" t="str">
        <f t="shared" si="173"/>
        <v>41</v>
      </c>
      <c r="NG44" s="186">
        <f t="shared" si="303"/>
        <v>78</v>
      </c>
      <c r="NH44" s="186">
        <f t="shared" si="304"/>
        <v>26</v>
      </c>
      <c r="NI44" s="135" t="str">
        <f t="shared" si="174"/>
        <v>F</v>
      </c>
      <c r="NJ44" s="151" t="str">
        <f>VLOOKUP(RANK(NH44,$NH$10:$NH$109),Sheet1!$A$381:$B$480,2,FALSE)</f>
        <v>71st</v>
      </c>
      <c r="NK44" s="186"/>
      <c r="NL44" s="186"/>
      <c r="NM44" s="186">
        <f t="shared" si="175"/>
        <v>0</v>
      </c>
      <c r="NN44" s="186" t="str">
        <f t="shared" si="176"/>
        <v>55</v>
      </c>
      <c r="NO44" s="186" t="str">
        <f t="shared" si="177"/>
        <v>67</v>
      </c>
      <c r="NP44" s="186">
        <f t="shared" si="305"/>
        <v>122</v>
      </c>
      <c r="NQ44" s="186">
        <f t="shared" si="263"/>
        <v>40.6666666666667</v>
      </c>
      <c r="NR44" s="135" t="str">
        <f t="shared" si="179"/>
        <v>D</v>
      </c>
      <c r="NS44" s="151" t="str">
        <f>VLOOKUP(RANK(NQ44,$NQ$10:$NQ$109),Sheet1!$A$381:$B$480,2,FALSE)</f>
        <v>64th</v>
      </c>
      <c r="NT44" s="186"/>
      <c r="NU44" s="186"/>
      <c r="NV44" s="186">
        <f t="shared" si="180"/>
        <v>0</v>
      </c>
      <c r="NW44" s="186" t="str">
        <f t="shared" si="181"/>
        <v>0</v>
      </c>
      <c r="NX44" s="186" t="str">
        <f t="shared" si="182"/>
        <v>0</v>
      </c>
      <c r="NY44" s="186">
        <f t="shared" si="306"/>
        <v>0</v>
      </c>
      <c r="NZ44" s="186">
        <f t="shared" si="264"/>
        <v>0</v>
      </c>
      <c r="OA44" s="135" t="str">
        <f t="shared" si="184"/>
        <v>F</v>
      </c>
      <c r="OB44" s="151" t="str">
        <f>VLOOKUP(RANK(NZ44,$NZ$10:$NZ$109),Sheet1!$A$381:$B$480,2,FALSE)</f>
        <v>1st</v>
      </c>
      <c r="OC44" s="186"/>
      <c r="OD44" s="186"/>
      <c r="OE44" s="186">
        <f t="shared" si="185"/>
        <v>0</v>
      </c>
      <c r="OF44" s="186" t="str">
        <f t="shared" si="186"/>
        <v>0</v>
      </c>
      <c r="OG44" s="186" t="str">
        <f t="shared" si="187"/>
        <v>0</v>
      </c>
      <c r="OH44" s="186">
        <f t="shared" si="307"/>
        <v>0</v>
      </c>
      <c r="OI44" s="186">
        <f t="shared" si="236"/>
        <v>0</v>
      </c>
      <c r="OJ44" s="135" t="str">
        <f t="shared" si="188"/>
        <v>F</v>
      </c>
      <c r="OK44" s="151" t="str">
        <f>VLOOKUP(RANK(OI44,$OI$10:$OI$109),Sheet1!$A$381:$B$480,2,FALSE)</f>
        <v>1st</v>
      </c>
      <c r="OL44" s="151"/>
      <c r="OM44" s="151"/>
      <c r="ON44" s="151">
        <f t="shared" si="308"/>
        <v>0</v>
      </c>
      <c r="OO44" s="151" t="str">
        <f t="shared" si="309"/>
        <v>0</v>
      </c>
      <c r="OP44" s="151" t="str">
        <f t="shared" si="310"/>
        <v>0</v>
      </c>
      <c r="OQ44" s="151">
        <f t="shared" si="311"/>
        <v>0</v>
      </c>
      <c r="OR44" s="151">
        <f t="shared" si="312"/>
        <v>0</v>
      </c>
      <c r="OS44" s="135" t="str">
        <f t="shared" si="189"/>
        <v>F</v>
      </c>
      <c r="OT44" s="151" t="str">
        <f>VLOOKUP(RANK(OR44,$OI$10:$OI$109),Sheet1!$A$381:$B$480,2,FALSE)</f>
        <v>1st</v>
      </c>
      <c r="OU44" s="151">
        <f t="shared" si="313"/>
        <v>372</v>
      </c>
      <c r="OV44" s="151">
        <f t="shared" si="314"/>
        <v>21.882352941176499</v>
      </c>
      <c r="OW44" s="151" t="str">
        <f>VLOOKUP(RANK(OV44,$OV$10:$OV$109),Sheet1!$A$381:$B$480,2,FALSE)</f>
        <v>72nd</v>
      </c>
      <c r="OX44" s="151"/>
      <c r="OY44" s="186"/>
      <c r="OZ44" s="186"/>
      <c r="PA44" s="186"/>
      <c r="PB44" s="186"/>
    </row>
    <row r="45" spans="1:418" s="118" customFormat="1" ht="18.75">
      <c r="A45" s="131">
        <v>36</v>
      </c>
      <c r="B45" s="132" t="s">
        <v>133</v>
      </c>
      <c r="C45" s="133" t="s">
        <v>97</v>
      </c>
      <c r="D45" s="134">
        <v>25</v>
      </c>
      <c r="E45" s="134">
        <v>50</v>
      </c>
      <c r="F45" s="137">
        <f t="shared" si="0"/>
        <v>75</v>
      </c>
      <c r="G45" s="137">
        <f t="shared" si="1"/>
        <v>75</v>
      </c>
      <c r="H45" s="135" t="str">
        <f t="shared" si="265"/>
        <v>A</v>
      </c>
      <c r="I45" s="135" t="str">
        <f>VLOOKUP(RANK(G45,$G$10:$G$109),Sheet1!$A$381:$B$480,2,FALSE)</f>
        <v>19th</v>
      </c>
      <c r="J45" s="134">
        <v>31</v>
      </c>
      <c r="K45" s="134">
        <v>33</v>
      </c>
      <c r="L45" s="137">
        <f t="shared" si="2"/>
        <v>64</v>
      </c>
      <c r="M45" s="137">
        <f t="shared" si="3"/>
        <v>64</v>
      </c>
      <c r="N45" s="135" t="str">
        <f t="shared" si="4"/>
        <v>B</v>
      </c>
      <c r="O45" s="141" t="str">
        <f>VLOOKUP(RANK(M45,$M$10:$M$109),Sheet1!$A$381:$B$480,2,FALSE)</f>
        <v>17th</v>
      </c>
      <c r="P45" s="144">
        <v>28</v>
      </c>
      <c r="Q45" s="144">
        <v>10</v>
      </c>
      <c r="R45" s="147">
        <f t="shared" si="5"/>
        <v>38</v>
      </c>
      <c r="S45" s="137">
        <f t="shared" si="6"/>
        <v>38</v>
      </c>
      <c r="T45" s="135" t="str">
        <f t="shared" si="7"/>
        <v>E</v>
      </c>
      <c r="U45" s="135" t="str">
        <f>VLOOKUP(RANK(S45,$S$10:$S$109),Sheet1!$A$381:$B$480,2,FALSE)</f>
        <v>67th</v>
      </c>
      <c r="V45" s="134">
        <v>30</v>
      </c>
      <c r="W45" s="134">
        <v>27</v>
      </c>
      <c r="X45" s="137">
        <f t="shared" si="191"/>
        <v>57</v>
      </c>
      <c r="Y45" s="137">
        <f t="shared" si="244"/>
        <v>57</v>
      </c>
      <c r="Z45" s="135" t="str">
        <f t="shared" si="8"/>
        <v>C</v>
      </c>
      <c r="AA45" s="135" t="str">
        <f>VLOOKUP(RANK(Y45,$Y$10:$Y$109),Sheet1!$A$381:$B$480,2,FALSE)</f>
        <v>40th</v>
      </c>
      <c r="AB45" s="134">
        <v>29</v>
      </c>
      <c r="AC45" s="134">
        <v>22</v>
      </c>
      <c r="AD45" s="137">
        <f t="shared" si="9"/>
        <v>51</v>
      </c>
      <c r="AE45" s="137">
        <f t="shared" si="10"/>
        <v>51</v>
      </c>
      <c r="AF45" s="135" t="str">
        <f t="shared" si="11"/>
        <v>C</v>
      </c>
      <c r="AG45" s="135" t="str">
        <f>VLOOKUP(RANK(AE45,$AE$10:$AE$109),Sheet1!$A$381:$B$480,2,FALSE)</f>
        <v>66th</v>
      </c>
      <c r="AH45" s="137"/>
      <c r="AI45" s="137"/>
      <c r="AJ45" s="137">
        <f t="shared" si="12"/>
        <v>0</v>
      </c>
      <c r="AK45" s="137">
        <f t="shared" si="13"/>
        <v>0</v>
      </c>
      <c r="AL45" s="135" t="str">
        <f t="shared" si="14"/>
        <v>F</v>
      </c>
      <c r="AM45" s="135" t="str">
        <f>VLOOKUP(RANK(AK45,$AK$10:$AK$109),Sheet1!$A$381:$B$480,2,FALSE)</f>
        <v>1st</v>
      </c>
      <c r="AN45" s="134"/>
      <c r="AO45" s="134"/>
      <c r="AP45" s="137">
        <f t="shared" si="15"/>
        <v>0</v>
      </c>
      <c r="AQ45" s="137">
        <f t="shared" si="16"/>
        <v>0</v>
      </c>
      <c r="AR45" s="135" t="str">
        <f t="shared" si="17"/>
        <v>F</v>
      </c>
      <c r="AS45" s="135" t="str">
        <f>VLOOKUP(RANK(AQ45,$AQ$10:$AQ$109),Sheet1!$A$381:$B$480,2,FALSE)</f>
        <v>1st</v>
      </c>
      <c r="AT45" s="142">
        <v>25</v>
      </c>
      <c r="AU45" s="145">
        <v>25</v>
      </c>
      <c r="AV45" s="137">
        <f t="shared" si="18"/>
        <v>50</v>
      </c>
      <c r="AW45" s="137">
        <f t="shared" si="19"/>
        <v>50</v>
      </c>
      <c r="AX45" s="135" t="str">
        <f t="shared" si="20"/>
        <v>C</v>
      </c>
      <c r="AY45" s="141" t="str">
        <f>VLOOKUP(RANK(AW45,$AW$10:$AW$109),Sheet1!$A$381:$B$480,2,FALSE)</f>
        <v>58th</v>
      </c>
      <c r="AZ45" s="144">
        <v>33</v>
      </c>
      <c r="BA45" s="144">
        <v>22</v>
      </c>
      <c r="BB45" s="147">
        <f t="shared" si="21"/>
        <v>55</v>
      </c>
      <c r="BC45" s="137">
        <f t="shared" si="22"/>
        <v>55</v>
      </c>
      <c r="BD45" s="135" t="str">
        <f t="shared" si="23"/>
        <v>C</v>
      </c>
      <c r="BE45" s="135" t="str">
        <f>VLOOKUP(RANK(BC45,$BC$10:$BC$109),Sheet1!$A$381:$B$480,2,FALSE)</f>
        <v>43rd</v>
      </c>
      <c r="BF45" s="144">
        <v>11</v>
      </c>
      <c r="BG45" s="144">
        <v>15</v>
      </c>
      <c r="BH45" s="137">
        <f t="shared" si="24"/>
        <v>26</v>
      </c>
      <c r="BI45" s="137">
        <f t="shared" si="25"/>
        <v>26</v>
      </c>
      <c r="BJ45" s="135" t="str">
        <f t="shared" si="26"/>
        <v>F</v>
      </c>
      <c r="BK45" s="141" t="str">
        <f>VLOOKUP(RANK(BI45,$BI$10:$BI$109),Sheet1!$A$381:$B$480,2,FALSE)</f>
        <v>76th</v>
      </c>
      <c r="BL45" s="149">
        <v>26</v>
      </c>
      <c r="BM45" s="149">
        <v>27</v>
      </c>
      <c r="BN45" s="147">
        <f t="shared" si="27"/>
        <v>53</v>
      </c>
      <c r="BO45" s="137">
        <f t="shared" si="28"/>
        <v>53</v>
      </c>
      <c r="BP45" s="135" t="str">
        <f t="shared" si="29"/>
        <v>C</v>
      </c>
      <c r="BQ45" s="141" t="str">
        <f>VLOOKUP(RANK(BO45,$BO$10:$BO$109),Sheet1!$A$381:$B$480,2,FALSE)</f>
        <v>36th</v>
      </c>
      <c r="BR45" s="149">
        <v>29</v>
      </c>
      <c r="BS45" s="149">
        <v>29</v>
      </c>
      <c r="BT45" s="147">
        <f t="shared" si="30"/>
        <v>58</v>
      </c>
      <c r="BU45" s="137">
        <f t="shared" si="31"/>
        <v>58</v>
      </c>
      <c r="BV45" s="135" t="str">
        <f t="shared" si="32"/>
        <v>C</v>
      </c>
      <c r="BW45" s="135" t="str">
        <f>VLOOKUP(RANK(BU45,$BU$10:$BU$109),Sheet1!$A$381:$B$480,2,FALSE)</f>
        <v>29th</v>
      </c>
      <c r="BX45" s="149">
        <v>28</v>
      </c>
      <c r="BY45" s="149">
        <v>10</v>
      </c>
      <c r="BZ45" s="137">
        <f t="shared" si="33"/>
        <v>38</v>
      </c>
      <c r="CA45" s="137">
        <f t="shared" si="34"/>
        <v>38</v>
      </c>
      <c r="CB45" s="135" t="str">
        <f t="shared" si="35"/>
        <v>E</v>
      </c>
      <c r="CC45" s="135" t="str">
        <f>VLOOKUP(RANK(CA45,$CA$10:$CA$109),Sheet1!$A$381:$B$480,2,FALSE)</f>
        <v>61st</v>
      </c>
      <c r="CD45" s="149">
        <v>20</v>
      </c>
      <c r="CE45" s="149">
        <v>20</v>
      </c>
      <c r="CF45" s="137">
        <f t="shared" si="36"/>
        <v>40</v>
      </c>
      <c r="CG45" s="137">
        <f t="shared" si="37"/>
        <v>40</v>
      </c>
      <c r="CH45" s="135" t="str">
        <f t="shared" si="38"/>
        <v>D</v>
      </c>
      <c r="CI45" s="135" t="str">
        <f>VLOOKUP(RANK(CG45,$CG$10:$CG$109),Sheet1!$A$381:$B$480,2,FALSE)</f>
        <v>94th</v>
      </c>
      <c r="CJ45" s="137"/>
      <c r="CK45" s="137"/>
      <c r="CL45" s="137">
        <f t="shared" si="39"/>
        <v>0</v>
      </c>
      <c r="CM45" s="137">
        <f t="shared" si="40"/>
        <v>0</v>
      </c>
      <c r="CN45" s="135" t="str">
        <f t="shared" si="41"/>
        <v>F</v>
      </c>
      <c r="CO45" s="135" t="str">
        <f>VLOOKUP(RANK(CM45,$CM$10:$CM$109),Sheet1!$A$381:$B$480,2,FALSE)</f>
        <v>1st</v>
      </c>
      <c r="CP45" s="137"/>
      <c r="CQ45" s="137"/>
      <c r="CR45" s="137">
        <f t="shared" si="42"/>
        <v>0</v>
      </c>
      <c r="CS45" s="137">
        <f t="shared" si="43"/>
        <v>0</v>
      </c>
      <c r="CT45" s="135" t="str">
        <f t="shared" si="44"/>
        <v>F</v>
      </c>
      <c r="CU45" s="135" t="str">
        <f>VLOOKUP(RANK(CS45,$CS$10:$CS$109),Sheet1!$A$381:$B$480,2,FALSE)</f>
        <v>1st</v>
      </c>
      <c r="CV45" s="151"/>
      <c r="CW45" s="135"/>
      <c r="CX45" s="151">
        <f t="shared" si="266"/>
        <v>0</v>
      </c>
      <c r="CY45" s="151">
        <f t="shared" si="267"/>
        <v>0</v>
      </c>
      <c r="CZ45" s="135" t="str">
        <f t="shared" si="45"/>
        <v>F</v>
      </c>
      <c r="DA45" s="135" t="str">
        <f>VLOOKUP(RANK(CY45,$CY$10:$CY$109),Sheet1!$A$381:$B$480,2,FALSE)</f>
        <v>1st</v>
      </c>
      <c r="DB45" s="135"/>
      <c r="DC45" s="151">
        <f t="shared" si="268"/>
        <v>605</v>
      </c>
      <c r="DD45" s="151">
        <f t="shared" si="269"/>
        <v>35.588235294117602</v>
      </c>
      <c r="DE45" s="135" t="str">
        <f>VLOOKUP(RANK(DD45,$DD$10:$DD$109),Sheet1!$A$381:$B$480,2,FALSE)</f>
        <v>56th</v>
      </c>
      <c r="DF45" s="137"/>
      <c r="DG45" s="160">
        <f t="shared" si="46"/>
        <v>640.58823529411802</v>
      </c>
      <c r="DH45" s="119"/>
      <c r="DI45" s="162">
        <v>32</v>
      </c>
      <c r="DJ45" s="162">
        <v>33</v>
      </c>
      <c r="DK45" s="137">
        <f t="shared" si="47"/>
        <v>65</v>
      </c>
      <c r="DL45" s="137" t="str">
        <f t="shared" si="245"/>
        <v>75</v>
      </c>
      <c r="DM45" s="137">
        <f t="shared" si="49"/>
        <v>140</v>
      </c>
      <c r="DN45" s="137">
        <f t="shared" si="50"/>
        <v>70</v>
      </c>
      <c r="DO45" s="135" t="str">
        <f t="shared" si="51"/>
        <v>B</v>
      </c>
      <c r="DP45" s="135" t="str">
        <f>VLOOKUP(RANK(DN45,$DN$10:$DN$109),Sheet1!$A$381:$B$480,2,FALSE)</f>
        <v>40th</v>
      </c>
      <c r="DQ45" s="166">
        <v>23</v>
      </c>
      <c r="DR45" s="166">
        <v>18</v>
      </c>
      <c r="DS45" s="137">
        <f t="shared" si="52"/>
        <v>41</v>
      </c>
      <c r="DT45" s="137" t="str">
        <f t="shared" si="246"/>
        <v>64</v>
      </c>
      <c r="DU45" s="137">
        <f t="shared" si="54"/>
        <v>105</v>
      </c>
      <c r="DV45" s="137">
        <f t="shared" si="247"/>
        <v>52.5</v>
      </c>
      <c r="DW45" s="135" t="str">
        <f t="shared" si="56"/>
        <v>C</v>
      </c>
      <c r="DX45" s="135" t="str">
        <f>VLOOKUP(RANK(DV45,$DV$10:$DV$109),Sheet1!$A$381:$B$480,2,FALSE)</f>
        <v>34th</v>
      </c>
      <c r="DY45" s="168">
        <v>30</v>
      </c>
      <c r="DZ45" s="168">
        <v>26</v>
      </c>
      <c r="EA45" s="137">
        <f t="shared" si="57"/>
        <v>56</v>
      </c>
      <c r="EB45" s="137" t="str">
        <f t="shared" si="248"/>
        <v>38</v>
      </c>
      <c r="EC45" s="137">
        <f t="shared" si="59"/>
        <v>94</v>
      </c>
      <c r="ED45" s="137">
        <f t="shared" si="60"/>
        <v>47</v>
      </c>
      <c r="EE45" s="135" t="str">
        <f t="shared" si="61"/>
        <v>D</v>
      </c>
      <c r="EF45" s="135" t="str">
        <f>VLOOKUP(RANK(ED45,$ED$10:$ED$109),Sheet1!$A$381:$B$480,2,FALSE)</f>
        <v>45th</v>
      </c>
      <c r="EG45" s="162">
        <v>25</v>
      </c>
      <c r="EH45" s="162">
        <v>40</v>
      </c>
      <c r="EI45" s="137">
        <f t="shared" si="62"/>
        <v>65</v>
      </c>
      <c r="EJ45" s="137" t="str">
        <f t="shared" si="249"/>
        <v>57</v>
      </c>
      <c r="EK45" s="137">
        <f t="shared" si="64"/>
        <v>122</v>
      </c>
      <c r="EL45" s="137">
        <f t="shared" si="65"/>
        <v>61</v>
      </c>
      <c r="EM45" s="135" t="str">
        <f t="shared" si="66"/>
        <v>B</v>
      </c>
      <c r="EN45" s="135" t="str">
        <f>VLOOKUP(RANK(EL45,$EL$10:$EL$109),Sheet1!$A$381:$B$480,2,FALSE)</f>
        <v>32nd</v>
      </c>
      <c r="EO45" s="162">
        <v>28</v>
      </c>
      <c r="EP45" s="162">
        <v>23</v>
      </c>
      <c r="EQ45" s="137">
        <f t="shared" si="67"/>
        <v>51</v>
      </c>
      <c r="ER45" s="137" t="str">
        <f t="shared" si="250"/>
        <v>51</v>
      </c>
      <c r="ES45" s="137">
        <f t="shared" si="69"/>
        <v>102</v>
      </c>
      <c r="ET45" s="137">
        <f t="shared" si="70"/>
        <v>51</v>
      </c>
      <c r="EU45" s="135" t="str">
        <f t="shared" si="71"/>
        <v>C</v>
      </c>
      <c r="EV45" s="135" t="str">
        <f>VLOOKUP(RANK(ET45,$ET$10:$ET$109),Sheet1!$A$381:$B$480,2,FALSE)</f>
        <v>56th</v>
      </c>
      <c r="EW45" s="137"/>
      <c r="EX45" s="137"/>
      <c r="EY45" s="137">
        <f t="shared" si="72"/>
        <v>0</v>
      </c>
      <c r="EZ45" s="137" t="str">
        <f t="shared" si="251"/>
        <v>0</v>
      </c>
      <c r="FA45" s="137">
        <f t="shared" si="74"/>
        <v>0</v>
      </c>
      <c r="FB45" s="137">
        <f t="shared" si="75"/>
        <v>0</v>
      </c>
      <c r="FC45" s="135" t="str">
        <f t="shared" si="76"/>
        <v>F</v>
      </c>
      <c r="FD45" s="135" t="str">
        <f>VLOOKUP(RANK(FB45,$FB$10:$FB$109),Sheet1!$A$381:$B$480,2,FALSE)</f>
        <v>1st</v>
      </c>
      <c r="FE45" s="137"/>
      <c r="FF45" s="137"/>
      <c r="FG45" s="137">
        <f t="shared" si="77"/>
        <v>0</v>
      </c>
      <c r="FH45" s="137" t="str">
        <f t="shared" si="252"/>
        <v>0</v>
      </c>
      <c r="FI45" s="137">
        <f t="shared" si="79"/>
        <v>0</v>
      </c>
      <c r="FJ45" s="137">
        <f t="shared" si="80"/>
        <v>0</v>
      </c>
      <c r="FK45" s="135" t="str">
        <f t="shared" si="81"/>
        <v>F</v>
      </c>
      <c r="FL45" s="135" t="str">
        <f>VLOOKUP(RANK(FJ45,$FJ$10:$FJ$109),Sheet1!$A$381:$B$480,2,FALSE)</f>
        <v>1st</v>
      </c>
      <c r="FM45" s="164">
        <v>28</v>
      </c>
      <c r="FN45" s="165">
        <v>22</v>
      </c>
      <c r="FO45" s="137">
        <f t="shared" si="82"/>
        <v>50</v>
      </c>
      <c r="FP45" s="137" t="str">
        <f t="shared" si="253"/>
        <v>50</v>
      </c>
      <c r="FQ45" s="137">
        <f t="shared" si="84"/>
        <v>100</v>
      </c>
      <c r="FR45" s="137">
        <f t="shared" si="85"/>
        <v>50</v>
      </c>
      <c r="FS45" s="135" t="str">
        <f t="shared" si="86"/>
        <v>C</v>
      </c>
      <c r="FT45" s="135" t="str">
        <f>VLOOKUP(RANK(FR45,$FR$10:$FR$109),Sheet1!$A$381:$B$480,2,FALSE)</f>
        <v>77th</v>
      </c>
      <c r="FU45" s="149">
        <v>26</v>
      </c>
      <c r="FV45" s="149">
        <v>20</v>
      </c>
      <c r="FW45" s="137">
        <f t="shared" si="87"/>
        <v>46</v>
      </c>
      <c r="FX45" s="137" t="str">
        <f t="shared" si="254"/>
        <v>55</v>
      </c>
      <c r="FY45" s="137">
        <f t="shared" si="196"/>
        <v>46</v>
      </c>
      <c r="FZ45" s="137">
        <f t="shared" si="89"/>
        <v>23</v>
      </c>
      <c r="GA45" s="135" t="str">
        <f t="shared" si="90"/>
        <v>F</v>
      </c>
      <c r="GB45" s="135" t="str">
        <f>VLOOKUP(RANK(FZ45,$FZ$10:$FZ$109),Sheet1!$A$381:$B$480,2,FALSE)</f>
        <v>61st</v>
      </c>
      <c r="GC45" s="166">
        <v>16</v>
      </c>
      <c r="GD45" s="166">
        <v>22</v>
      </c>
      <c r="GE45" s="137">
        <f t="shared" si="91"/>
        <v>38</v>
      </c>
      <c r="GF45" s="137" t="str">
        <f t="shared" si="255"/>
        <v>26</v>
      </c>
      <c r="GG45" s="135">
        <f t="shared" si="270"/>
        <v>64</v>
      </c>
      <c r="GH45" s="137">
        <f t="shared" si="271"/>
        <v>32</v>
      </c>
      <c r="GI45" s="135" t="str">
        <f t="shared" si="93"/>
        <v>F</v>
      </c>
      <c r="GJ45" s="135" t="str">
        <f>VLOOKUP(RANK(GH45,$GH$10:$GH$109),Sheet1!$A$381:$B$480,2,FALSE)</f>
        <v>73rd</v>
      </c>
      <c r="GK45" s="166">
        <v>27</v>
      </c>
      <c r="GL45" s="166">
        <v>26</v>
      </c>
      <c r="GM45" s="137">
        <f t="shared" si="94"/>
        <v>53</v>
      </c>
      <c r="GN45" s="137" t="str">
        <f t="shared" si="256"/>
        <v>53</v>
      </c>
      <c r="GO45" s="135">
        <f t="shared" si="272"/>
        <v>106</v>
      </c>
      <c r="GP45" s="137">
        <f t="shared" si="96"/>
        <v>53</v>
      </c>
      <c r="GQ45" s="135" t="str">
        <f t="shared" si="97"/>
        <v>C</v>
      </c>
      <c r="GR45" s="135" t="str">
        <f>VLOOKUP(RANK(GP45,$GP$10:$GP$109),Sheet1!$A$381:$B$480,2,FALSE)</f>
        <v>6th</v>
      </c>
      <c r="GS45" s="166">
        <v>18</v>
      </c>
      <c r="GT45" s="166">
        <v>33</v>
      </c>
      <c r="GU45" s="137">
        <f t="shared" si="98"/>
        <v>51</v>
      </c>
      <c r="GV45" s="137" t="str">
        <f t="shared" si="257"/>
        <v>58</v>
      </c>
      <c r="GW45" s="137">
        <f t="shared" si="100"/>
        <v>109</v>
      </c>
      <c r="GX45" s="137">
        <f t="shared" si="101"/>
        <v>54.5</v>
      </c>
      <c r="GY45" s="135" t="str">
        <f t="shared" si="102"/>
        <v>C</v>
      </c>
      <c r="GZ45" s="135" t="str">
        <f>VLOOKUP(RANK(GX45,$GX$10:$GX$109),Sheet1!$A$381:$B$480,2,FALSE)</f>
        <v>38th</v>
      </c>
      <c r="HA45" s="166">
        <v>30</v>
      </c>
      <c r="HB45" s="166">
        <v>17</v>
      </c>
      <c r="HC45" s="137">
        <f t="shared" si="103"/>
        <v>47</v>
      </c>
      <c r="HD45" s="137" t="str">
        <f t="shared" si="258"/>
        <v>38</v>
      </c>
      <c r="HE45" s="137">
        <f t="shared" si="105"/>
        <v>85</v>
      </c>
      <c r="HF45" s="137">
        <f t="shared" si="106"/>
        <v>42.5</v>
      </c>
      <c r="HG45" s="135" t="str">
        <f t="shared" si="107"/>
        <v>D</v>
      </c>
      <c r="HH45" s="135" t="str">
        <f>VLOOKUP(RANK(HF45,$HF$10:$HF$109),Sheet1!$A$381:$B$480,2,FALSE)</f>
        <v>38th</v>
      </c>
      <c r="HI45" s="149">
        <v>25</v>
      </c>
      <c r="HJ45" s="149">
        <v>33</v>
      </c>
      <c r="HK45" s="137">
        <f t="shared" si="108"/>
        <v>58</v>
      </c>
      <c r="HL45" s="137" t="str">
        <f t="shared" si="259"/>
        <v>40</v>
      </c>
      <c r="HM45" s="137">
        <f t="shared" si="110"/>
        <v>98</v>
      </c>
      <c r="HN45" s="137">
        <f t="shared" si="111"/>
        <v>49</v>
      </c>
      <c r="HO45" s="135" t="str">
        <f t="shared" si="112"/>
        <v>D</v>
      </c>
      <c r="HP45" s="135" t="str">
        <f>VLOOKUP(RANK(HN45,$HN$10:$HN$109),Sheet1!$A$381:$B$480,2,FALSE)</f>
        <v>94th</v>
      </c>
      <c r="HQ45" s="137"/>
      <c r="HR45" s="137"/>
      <c r="HS45" s="137">
        <f t="shared" si="113"/>
        <v>0</v>
      </c>
      <c r="HT45" s="137" t="str">
        <f t="shared" si="260"/>
        <v>0</v>
      </c>
      <c r="HU45" s="137">
        <f t="shared" si="115"/>
        <v>0</v>
      </c>
      <c r="HV45" s="137">
        <f t="shared" si="116"/>
        <v>0</v>
      </c>
      <c r="HW45" s="135" t="str">
        <f t="shared" si="117"/>
        <v>F</v>
      </c>
      <c r="HX45" s="135" t="str">
        <f>VLOOKUP(RANK(HV45,$HV$10:$HV$109),Sheet1!$A$381:$B$480,2,FALSE)</f>
        <v>1st</v>
      </c>
      <c r="HY45" s="137"/>
      <c r="HZ45" s="137"/>
      <c r="IA45" s="137">
        <f t="shared" si="261"/>
        <v>0</v>
      </c>
      <c r="IB45" s="137" t="str">
        <f t="shared" si="262"/>
        <v>0</v>
      </c>
      <c r="IC45" s="137">
        <f t="shared" si="120"/>
        <v>0</v>
      </c>
      <c r="ID45" s="137">
        <f t="shared" si="121"/>
        <v>0</v>
      </c>
      <c r="IE45" s="135" t="str">
        <f t="shared" si="122"/>
        <v>F</v>
      </c>
      <c r="IF45" s="135" t="str">
        <f>VLOOKUP(RANK(ID45,$ID$10:$ID$109),Sheet1!$A$381:$B$480,2,FALSE)</f>
        <v>1st</v>
      </c>
      <c r="IG45" s="135"/>
      <c r="IH45" s="135"/>
      <c r="II45" s="135">
        <f t="shared" si="273"/>
        <v>0</v>
      </c>
      <c r="IJ45" s="135" t="str">
        <f t="shared" si="274"/>
        <v>0</v>
      </c>
      <c r="IK45" s="135">
        <f t="shared" si="275"/>
        <v>0</v>
      </c>
      <c r="IL45" s="135">
        <f t="shared" si="276"/>
        <v>0</v>
      </c>
      <c r="IM45" s="135" t="str">
        <f t="shared" si="123"/>
        <v>F</v>
      </c>
      <c r="IN45" s="135" t="str">
        <f>VLOOKUP(RANK(IL45,$IL$10:$IL$109),Sheet1!$A$381:$B$480,2,FALSE)</f>
        <v>1st</v>
      </c>
      <c r="IO45" s="135">
        <f t="shared" si="277"/>
        <v>585.5</v>
      </c>
      <c r="IP45" s="177">
        <f t="shared" si="278"/>
        <v>34.441176470588204</v>
      </c>
      <c r="IQ45" s="135" t="str">
        <f>VLOOKUP(RANK(IP45,$IP$10:$IP$109),Sheet1!$A$381:$B$480,2,FALSE)</f>
        <v>51st</v>
      </c>
      <c r="IR45" s="178"/>
      <c r="IS45" s="137"/>
      <c r="IT45" s="137"/>
      <c r="IU45" s="137"/>
      <c r="IV45" s="137"/>
      <c r="IW45" s="181"/>
      <c r="IX45" s="184"/>
      <c r="IY45" s="186"/>
      <c r="IZ45" s="186">
        <f t="shared" si="206"/>
        <v>0</v>
      </c>
      <c r="JA45" s="186" t="str">
        <f t="shared" si="124"/>
        <v>75</v>
      </c>
      <c r="JB45" s="186" t="str">
        <f t="shared" si="125"/>
        <v>65</v>
      </c>
      <c r="JC45" s="186">
        <f t="shared" si="279"/>
        <v>140</v>
      </c>
      <c r="JD45" s="186">
        <f t="shared" si="280"/>
        <v>46.6666666666667</v>
      </c>
      <c r="JE45" s="135" t="str">
        <f t="shared" si="126"/>
        <v>D</v>
      </c>
      <c r="JF45" s="151" t="str">
        <f>VLOOKUP(RANK(JD45,$JD$10:$JD$109),Sheet1!$A$381:$B$480,2,FALSE)</f>
        <v>40th</v>
      </c>
      <c r="JG45" s="186"/>
      <c r="JH45" s="186"/>
      <c r="JI45" s="186">
        <f t="shared" si="127"/>
        <v>0</v>
      </c>
      <c r="JJ45" s="186" t="str">
        <f t="shared" si="128"/>
        <v>64</v>
      </c>
      <c r="JK45" s="186" t="str">
        <f t="shared" si="129"/>
        <v>41</v>
      </c>
      <c r="JL45" s="186">
        <f t="shared" si="281"/>
        <v>105</v>
      </c>
      <c r="JM45" s="186">
        <f t="shared" si="282"/>
        <v>35</v>
      </c>
      <c r="JN45" s="135" t="str">
        <f t="shared" si="130"/>
        <v>E</v>
      </c>
      <c r="JO45" s="151" t="str">
        <f>VLOOKUP(RANK(JM45,$JM$10:$JM$109),Sheet1!$A$381:$B$480,2,FALSE)</f>
        <v>34th</v>
      </c>
      <c r="JP45" s="186"/>
      <c r="JQ45" s="186"/>
      <c r="JR45" s="186">
        <f t="shared" si="131"/>
        <v>0</v>
      </c>
      <c r="JS45" s="186" t="str">
        <f t="shared" si="132"/>
        <v>38</v>
      </c>
      <c r="JT45" s="186" t="str">
        <f t="shared" si="133"/>
        <v>56</v>
      </c>
      <c r="JU45" s="186">
        <f t="shared" si="283"/>
        <v>94</v>
      </c>
      <c r="JV45" s="186">
        <f t="shared" si="284"/>
        <v>31.3333333333333</v>
      </c>
      <c r="JW45" s="135" t="str">
        <f t="shared" si="134"/>
        <v>F</v>
      </c>
      <c r="JX45" s="151" t="str">
        <f>VLOOKUP(RANK(JV45,$JV$10:$JV$109),Sheet1!$A$381:$B$480,2,FALSE)</f>
        <v>45th</v>
      </c>
      <c r="JY45" s="186"/>
      <c r="JZ45" s="186"/>
      <c r="KA45" s="186">
        <f t="shared" si="135"/>
        <v>0</v>
      </c>
      <c r="KB45" s="186" t="str">
        <f t="shared" si="136"/>
        <v>57</v>
      </c>
      <c r="KC45" s="186" t="str">
        <f t="shared" si="137"/>
        <v>65</v>
      </c>
      <c r="KD45" s="186">
        <f t="shared" si="285"/>
        <v>122</v>
      </c>
      <c r="KE45" s="186">
        <f t="shared" si="286"/>
        <v>40.6666666666667</v>
      </c>
      <c r="KF45" s="135" t="str">
        <f t="shared" si="138"/>
        <v>D</v>
      </c>
      <c r="KG45" s="151" t="str">
        <f>VLOOKUP(RANK(KE45,$KE$10:$KE$109),Sheet1!$A$381:$B$480,2,FALSE)</f>
        <v>32nd</v>
      </c>
      <c r="KH45" s="186"/>
      <c r="KI45" s="186"/>
      <c r="KJ45" s="186">
        <f t="shared" si="139"/>
        <v>0</v>
      </c>
      <c r="KK45" s="186" t="str">
        <f t="shared" si="140"/>
        <v>51</v>
      </c>
      <c r="KL45" s="186" t="str">
        <f t="shared" si="141"/>
        <v>51</v>
      </c>
      <c r="KM45" s="186">
        <f t="shared" si="287"/>
        <v>102</v>
      </c>
      <c r="KN45" s="186">
        <f t="shared" si="288"/>
        <v>34</v>
      </c>
      <c r="KO45" s="135" t="str">
        <f t="shared" si="142"/>
        <v>F</v>
      </c>
      <c r="KP45" s="151" t="str">
        <f>VLOOKUP(RANK(KN45,$KN$10:$KN$109),Sheet1!$A$381:$B$480,2,FALSE)</f>
        <v>56th</v>
      </c>
      <c r="KQ45" s="186"/>
      <c r="KR45" s="186"/>
      <c r="KS45" s="186">
        <f t="shared" si="143"/>
        <v>0</v>
      </c>
      <c r="KT45" s="186" t="str">
        <f t="shared" si="144"/>
        <v>0</v>
      </c>
      <c r="KU45" s="186" t="str">
        <f t="shared" si="145"/>
        <v>0</v>
      </c>
      <c r="KV45" s="186">
        <f t="shared" si="289"/>
        <v>0</v>
      </c>
      <c r="KW45" s="186">
        <f t="shared" si="290"/>
        <v>0</v>
      </c>
      <c r="KX45" s="135" t="str">
        <f t="shared" si="146"/>
        <v>F</v>
      </c>
      <c r="KY45" s="151" t="str">
        <f>VLOOKUP(RANK(KW45,$KW$10:$KW$109),Sheet1!$A$381:$B$480,2,FALSE)</f>
        <v>1st</v>
      </c>
      <c r="KZ45" s="186"/>
      <c r="LA45" s="186"/>
      <c r="LB45" s="186">
        <f t="shared" si="147"/>
        <v>0</v>
      </c>
      <c r="LC45" s="186" t="str">
        <f t="shared" si="148"/>
        <v>0</v>
      </c>
      <c r="LD45" s="186" t="str">
        <f t="shared" si="149"/>
        <v>0</v>
      </c>
      <c r="LE45" s="186">
        <f t="shared" si="291"/>
        <v>0</v>
      </c>
      <c r="LF45" s="186">
        <f t="shared" si="292"/>
        <v>0</v>
      </c>
      <c r="LG45" s="135" t="str">
        <f t="shared" si="150"/>
        <v>F</v>
      </c>
      <c r="LH45" s="151" t="str">
        <f>VLOOKUP(RANK(LF45,$LF$10:$LF$109),Sheet1!$A$381:$B$480,2,FALSE)</f>
        <v>1st</v>
      </c>
      <c r="LI45" s="186"/>
      <c r="LJ45" s="186"/>
      <c r="LK45" s="186">
        <f t="shared" si="151"/>
        <v>0</v>
      </c>
      <c r="LL45" s="186" t="str">
        <f t="shared" si="152"/>
        <v>50</v>
      </c>
      <c r="LM45" s="186" t="str">
        <f t="shared" si="153"/>
        <v>50</v>
      </c>
      <c r="LN45" s="186">
        <f t="shared" si="293"/>
        <v>100</v>
      </c>
      <c r="LO45" s="186">
        <f t="shared" si="294"/>
        <v>33.3333333333333</v>
      </c>
      <c r="LP45" s="135" t="str">
        <f t="shared" si="154"/>
        <v>F</v>
      </c>
      <c r="LQ45" s="151" t="str">
        <f>VLOOKUP(RANK(LO45,$LO$10:$LO$109),Sheet1!$A$381:$B$480,2,FALSE)</f>
        <v>77th</v>
      </c>
      <c r="LR45" s="186"/>
      <c r="LS45" s="186"/>
      <c r="LT45" s="186">
        <f t="shared" si="155"/>
        <v>0</v>
      </c>
      <c r="LU45" s="186" t="str">
        <f t="shared" si="156"/>
        <v>55</v>
      </c>
      <c r="LV45" s="186" t="str">
        <f t="shared" si="157"/>
        <v>46</v>
      </c>
      <c r="LW45" s="186">
        <f t="shared" si="295"/>
        <v>101</v>
      </c>
      <c r="LX45" s="186">
        <f t="shared" si="296"/>
        <v>33.6666666666667</v>
      </c>
      <c r="LY45" s="135" t="str">
        <f t="shared" si="158"/>
        <v>F</v>
      </c>
      <c r="LZ45" s="151" t="str">
        <f>VLOOKUP(RANK(LX45,$LX$10:$LX$109),Sheet1!$A$381:$B$480,2,FALSE)</f>
        <v>53rd</v>
      </c>
      <c r="MA45" s="186"/>
      <c r="MB45" s="186"/>
      <c r="MC45" s="186">
        <f t="shared" si="159"/>
        <v>0</v>
      </c>
      <c r="MD45" s="186" t="str">
        <f t="shared" si="160"/>
        <v>26</v>
      </c>
      <c r="ME45" s="186" t="str">
        <f t="shared" si="161"/>
        <v>38</v>
      </c>
      <c r="MF45" s="183">
        <f t="shared" si="297"/>
        <v>64</v>
      </c>
      <c r="MG45" s="151">
        <f t="shared" si="298"/>
        <v>21.3333333333333</v>
      </c>
      <c r="MH45" s="135" t="str">
        <f t="shared" si="162"/>
        <v>F</v>
      </c>
      <c r="MI45" s="151" t="str">
        <f>VLOOKUP(RANK(MG45,$MG$10:$MG$109),Sheet1!$A$381:$B$480,2,FALSE)</f>
        <v>73rd</v>
      </c>
      <c r="MJ45" s="186"/>
      <c r="MK45" s="186"/>
      <c r="ML45" s="186">
        <f t="shared" si="163"/>
        <v>0</v>
      </c>
      <c r="MM45" s="186" t="str">
        <f t="shared" si="164"/>
        <v>53</v>
      </c>
      <c r="MN45" s="186" t="str">
        <f t="shared" si="165"/>
        <v>53</v>
      </c>
      <c r="MO45" s="186">
        <f t="shared" si="299"/>
        <v>106</v>
      </c>
      <c r="MP45" s="186">
        <f t="shared" si="300"/>
        <v>35.3333333333333</v>
      </c>
      <c r="MQ45" s="135" t="str">
        <f t="shared" si="166"/>
        <v>E</v>
      </c>
      <c r="MR45" s="151" t="str">
        <f>VLOOKUP(RANK(MP45,$MP$10:$MP$109),Sheet1!$A$381:$B$480,2,FALSE)</f>
        <v>6th</v>
      </c>
      <c r="MS45" s="186"/>
      <c r="MT45" s="186"/>
      <c r="MU45" s="186">
        <f t="shared" si="167"/>
        <v>0</v>
      </c>
      <c r="MV45" s="186" t="str">
        <f t="shared" si="168"/>
        <v>58</v>
      </c>
      <c r="MW45" s="186" t="str">
        <f t="shared" si="169"/>
        <v>51</v>
      </c>
      <c r="MX45" s="186">
        <f t="shared" si="301"/>
        <v>109</v>
      </c>
      <c r="MY45" s="186">
        <f t="shared" si="302"/>
        <v>36.3333333333333</v>
      </c>
      <c r="MZ45" s="135" t="str">
        <f t="shared" si="170"/>
        <v>E</v>
      </c>
      <c r="NA45" s="151" t="str">
        <f>VLOOKUP(RANK(MY45,$MY$10:$MY$109),Sheet1!$A$381:$B$480,2,FALSE)</f>
        <v>38th</v>
      </c>
      <c r="NB45" s="186"/>
      <c r="NC45" s="186"/>
      <c r="ND45" s="186">
        <f t="shared" si="171"/>
        <v>0</v>
      </c>
      <c r="NE45" s="186" t="str">
        <f t="shared" si="172"/>
        <v>38</v>
      </c>
      <c r="NF45" s="186" t="str">
        <f t="shared" si="173"/>
        <v>47</v>
      </c>
      <c r="NG45" s="186">
        <f t="shared" si="303"/>
        <v>85</v>
      </c>
      <c r="NH45" s="186">
        <f t="shared" si="304"/>
        <v>28.3333333333333</v>
      </c>
      <c r="NI45" s="135" t="str">
        <f t="shared" si="174"/>
        <v>F</v>
      </c>
      <c r="NJ45" s="151" t="str">
        <f>VLOOKUP(RANK(NH45,$NH$10:$NH$109),Sheet1!$A$381:$B$480,2,FALSE)</f>
        <v>38th</v>
      </c>
      <c r="NK45" s="186"/>
      <c r="NL45" s="186"/>
      <c r="NM45" s="186">
        <f t="shared" si="175"/>
        <v>0</v>
      </c>
      <c r="NN45" s="186" t="str">
        <f t="shared" si="176"/>
        <v>40</v>
      </c>
      <c r="NO45" s="186" t="str">
        <f t="shared" si="177"/>
        <v>58</v>
      </c>
      <c r="NP45" s="186">
        <f t="shared" si="305"/>
        <v>98</v>
      </c>
      <c r="NQ45" s="186">
        <f t="shared" si="263"/>
        <v>32.6666666666667</v>
      </c>
      <c r="NR45" s="135" t="str">
        <f t="shared" si="179"/>
        <v>F</v>
      </c>
      <c r="NS45" s="151" t="str">
        <f>VLOOKUP(RANK(NQ45,$NQ$10:$NQ$109),Sheet1!$A$381:$B$480,2,FALSE)</f>
        <v>94th</v>
      </c>
      <c r="NT45" s="186"/>
      <c r="NU45" s="186"/>
      <c r="NV45" s="186">
        <f t="shared" si="180"/>
        <v>0</v>
      </c>
      <c r="NW45" s="186" t="str">
        <f t="shared" si="181"/>
        <v>0</v>
      </c>
      <c r="NX45" s="186" t="str">
        <f t="shared" si="182"/>
        <v>0</v>
      </c>
      <c r="NY45" s="186">
        <f t="shared" si="306"/>
        <v>0</v>
      </c>
      <c r="NZ45" s="186">
        <f t="shared" si="264"/>
        <v>0</v>
      </c>
      <c r="OA45" s="135" t="str">
        <f t="shared" si="184"/>
        <v>F</v>
      </c>
      <c r="OB45" s="151" t="str">
        <f>VLOOKUP(RANK(NZ45,$NZ$10:$NZ$109),Sheet1!$A$381:$B$480,2,FALSE)</f>
        <v>1st</v>
      </c>
      <c r="OC45" s="186"/>
      <c r="OD45" s="186"/>
      <c r="OE45" s="186">
        <f t="shared" si="185"/>
        <v>0</v>
      </c>
      <c r="OF45" s="186" t="str">
        <f t="shared" si="186"/>
        <v>0</v>
      </c>
      <c r="OG45" s="186" t="str">
        <f t="shared" si="187"/>
        <v>0</v>
      </c>
      <c r="OH45" s="186">
        <f t="shared" si="307"/>
        <v>0</v>
      </c>
      <c r="OI45" s="186">
        <f t="shared" si="236"/>
        <v>0</v>
      </c>
      <c r="OJ45" s="135" t="str">
        <f t="shared" si="188"/>
        <v>F</v>
      </c>
      <c r="OK45" s="151" t="str">
        <f>VLOOKUP(RANK(OI45,$OI$10:$OI$109),Sheet1!$A$381:$B$480,2,FALSE)</f>
        <v>1st</v>
      </c>
      <c r="OL45" s="151"/>
      <c r="OM45" s="151"/>
      <c r="ON45" s="151">
        <f t="shared" si="308"/>
        <v>0</v>
      </c>
      <c r="OO45" s="151" t="str">
        <f t="shared" si="309"/>
        <v>0</v>
      </c>
      <c r="OP45" s="151" t="str">
        <f t="shared" si="310"/>
        <v>0</v>
      </c>
      <c r="OQ45" s="151">
        <f t="shared" si="311"/>
        <v>0</v>
      </c>
      <c r="OR45" s="151">
        <f t="shared" si="312"/>
        <v>0</v>
      </c>
      <c r="OS45" s="135" t="str">
        <f t="shared" si="189"/>
        <v>F</v>
      </c>
      <c r="OT45" s="151" t="str">
        <f>VLOOKUP(RANK(OR45,$OI$10:$OI$109),Sheet1!$A$381:$B$480,2,FALSE)</f>
        <v>1st</v>
      </c>
      <c r="OU45" s="151">
        <f t="shared" si="313"/>
        <v>408.66666666666703</v>
      </c>
      <c r="OV45" s="151">
        <f t="shared" si="314"/>
        <v>24.039215686274499</v>
      </c>
      <c r="OW45" s="151" t="str">
        <f>VLOOKUP(RANK(OV45,$OV$10:$OV$109),Sheet1!$A$381:$B$480,2,FALSE)</f>
        <v>52nd</v>
      </c>
      <c r="OX45" s="151"/>
      <c r="OY45" s="186"/>
      <c r="OZ45" s="186"/>
      <c r="PA45" s="186"/>
      <c r="PB45" s="186"/>
    </row>
    <row r="46" spans="1:418" s="118" customFormat="1" ht="18.75">
      <c r="A46" s="131">
        <v>37</v>
      </c>
      <c r="B46" s="132" t="s">
        <v>134</v>
      </c>
      <c r="C46" s="133" t="s">
        <v>97</v>
      </c>
      <c r="D46" s="134">
        <v>10</v>
      </c>
      <c r="E46" s="134">
        <v>50</v>
      </c>
      <c r="F46" s="137">
        <f t="shared" si="0"/>
        <v>60</v>
      </c>
      <c r="G46" s="137">
        <f t="shared" si="1"/>
        <v>60</v>
      </c>
      <c r="H46" s="135" t="str">
        <f t="shared" si="265"/>
        <v>B</v>
      </c>
      <c r="I46" s="135" t="str">
        <f>VLOOKUP(RANK(G46,$G$10:$G$109),Sheet1!$A$381:$B$480,2,FALSE)</f>
        <v>84th</v>
      </c>
      <c r="J46" s="134">
        <v>26</v>
      </c>
      <c r="K46" s="134">
        <v>25</v>
      </c>
      <c r="L46" s="137">
        <f t="shared" si="2"/>
        <v>51</v>
      </c>
      <c r="M46" s="137">
        <f t="shared" si="3"/>
        <v>51</v>
      </c>
      <c r="N46" s="135" t="str">
        <f t="shared" si="4"/>
        <v>C</v>
      </c>
      <c r="O46" s="141" t="str">
        <f>VLOOKUP(RANK(M46,$M$10:$M$109),Sheet1!$A$381:$B$480,2,FALSE)</f>
        <v>56th</v>
      </c>
      <c r="P46" s="144">
        <v>37</v>
      </c>
      <c r="Q46" s="144">
        <v>40</v>
      </c>
      <c r="R46" s="147">
        <f t="shared" si="5"/>
        <v>77</v>
      </c>
      <c r="S46" s="137">
        <f t="shared" si="6"/>
        <v>77</v>
      </c>
      <c r="T46" s="135" t="str">
        <f t="shared" si="7"/>
        <v>A</v>
      </c>
      <c r="U46" s="135" t="str">
        <f>VLOOKUP(RANK(S46,$S$10:$S$109),Sheet1!$A$381:$B$480,2,FALSE)</f>
        <v>2nd</v>
      </c>
      <c r="V46" s="134">
        <v>21</v>
      </c>
      <c r="W46" s="134">
        <v>47</v>
      </c>
      <c r="X46" s="137">
        <f t="shared" si="191"/>
        <v>68</v>
      </c>
      <c r="Y46" s="137">
        <f t="shared" si="244"/>
        <v>68</v>
      </c>
      <c r="Z46" s="135" t="str">
        <f t="shared" si="8"/>
        <v>B</v>
      </c>
      <c r="AA46" s="135" t="str">
        <f>VLOOKUP(RANK(Y46,$Y$10:$Y$109),Sheet1!$A$381:$B$480,2,FALSE)</f>
        <v>26th</v>
      </c>
      <c r="AB46" s="134">
        <v>35</v>
      </c>
      <c r="AC46" s="134">
        <v>50</v>
      </c>
      <c r="AD46" s="137">
        <f t="shared" si="9"/>
        <v>85</v>
      </c>
      <c r="AE46" s="137">
        <f t="shared" si="10"/>
        <v>85</v>
      </c>
      <c r="AF46" s="135" t="str">
        <f t="shared" si="11"/>
        <v>A</v>
      </c>
      <c r="AG46" s="135" t="str">
        <f>VLOOKUP(RANK(AE46,$AE$10:$AE$109),Sheet1!$A$381:$B$480,2,FALSE)</f>
        <v>9th</v>
      </c>
      <c r="AH46" s="137"/>
      <c r="AI46" s="137"/>
      <c r="AJ46" s="137">
        <f t="shared" si="12"/>
        <v>0</v>
      </c>
      <c r="AK46" s="137">
        <f t="shared" si="13"/>
        <v>0</v>
      </c>
      <c r="AL46" s="135" t="str">
        <f t="shared" si="14"/>
        <v>F</v>
      </c>
      <c r="AM46" s="135" t="str">
        <f>VLOOKUP(RANK(AK46,$AK$10:$AK$109),Sheet1!$A$381:$B$480,2,FALSE)</f>
        <v>1st</v>
      </c>
      <c r="AN46" s="134"/>
      <c r="AO46" s="134"/>
      <c r="AP46" s="137">
        <f t="shared" si="15"/>
        <v>0</v>
      </c>
      <c r="AQ46" s="137">
        <f t="shared" si="16"/>
        <v>0</v>
      </c>
      <c r="AR46" s="135" t="str">
        <f t="shared" si="17"/>
        <v>F</v>
      </c>
      <c r="AS46" s="135" t="str">
        <f>VLOOKUP(RANK(AQ46,$AQ$10:$AQ$109),Sheet1!$A$381:$B$480,2,FALSE)</f>
        <v>1st</v>
      </c>
      <c r="AT46" s="144">
        <v>24</v>
      </c>
      <c r="AU46" s="144">
        <v>31</v>
      </c>
      <c r="AV46" s="137">
        <f t="shared" si="18"/>
        <v>55</v>
      </c>
      <c r="AW46" s="137">
        <f t="shared" si="19"/>
        <v>55</v>
      </c>
      <c r="AX46" s="135" t="str">
        <f t="shared" si="20"/>
        <v>C</v>
      </c>
      <c r="AY46" s="141" t="str">
        <f>VLOOKUP(RANK(AW46,$AW$10:$AW$109),Sheet1!$A$381:$B$480,2,FALSE)</f>
        <v>21st</v>
      </c>
      <c r="AZ46" s="144">
        <v>31</v>
      </c>
      <c r="BA46" s="144">
        <v>13</v>
      </c>
      <c r="BB46" s="147">
        <f t="shared" si="21"/>
        <v>44</v>
      </c>
      <c r="BC46" s="137">
        <f t="shared" si="22"/>
        <v>44</v>
      </c>
      <c r="BD46" s="135" t="str">
        <f t="shared" si="23"/>
        <v>D</v>
      </c>
      <c r="BE46" s="135" t="str">
        <f>VLOOKUP(RANK(BC46,$BC$10:$BC$109),Sheet1!$A$381:$B$480,2,FALSE)</f>
        <v>79th</v>
      </c>
      <c r="BF46" s="144">
        <v>12</v>
      </c>
      <c r="BG46" s="144">
        <v>23</v>
      </c>
      <c r="BH46" s="137">
        <f t="shared" si="24"/>
        <v>35</v>
      </c>
      <c r="BI46" s="137">
        <f t="shared" si="25"/>
        <v>35</v>
      </c>
      <c r="BJ46" s="135" t="str">
        <f t="shared" si="26"/>
        <v>E</v>
      </c>
      <c r="BK46" s="141" t="str">
        <f>VLOOKUP(RANK(BI46,$BI$10:$BI$109),Sheet1!$A$381:$B$480,2,FALSE)</f>
        <v>48th</v>
      </c>
      <c r="BL46" s="149">
        <v>24</v>
      </c>
      <c r="BM46" s="149">
        <v>29</v>
      </c>
      <c r="BN46" s="147">
        <f t="shared" si="27"/>
        <v>53</v>
      </c>
      <c r="BO46" s="137">
        <f t="shared" si="28"/>
        <v>53</v>
      </c>
      <c r="BP46" s="135" t="str">
        <f t="shared" si="29"/>
        <v>C</v>
      </c>
      <c r="BQ46" s="141" t="str">
        <f>VLOOKUP(RANK(BO46,$BO$10:$BO$109),Sheet1!$A$381:$B$480,2,FALSE)</f>
        <v>36th</v>
      </c>
      <c r="BR46" s="149">
        <v>29</v>
      </c>
      <c r="BS46" s="149">
        <v>39</v>
      </c>
      <c r="BT46" s="147">
        <f t="shared" si="30"/>
        <v>68</v>
      </c>
      <c r="BU46" s="137">
        <f t="shared" si="31"/>
        <v>68</v>
      </c>
      <c r="BV46" s="135" t="str">
        <f t="shared" si="32"/>
        <v>B</v>
      </c>
      <c r="BW46" s="135" t="str">
        <f>VLOOKUP(RANK(BU46,$BU$10:$BU$109),Sheet1!$A$381:$B$480,2,FALSE)</f>
        <v>16th</v>
      </c>
      <c r="BX46" s="149">
        <v>27</v>
      </c>
      <c r="BY46" s="149">
        <v>12</v>
      </c>
      <c r="BZ46" s="137">
        <f t="shared" si="33"/>
        <v>39</v>
      </c>
      <c r="CA46" s="137">
        <f t="shared" si="34"/>
        <v>39</v>
      </c>
      <c r="CB46" s="135" t="str">
        <f t="shared" si="35"/>
        <v>E</v>
      </c>
      <c r="CC46" s="135" t="str">
        <f>VLOOKUP(RANK(CA46,$CA$10:$CA$109),Sheet1!$A$381:$B$480,2,FALSE)</f>
        <v>53rd</v>
      </c>
      <c r="CD46" s="149">
        <v>30</v>
      </c>
      <c r="CE46" s="149">
        <v>40</v>
      </c>
      <c r="CF46" s="137">
        <f t="shared" si="36"/>
        <v>70</v>
      </c>
      <c r="CG46" s="137">
        <f t="shared" si="37"/>
        <v>70</v>
      </c>
      <c r="CH46" s="135" t="str">
        <f t="shared" si="38"/>
        <v>B</v>
      </c>
      <c r="CI46" s="135" t="str">
        <f>VLOOKUP(RANK(CG46,$CG$10:$CG$109),Sheet1!$A$381:$B$480,2,FALSE)</f>
        <v>17th</v>
      </c>
      <c r="CJ46" s="137"/>
      <c r="CK46" s="137"/>
      <c r="CL46" s="137">
        <f t="shared" si="39"/>
        <v>0</v>
      </c>
      <c r="CM46" s="137">
        <f t="shared" si="40"/>
        <v>0</v>
      </c>
      <c r="CN46" s="135" t="str">
        <f t="shared" si="41"/>
        <v>F</v>
      </c>
      <c r="CO46" s="135" t="str">
        <f>VLOOKUP(RANK(CM46,$CM$10:$CM$109),Sheet1!$A$381:$B$480,2,FALSE)</f>
        <v>1st</v>
      </c>
      <c r="CP46" s="137"/>
      <c r="CQ46" s="137"/>
      <c r="CR46" s="137">
        <f t="shared" si="42"/>
        <v>0</v>
      </c>
      <c r="CS46" s="137">
        <f t="shared" si="43"/>
        <v>0</v>
      </c>
      <c r="CT46" s="135" t="str">
        <f t="shared" si="44"/>
        <v>F</v>
      </c>
      <c r="CU46" s="135" t="str">
        <f>VLOOKUP(RANK(CS46,$CS$10:$CS$109),Sheet1!$A$381:$B$480,2,FALSE)</f>
        <v>1st</v>
      </c>
      <c r="CV46" s="151"/>
      <c r="CW46" s="135"/>
      <c r="CX46" s="151">
        <f t="shared" si="266"/>
        <v>0</v>
      </c>
      <c r="CY46" s="151">
        <f t="shared" si="267"/>
        <v>0</v>
      </c>
      <c r="CZ46" s="135" t="str">
        <f t="shared" si="45"/>
        <v>F</v>
      </c>
      <c r="DA46" s="135" t="str">
        <f>VLOOKUP(RANK(CY46,$CY$10:$CY$109),Sheet1!$A$381:$B$480,2,FALSE)</f>
        <v>1st</v>
      </c>
      <c r="DB46" s="135"/>
      <c r="DC46" s="151">
        <f t="shared" si="268"/>
        <v>705</v>
      </c>
      <c r="DD46" s="151">
        <f t="shared" si="269"/>
        <v>41.470588235294102</v>
      </c>
      <c r="DE46" s="135" t="str">
        <f>VLOOKUP(RANK(DD46,$DD$10:$DD$109),Sheet1!$A$381:$B$480,2,FALSE)</f>
        <v>21st</v>
      </c>
      <c r="DF46" s="137"/>
      <c r="DG46" s="160">
        <f t="shared" si="46"/>
        <v>746.47058823529403</v>
      </c>
      <c r="DH46" s="119"/>
      <c r="DI46" s="162">
        <v>28</v>
      </c>
      <c r="DJ46" s="162">
        <v>28</v>
      </c>
      <c r="DK46" s="137">
        <f t="shared" si="47"/>
        <v>56</v>
      </c>
      <c r="DL46" s="137" t="str">
        <f t="shared" si="245"/>
        <v>60</v>
      </c>
      <c r="DM46" s="137">
        <f t="shared" si="49"/>
        <v>116</v>
      </c>
      <c r="DN46" s="137">
        <f t="shared" si="50"/>
        <v>58</v>
      </c>
      <c r="DO46" s="135" t="str">
        <f t="shared" si="51"/>
        <v>C</v>
      </c>
      <c r="DP46" s="135" t="str">
        <f>VLOOKUP(RANK(DN46,$DN$10:$DN$109),Sheet1!$A$381:$B$480,2,FALSE)</f>
        <v>78th</v>
      </c>
      <c r="DQ46" s="166">
        <v>24</v>
      </c>
      <c r="DR46" s="166">
        <v>27</v>
      </c>
      <c r="DS46" s="137">
        <f t="shared" si="52"/>
        <v>51</v>
      </c>
      <c r="DT46" s="137" t="str">
        <f t="shared" si="246"/>
        <v>51</v>
      </c>
      <c r="DU46" s="137">
        <f t="shared" si="54"/>
        <v>102</v>
      </c>
      <c r="DV46" s="137">
        <f t="shared" si="247"/>
        <v>51</v>
      </c>
      <c r="DW46" s="135" t="str">
        <f t="shared" si="56"/>
        <v>C</v>
      </c>
      <c r="DX46" s="135" t="str">
        <f>VLOOKUP(RANK(DV46,$DV$10:$DV$109),Sheet1!$A$381:$B$480,2,FALSE)</f>
        <v>40th</v>
      </c>
      <c r="DY46" s="168">
        <v>24</v>
      </c>
      <c r="DZ46" s="168">
        <v>21</v>
      </c>
      <c r="EA46" s="137">
        <f t="shared" si="57"/>
        <v>45</v>
      </c>
      <c r="EB46" s="137" t="str">
        <f t="shared" si="248"/>
        <v>77</v>
      </c>
      <c r="EC46" s="137">
        <f t="shared" si="59"/>
        <v>122</v>
      </c>
      <c r="ED46" s="137">
        <f t="shared" si="60"/>
        <v>61</v>
      </c>
      <c r="EE46" s="135" t="str">
        <f t="shared" si="61"/>
        <v>B</v>
      </c>
      <c r="EF46" s="135" t="str">
        <f>VLOOKUP(RANK(ED46,$ED$10:$ED$109),Sheet1!$A$381:$B$480,2,FALSE)</f>
        <v>8th</v>
      </c>
      <c r="EG46" s="162">
        <v>10</v>
      </c>
      <c r="EH46" s="162">
        <v>28</v>
      </c>
      <c r="EI46" s="137">
        <f t="shared" si="62"/>
        <v>38</v>
      </c>
      <c r="EJ46" s="137" t="str">
        <f t="shared" si="249"/>
        <v>68</v>
      </c>
      <c r="EK46" s="137">
        <f t="shared" si="64"/>
        <v>106</v>
      </c>
      <c r="EL46" s="137">
        <f t="shared" si="65"/>
        <v>53</v>
      </c>
      <c r="EM46" s="135" t="str">
        <f t="shared" si="66"/>
        <v>C</v>
      </c>
      <c r="EN46" s="135" t="str">
        <f>VLOOKUP(RANK(EL46,$EL$10:$EL$109),Sheet1!$A$381:$B$480,2,FALSE)</f>
        <v>53rd</v>
      </c>
      <c r="EO46" s="162">
        <v>22</v>
      </c>
      <c r="EP46" s="162">
        <v>22</v>
      </c>
      <c r="EQ46" s="137">
        <f t="shared" si="67"/>
        <v>44</v>
      </c>
      <c r="ER46" s="137" t="str">
        <f t="shared" si="250"/>
        <v>85</v>
      </c>
      <c r="ES46" s="137">
        <f t="shared" si="69"/>
        <v>129</v>
      </c>
      <c r="ET46" s="137">
        <f t="shared" si="70"/>
        <v>64.5</v>
      </c>
      <c r="EU46" s="135" t="str">
        <f t="shared" si="71"/>
        <v>B</v>
      </c>
      <c r="EV46" s="135" t="str">
        <f>VLOOKUP(RANK(ET46,$ET$10:$ET$109),Sheet1!$A$381:$B$480,2,FALSE)</f>
        <v>30th</v>
      </c>
      <c r="EW46" s="137"/>
      <c r="EX46" s="137"/>
      <c r="EY46" s="137">
        <f t="shared" si="72"/>
        <v>0</v>
      </c>
      <c r="EZ46" s="137" t="str">
        <f t="shared" si="251"/>
        <v>0</v>
      </c>
      <c r="FA46" s="137">
        <f t="shared" si="74"/>
        <v>0</v>
      </c>
      <c r="FB46" s="137">
        <f t="shared" si="75"/>
        <v>0</v>
      </c>
      <c r="FC46" s="135" t="str">
        <f t="shared" si="76"/>
        <v>F</v>
      </c>
      <c r="FD46" s="135" t="str">
        <f>VLOOKUP(RANK(FB46,$FB$10:$FB$109),Sheet1!$A$381:$B$480,2,FALSE)</f>
        <v>1st</v>
      </c>
      <c r="FE46" s="137"/>
      <c r="FF46" s="137"/>
      <c r="FG46" s="137">
        <f t="shared" si="77"/>
        <v>0</v>
      </c>
      <c r="FH46" s="137" t="str">
        <f t="shared" si="252"/>
        <v>0</v>
      </c>
      <c r="FI46" s="137">
        <f t="shared" si="79"/>
        <v>0</v>
      </c>
      <c r="FJ46" s="137">
        <f t="shared" si="80"/>
        <v>0</v>
      </c>
      <c r="FK46" s="135" t="str">
        <f t="shared" si="81"/>
        <v>F</v>
      </c>
      <c r="FL46" s="135" t="str">
        <f>VLOOKUP(RANK(FJ46,$FJ$10:$FJ$109),Sheet1!$A$381:$B$480,2,FALSE)</f>
        <v>1st</v>
      </c>
      <c r="FM46" s="166">
        <v>28</v>
      </c>
      <c r="FN46" s="166">
        <v>22</v>
      </c>
      <c r="FO46" s="137">
        <f t="shared" si="82"/>
        <v>50</v>
      </c>
      <c r="FP46" s="137" t="str">
        <f t="shared" si="253"/>
        <v>55</v>
      </c>
      <c r="FQ46" s="137">
        <f t="shared" si="84"/>
        <v>105</v>
      </c>
      <c r="FR46" s="137">
        <f t="shared" si="85"/>
        <v>52.5</v>
      </c>
      <c r="FS46" s="135" t="str">
        <f t="shared" si="86"/>
        <v>C</v>
      </c>
      <c r="FT46" s="135" t="str">
        <f>VLOOKUP(RANK(FR46,$FR$10:$FR$109),Sheet1!$A$381:$B$480,2,FALSE)</f>
        <v>40th</v>
      </c>
      <c r="FU46" s="149">
        <v>10</v>
      </c>
      <c r="FV46" s="149">
        <v>30</v>
      </c>
      <c r="FW46" s="137">
        <f t="shared" si="87"/>
        <v>40</v>
      </c>
      <c r="FX46" s="137" t="str">
        <f t="shared" si="254"/>
        <v>44</v>
      </c>
      <c r="FY46" s="137">
        <f t="shared" si="196"/>
        <v>40</v>
      </c>
      <c r="FZ46" s="137">
        <f t="shared" si="89"/>
        <v>20</v>
      </c>
      <c r="GA46" s="135" t="str">
        <f t="shared" si="90"/>
        <v>F</v>
      </c>
      <c r="GB46" s="135" t="str">
        <f>VLOOKUP(RANK(FZ46,$FZ$10:$FZ$109),Sheet1!$A$381:$B$480,2,FALSE)</f>
        <v>76th</v>
      </c>
      <c r="GC46" s="166">
        <v>5</v>
      </c>
      <c r="GD46" s="166">
        <v>24</v>
      </c>
      <c r="GE46" s="137">
        <f t="shared" si="91"/>
        <v>29</v>
      </c>
      <c r="GF46" s="137" t="str">
        <f t="shared" si="255"/>
        <v>35</v>
      </c>
      <c r="GG46" s="135">
        <f t="shared" si="270"/>
        <v>64</v>
      </c>
      <c r="GH46" s="137">
        <f t="shared" si="271"/>
        <v>32</v>
      </c>
      <c r="GI46" s="135" t="str">
        <f t="shared" si="93"/>
        <v>F</v>
      </c>
      <c r="GJ46" s="135" t="str">
        <f>VLOOKUP(RANK(GH46,$GH$10:$GH$109),Sheet1!$A$381:$B$480,2,FALSE)</f>
        <v>73rd</v>
      </c>
      <c r="GK46" s="166">
        <v>27</v>
      </c>
      <c r="GL46" s="166">
        <v>23</v>
      </c>
      <c r="GM46" s="137">
        <f t="shared" si="94"/>
        <v>50</v>
      </c>
      <c r="GN46" s="137" t="str">
        <f t="shared" si="256"/>
        <v>53</v>
      </c>
      <c r="GO46" s="135">
        <f t="shared" si="272"/>
        <v>103</v>
      </c>
      <c r="GP46" s="137">
        <f t="shared" si="96"/>
        <v>51.5</v>
      </c>
      <c r="GQ46" s="135" t="str">
        <f t="shared" si="97"/>
        <v>C</v>
      </c>
      <c r="GR46" s="135" t="str">
        <f>VLOOKUP(RANK(GP46,$GP$10:$GP$109),Sheet1!$A$381:$B$480,2,FALSE)</f>
        <v>12th</v>
      </c>
      <c r="GS46" s="166">
        <v>18</v>
      </c>
      <c r="GT46" s="166">
        <v>15</v>
      </c>
      <c r="GU46" s="137">
        <f t="shared" si="98"/>
        <v>33</v>
      </c>
      <c r="GV46" s="137" t="str">
        <f t="shared" si="257"/>
        <v>68</v>
      </c>
      <c r="GW46" s="137">
        <f t="shared" si="100"/>
        <v>101</v>
      </c>
      <c r="GX46" s="137">
        <f t="shared" si="101"/>
        <v>50.5</v>
      </c>
      <c r="GY46" s="135" t="str">
        <f t="shared" si="102"/>
        <v>C</v>
      </c>
      <c r="GZ46" s="135" t="str">
        <f>VLOOKUP(RANK(GX46,$GX$10:$GX$109),Sheet1!$A$381:$B$480,2,FALSE)</f>
        <v>48th</v>
      </c>
      <c r="HA46" s="166">
        <v>29</v>
      </c>
      <c r="HB46" s="166">
        <v>17</v>
      </c>
      <c r="HC46" s="137">
        <f t="shared" si="103"/>
        <v>46</v>
      </c>
      <c r="HD46" s="137" t="str">
        <f t="shared" si="258"/>
        <v>39</v>
      </c>
      <c r="HE46" s="137">
        <f t="shared" si="105"/>
        <v>85</v>
      </c>
      <c r="HF46" s="137">
        <f t="shared" si="106"/>
        <v>42.5</v>
      </c>
      <c r="HG46" s="135" t="str">
        <f t="shared" si="107"/>
        <v>D</v>
      </c>
      <c r="HH46" s="135" t="str">
        <f>VLOOKUP(RANK(HF46,$HF$10:$HF$109),Sheet1!$A$381:$B$480,2,FALSE)</f>
        <v>38th</v>
      </c>
      <c r="HI46" s="149">
        <v>30</v>
      </c>
      <c r="HJ46" s="149">
        <v>54</v>
      </c>
      <c r="HK46" s="137">
        <f t="shared" si="108"/>
        <v>84</v>
      </c>
      <c r="HL46" s="137" t="str">
        <f t="shared" si="259"/>
        <v>70</v>
      </c>
      <c r="HM46" s="137">
        <f t="shared" si="110"/>
        <v>154</v>
      </c>
      <c r="HN46" s="137">
        <f t="shared" si="111"/>
        <v>77</v>
      </c>
      <c r="HO46" s="135" t="str">
        <f t="shared" si="112"/>
        <v>A</v>
      </c>
      <c r="HP46" s="135" t="str">
        <f>VLOOKUP(RANK(HN46,$HN$10:$HN$109),Sheet1!$A$381:$B$480,2,FALSE)</f>
        <v>9th</v>
      </c>
      <c r="HQ46" s="137"/>
      <c r="HR46" s="137"/>
      <c r="HS46" s="137">
        <f t="shared" si="113"/>
        <v>0</v>
      </c>
      <c r="HT46" s="137" t="str">
        <f t="shared" si="260"/>
        <v>0</v>
      </c>
      <c r="HU46" s="137">
        <f t="shared" si="115"/>
        <v>0</v>
      </c>
      <c r="HV46" s="137">
        <f t="shared" si="116"/>
        <v>0</v>
      </c>
      <c r="HW46" s="135" t="str">
        <f t="shared" si="117"/>
        <v>F</v>
      </c>
      <c r="HX46" s="135" t="str">
        <f>VLOOKUP(RANK(HV46,$HV$10:$HV$109),Sheet1!$A$381:$B$480,2,FALSE)</f>
        <v>1st</v>
      </c>
      <c r="HY46" s="137"/>
      <c r="HZ46" s="137"/>
      <c r="IA46" s="137">
        <f t="shared" si="261"/>
        <v>0</v>
      </c>
      <c r="IB46" s="137" t="str">
        <f t="shared" si="262"/>
        <v>0</v>
      </c>
      <c r="IC46" s="137">
        <f t="shared" si="120"/>
        <v>0</v>
      </c>
      <c r="ID46" s="137">
        <f t="shared" si="121"/>
        <v>0</v>
      </c>
      <c r="IE46" s="135" t="str">
        <f t="shared" si="122"/>
        <v>F</v>
      </c>
      <c r="IF46" s="135" t="str">
        <f>VLOOKUP(RANK(ID46,$ID$10:$ID$109),Sheet1!$A$381:$B$480,2,FALSE)</f>
        <v>1st</v>
      </c>
      <c r="IG46" s="135"/>
      <c r="IH46" s="135"/>
      <c r="II46" s="135">
        <f t="shared" si="273"/>
        <v>0</v>
      </c>
      <c r="IJ46" s="135" t="str">
        <f t="shared" si="274"/>
        <v>0</v>
      </c>
      <c r="IK46" s="135">
        <f t="shared" si="275"/>
        <v>0</v>
      </c>
      <c r="IL46" s="135">
        <f t="shared" si="276"/>
        <v>0</v>
      </c>
      <c r="IM46" s="135" t="str">
        <f t="shared" si="123"/>
        <v>F</v>
      </c>
      <c r="IN46" s="135" t="str">
        <f>VLOOKUP(RANK(IL46,$IL$10:$IL$109),Sheet1!$A$381:$B$480,2,FALSE)</f>
        <v>1st</v>
      </c>
      <c r="IO46" s="135">
        <f t="shared" si="277"/>
        <v>613.5</v>
      </c>
      <c r="IP46" s="177">
        <f t="shared" si="278"/>
        <v>36.088235294117602</v>
      </c>
      <c r="IQ46" s="135" t="str">
        <f>VLOOKUP(RANK(IP46,$IP$10:$IP$109),Sheet1!$A$381:$B$480,2,FALSE)</f>
        <v>43rd</v>
      </c>
      <c r="IR46" s="178"/>
      <c r="IS46" s="137"/>
      <c r="IT46" s="137"/>
      <c r="IU46" s="137"/>
      <c r="IV46" s="137"/>
      <c r="IW46" s="181"/>
      <c r="IX46" s="184"/>
      <c r="IY46" s="186"/>
      <c r="IZ46" s="186">
        <f t="shared" si="206"/>
        <v>0</v>
      </c>
      <c r="JA46" s="186" t="str">
        <f t="shared" si="124"/>
        <v>60</v>
      </c>
      <c r="JB46" s="186" t="str">
        <f t="shared" si="125"/>
        <v>56</v>
      </c>
      <c r="JC46" s="186">
        <f t="shared" si="279"/>
        <v>116</v>
      </c>
      <c r="JD46" s="186">
        <f t="shared" si="280"/>
        <v>38.6666666666667</v>
      </c>
      <c r="JE46" s="135" t="str">
        <f t="shared" si="126"/>
        <v>E</v>
      </c>
      <c r="JF46" s="151" t="str">
        <f>VLOOKUP(RANK(JD46,$JD$10:$JD$109),Sheet1!$A$381:$B$480,2,FALSE)</f>
        <v>78th</v>
      </c>
      <c r="JG46" s="186"/>
      <c r="JH46" s="186"/>
      <c r="JI46" s="186">
        <f t="shared" si="127"/>
        <v>0</v>
      </c>
      <c r="JJ46" s="186" t="str">
        <f t="shared" si="128"/>
        <v>51</v>
      </c>
      <c r="JK46" s="186" t="str">
        <f t="shared" si="129"/>
        <v>51</v>
      </c>
      <c r="JL46" s="186">
        <f t="shared" si="281"/>
        <v>102</v>
      </c>
      <c r="JM46" s="186">
        <f t="shared" si="282"/>
        <v>34</v>
      </c>
      <c r="JN46" s="135" t="str">
        <f t="shared" si="130"/>
        <v>F</v>
      </c>
      <c r="JO46" s="151" t="str">
        <f>VLOOKUP(RANK(JM46,$JM$10:$JM$109),Sheet1!$A$381:$B$480,2,FALSE)</f>
        <v>40th</v>
      </c>
      <c r="JP46" s="186"/>
      <c r="JQ46" s="186"/>
      <c r="JR46" s="186">
        <f t="shared" si="131"/>
        <v>0</v>
      </c>
      <c r="JS46" s="186" t="str">
        <f t="shared" si="132"/>
        <v>77</v>
      </c>
      <c r="JT46" s="186" t="str">
        <f t="shared" si="133"/>
        <v>45</v>
      </c>
      <c r="JU46" s="186">
        <f t="shared" si="283"/>
        <v>122</v>
      </c>
      <c r="JV46" s="186">
        <f t="shared" si="284"/>
        <v>40.6666666666667</v>
      </c>
      <c r="JW46" s="135" t="str">
        <f t="shared" si="134"/>
        <v>D</v>
      </c>
      <c r="JX46" s="151" t="str">
        <f>VLOOKUP(RANK(JV46,$JV$10:$JV$109),Sheet1!$A$381:$B$480,2,FALSE)</f>
        <v>8th</v>
      </c>
      <c r="JY46" s="186"/>
      <c r="JZ46" s="186"/>
      <c r="KA46" s="186">
        <f t="shared" si="135"/>
        <v>0</v>
      </c>
      <c r="KB46" s="186" t="str">
        <f t="shared" si="136"/>
        <v>68</v>
      </c>
      <c r="KC46" s="186" t="str">
        <f t="shared" si="137"/>
        <v>38</v>
      </c>
      <c r="KD46" s="186">
        <f t="shared" si="285"/>
        <v>106</v>
      </c>
      <c r="KE46" s="186">
        <f t="shared" si="286"/>
        <v>35.3333333333333</v>
      </c>
      <c r="KF46" s="135" t="str">
        <f t="shared" si="138"/>
        <v>E</v>
      </c>
      <c r="KG46" s="151" t="str">
        <f>VLOOKUP(RANK(KE46,$KE$10:$KE$109),Sheet1!$A$381:$B$480,2,FALSE)</f>
        <v>53rd</v>
      </c>
      <c r="KH46" s="186"/>
      <c r="KI46" s="186"/>
      <c r="KJ46" s="186">
        <f t="shared" si="139"/>
        <v>0</v>
      </c>
      <c r="KK46" s="186" t="str">
        <f t="shared" si="140"/>
        <v>85</v>
      </c>
      <c r="KL46" s="186" t="str">
        <f t="shared" si="141"/>
        <v>44</v>
      </c>
      <c r="KM46" s="186">
        <f t="shared" si="287"/>
        <v>129</v>
      </c>
      <c r="KN46" s="186">
        <f t="shared" si="288"/>
        <v>43</v>
      </c>
      <c r="KO46" s="135" t="str">
        <f t="shared" si="142"/>
        <v>D</v>
      </c>
      <c r="KP46" s="151" t="str">
        <f>VLOOKUP(RANK(KN46,$KN$10:$KN$109),Sheet1!$A$381:$B$480,2,FALSE)</f>
        <v>30th</v>
      </c>
      <c r="KQ46" s="186"/>
      <c r="KR46" s="186"/>
      <c r="KS46" s="186">
        <f t="shared" si="143"/>
        <v>0</v>
      </c>
      <c r="KT46" s="186" t="str">
        <f t="shared" si="144"/>
        <v>0</v>
      </c>
      <c r="KU46" s="186" t="str">
        <f t="shared" si="145"/>
        <v>0</v>
      </c>
      <c r="KV46" s="186">
        <f t="shared" si="289"/>
        <v>0</v>
      </c>
      <c r="KW46" s="186">
        <f t="shared" si="290"/>
        <v>0</v>
      </c>
      <c r="KX46" s="135" t="str">
        <f t="shared" si="146"/>
        <v>F</v>
      </c>
      <c r="KY46" s="151" t="str">
        <f>VLOOKUP(RANK(KW46,$KW$10:$KW$109),Sheet1!$A$381:$B$480,2,FALSE)</f>
        <v>1st</v>
      </c>
      <c r="KZ46" s="186"/>
      <c r="LA46" s="186"/>
      <c r="LB46" s="186">
        <f t="shared" si="147"/>
        <v>0</v>
      </c>
      <c r="LC46" s="186" t="str">
        <f t="shared" si="148"/>
        <v>0</v>
      </c>
      <c r="LD46" s="186" t="str">
        <f t="shared" si="149"/>
        <v>0</v>
      </c>
      <c r="LE46" s="186">
        <f t="shared" si="291"/>
        <v>0</v>
      </c>
      <c r="LF46" s="186">
        <f t="shared" si="292"/>
        <v>0</v>
      </c>
      <c r="LG46" s="135" t="str">
        <f t="shared" si="150"/>
        <v>F</v>
      </c>
      <c r="LH46" s="151" t="str">
        <f>VLOOKUP(RANK(LF46,$LF$10:$LF$109),Sheet1!$A$381:$B$480,2,FALSE)</f>
        <v>1st</v>
      </c>
      <c r="LI46" s="186"/>
      <c r="LJ46" s="186"/>
      <c r="LK46" s="186">
        <f t="shared" si="151"/>
        <v>0</v>
      </c>
      <c r="LL46" s="186" t="str">
        <f t="shared" si="152"/>
        <v>55</v>
      </c>
      <c r="LM46" s="186" t="str">
        <f t="shared" si="153"/>
        <v>50</v>
      </c>
      <c r="LN46" s="186">
        <f t="shared" si="293"/>
        <v>105</v>
      </c>
      <c r="LO46" s="186">
        <f t="shared" si="294"/>
        <v>35</v>
      </c>
      <c r="LP46" s="135" t="str">
        <f t="shared" si="154"/>
        <v>E</v>
      </c>
      <c r="LQ46" s="151" t="str">
        <f>VLOOKUP(RANK(LO46,$LO$10:$LO$109),Sheet1!$A$381:$B$480,2,FALSE)</f>
        <v>40th</v>
      </c>
      <c r="LR46" s="186"/>
      <c r="LS46" s="186"/>
      <c r="LT46" s="186">
        <f t="shared" si="155"/>
        <v>0</v>
      </c>
      <c r="LU46" s="186" t="str">
        <f t="shared" si="156"/>
        <v>44</v>
      </c>
      <c r="LV46" s="186" t="str">
        <f t="shared" si="157"/>
        <v>40</v>
      </c>
      <c r="LW46" s="186">
        <f t="shared" si="295"/>
        <v>84</v>
      </c>
      <c r="LX46" s="186">
        <f t="shared" si="296"/>
        <v>28</v>
      </c>
      <c r="LY46" s="135" t="str">
        <f t="shared" si="158"/>
        <v>F</v>
      </c>
      <c r="LZ46" s="151" t="str">
        <f>VLOOKUP(RANK(LX46,$LX$10:$LX$109),Sheet1!$A$381:$B$480,2,FALSE)</f>
        <v>81st</v>
      </c>
      <c r="MA46" s="186"/>
      <c r="MB46" s="186"/>
      <c r="MC46" s="186">
        <f t="shared" si="159"/>
        <v>0</v>
      </c>
      <c r="MD46" s="186" t="str">
        <f t="shared" si="160"/>
        <v>35</v>
      </c>
      <c r="ME46" s="186" t="str">
        <f t="shared" si="161"/>
        <v>29</v>
      </c>
      <c r="MF46" s="183">
        <f t="shared" si="297"/>
        <v>64</v>
      </c>
      <c r="MG46" s="151">
        <f t="shared" si="298"/>
        <v>21.3333333333333</v>
      </c>
      <c r="MH46" s="135" t="str">
        <f t="shared" si="162"/>
        <v>F</v>
      </c>
      <c r="MI46" s="151" t="str">
        <f>VLOOKUP(RANK(MG46,$MG$10:$MG$109),Sheet1!$A$381:$B$480,2,FALSE)</f>
        <v>73rd</v>
      </c>
      <c r="MJ46" s="186"/>
      <c r="MK46" s="186"/>
      <c r="ML46" s="186">
        <f t="shared" si="163"/>
        <v>0</v>
      </c>
      <c r="MM46" s="186" t="str">
        <f t="shared" si="164"/>
        <v>53</v>
      </c>
      <c r="MN46" s="186" t="str">
        <f t="shared" si="165"/>
        <v>50</v>
      </c>
      <c r="MO46" s="186">
        <f t="shared" si="299"/>
        <v>103</v>
      </c>
      <c r="MP46" s="186">
        <f t="shared" si="300"/>
        <v>34.3333333333333</v>
      </c>
      <c r="MQ46" s="135" t="str">
        <f t="shared" si="166"/>
        <v>F</v>
      </c>
      <c r="MR46" s="151" t="str">
        <f>VLOOKUP(RANK(MP46,$MP$10:$MP$109),Sheet1!$A$381:$B$480,2,FALSE)</f>
        <v>12th</v>
      </c>
      <c r="MS46" s="186"/>
      <c r="MT46" s="186"/>
      <c r="MU46" s="186">
        <f t="shared" si="167"/>
        <v>0</v>
      </c>
      <c r="MV46" s="186" t="str">
        <f t="shared" si="168"/>
        <v>68</v>
      </c>
      <c r="MW46" s="186" t="str">
        <f t="shared" si="169"/>
        <v>33</v>
      </c>
      <c r="MX46" s="186">
        <f t="shared" si="301"/>
        <v>101</v>
      </c>
      <c r="MY46" s="186">
        <f t="shared" si="302"/>
        <v>33.6666666666667</v>
      </c>
      <c r="MZ46" s="135" t="str">
        <f t="shared" si="170"/>
        <v>F</v>
      </c>
      <c r="NA46" s="151" t="str">
        <f>VLOOKUP(RANK(MY46,$MY$10:$MY$109),Sheet1!$A$381:$B$480,2,FALSE)</f>
        <v>48th</v>
      </c>
      <c r="NB46" s="186"/>
      <c r="NC46" s="186"/>
      <c r="ND46" s="186">
        <f t="shared" si="171"/>
        <v>0</v>
      </c>
      <c r="NE46" s="186" t="str">
        <f t="shared" si="172"/>
        <v>39</v>
      </c>
      <c r="NF46" s="186" t="str">
        <f t="shared" si="173"/>
        <v>46</v>
      </c>
      <c r="NG46" s="186">
        <f t="shared" si="303"/>
        <v>85</v>
      </c>
      <c r="NH46" s="186">
        <f t="shared" si="304"/>
        <v>28.3333333333333</v>
      </c>
      <c r="NI46" s="135" t="str">
        <f t="shared" si="174"/>
        <v>F</v>
      </c>
      <c r="NJ46" s="151" t="str">
        <f>VLOOKUP(RANK(NH46,$NH$10:$NH$109),Sheet1!$A$381:$B$480,2,FALSE)</f>
        <v>38th</v>
      </c>
      <c r="NK46" s="186"/>
      <c r="NL46" s="186"/>
      <c r="NM46" s="186">
        <f t="shared" si="175"/>
        <v>0</v>
      </c>
      <c r="NN46" s="186" t="str">
        <f t="shared" si="176"/>
        <v>70</v>
      </c>
      <c r="NO46" s="186" t="str">
        <f t="shared" si="177"/>
        <v>84</v>
      </c>
      <c r="NP46" s="186">
        <f t="shared" si="305"/>
        <v>154</v>
      </c>
      <c r="NQ46" s="186">
        <f t="shared" si="263"/>
        <v>51.3333333333333</v>
      </c>
      <c r="NR46" s="135" t="str">
        <f t="shared" si="179"/>
        <v>C</v>
      </c>
      <c r="NS46" s="151" t="str">
        <f>VLOOKUP(RANK(NQ46,$NQ$10:$NQ$109),Sheet1!$A$381:$B$480,2,FALSE)</f>
        <v>9th</v>
      </c>
      <c r="NT46" s="186"/>
      <c r="NU46" s="186"/>
      <c r="NV46" s="186">
        <f t="shared" si="180"/>
        <v>0</v>
      </c>
      <c r="NW46" s="186" t="str">
        <f t="shared" si="181"/>
        <v>0</v>
      </c>
      <c r="NX46" s="186" t="str">
        <f t="shared" si="182"/>
        <v>0</v>
      </c>
      <c r="NY46" s="186">
        <f t="shared" si="306"/>
        <v>0</v>
      </c>
      <c r="NZ46" s="186">
        <f t="shared" si="264"/>
        <v>0</v>
      </c>
      <c r="OA46" s="135" t="str">
        <f t="shared" si="184"/>
        <v>F</v>
      </c>
      <c r="OB46" s="151" t="str">
        <f>VLOOKUP(RANK(NZ46,$NZ$10:$NZ$109),Sheet1!$A$381:$B$480,2,FALSE)</f>
        <v>1st</v>
      </c>
      <c r="OC46" s="186"/>
      <c r="OD46" s="186"/>
      <c r="OE46" s="186">
        <f t="shared" si="185"/>
        <v>0</v>
      </c>
      <c r="OF46" s="186" t="str">
        <f t="shared" si="186"/>
        <v>0</v>
      </c>
      <c r="OG46" s="186" t="str">
        <f t="shared" si="187"/>
        <v>0</v>
      </c>
      <c r="OH46" s="186">
        <f t="shared" si="307"/>
        <v>0</v>
      </c>
      <c r="OI46" s="186">
        <f t="shared" si="236"/>
        <v>0</v>
      </c>
      <c r="OJ46" s="135" t="str">
        <f t="shared" si="188"/>
        <v>F</v>
      </c>
      <c r="OK46" s="151" t="str">
        <f>VLOOKUP(RANK(OI46,$OI$10:$OI$109),Sheet1!$A$381:$B$480,2,FALSE)</f>
        <v>1st</v>
      </c>
      <c r="OL46" s="151"/>
      <c r="OM46" s="151"/>
      <c r="ON46" s="151">
        <f t="shared" si="308"/>
        <v>0</v>
      </c>
      <c r="OO46" s="151" t="str">
        <f t="shared" si="309"/>
        <v>0</v>
      </c>
      <c r="OP46" s="151" t="str">
        <f t="shared" si="310"/>
        <v>0</v>
      </c>
      <c r="OQ46" s="151">
        <f t="shared" si="311"/>
        <v>0</v>
      </c>
      <c r="OR46" s="151">
        <f t="shared" si="312"/>
        <v>0</v>
      </c>
      <c r="OS46" s="135" t="str">
        <f t="shared" si="189"/>
        <v>F</v>
      </c>
      <c r="OT46" s="151" t="str">
        <f>VLOOKUP(RANK(OR46,$OI$10:$OI$109),Sheet1!$A$381:$B$480,2,FALSE)</f>
        <v>1st</v>
      </c>
      <c r="OU46" s="151">
        <f t="shared" si="313"/>
        <v>423.66666666666703</v>
      </c>
      <c r="OV46" s="151">
        <f t="shared" si="314"/>
        <v>24.921568627450998</v>
      </c>
      <c r="OW46" s="151" t="str">
        <f>VLOOKUP(RANK(OV46,$OV$10:$OV$109),Sheet1!$A$381:$B$480,2,FALSE)</f>
        <v>43rd</v>
      </c>
      <c r="OX46" s="151"/>
      <c r="OY46" s="186"/>
      <c r="OZ46" s="186"/>
      <c r="PA46" s="186"/>
      <c r="PB46" s="186"/>
    </row>
    <row r="47" spans="1:418" s="118" customFormat="1" ht="18.75">
      <c r="A47" s="131">
        <v>38</v>
      </c>
      <c r="B47" s="132" t="s">
        <v>135</v>
      </c>
      <c r="C47" s="133" t="s">
        <v>97</v>
      </c>
      <c r="D47" s="134">
        <v>31</v>
      </c>
      <c r="E47" s="134">
        <v>51</v>
      </c>
      <c r="F47" s="137">
        <f t="shared" si="0"/>
        <v>82</v>
      </c>
      <c r="G47" s="137">
        <f t="shared" si="1"/>
        <v>82</v>
      </c>
      <c r="H47" s="135" t="str">
        <f t="shared" si="265"/>
        <v>A</v>
      </c>
      <c r="I47" s="135" t="str">
        <f>VLOOKUP(RANK(G47,$G$10:$G$109),Sheet1!$A$381:$B$480,2,FALSE)</f>
        <v>2nd</v>
      </c>
      <c r="J47" s="134">
        <v>34</v>
      </c>
      <c r="K47" s="134">
        <v>26</v>
      </c>
      <c r="L47" s="137">
        <f t="shared" si="2"/>
        <v>60</v>
      </c>
      <c r="M47" s="137">
        <f t="shared" si="3"/>
        <v>60</v>
      </c>
      <c r="N47" s="135" t="str">
        <f t="shared" si="4"/>
        <v>B</v>
      </c>
      <c r="O47" s="141" t="str">
        <f>VLOOKUP(RANK(M47,$M$10:$M$109),Sheet1!$A$381:$B$480,2,FALSE)</f>
        <v>26th</v>
      </c>
      <c r="P47" s="144">
        <v>30</v>
      </c>
      <c r="Q47" s="144">
        <v>20</v>
      </c>
      <c r="R47" s="147">
        <f t="shared" si="5"/>
        <v>50</v>
      </c>
      <c r="S47" s="137">
        <f t="shared" si="6"/>
        <v>50</v>
      </c>
      <c r="T47" s="135" t="str">
        <f t="shared" si="7"/>
        <v>C</v>
      </c>
      <c r="U47" s="135" t="str">
        <f>VLOOKUP(RANK(S47,$S$10:$S$109),Sheet1!$A$381:$B$480,2,FALSE)</f>
        <v>29th</v>
      </c>
      <c r="V47" s="134">
        <v>33</v>
      </c>
      <c r="W47" s="134">
        <v>37</v>
      </c>
      <c r="X47" s="137">
        <f t="shared" si="191"/>
        <v>70</v>
      </c>
      <c r="Y47" s="137">
        <f t="shared" si="244"/>
        <v>70</v>
      </c>
      <c r="Z47" s="135" t="str">
        <f t="shared" si="8"/>
        <v>B</v>
      </c>
      <c r="AA47" s="135" t="str">
        <f>VLOOKUP(RANK(Y47,$Y$10:$Y$109),Sheet1!$A$381:$B$480,2,FALSE)</f>
        <v>22nd</v>
      </c>
      <c r="AB47" s="134">
        <v>29</v>
      </c>
      <c r="AC47" s="134">
        <v>26</v>
      </c>
      <c r="AD47" s="137">
        <f t="shared" si="9"/>
        <v>55</v>
      </c>
      <c r="AE47" s="137">
        <f t="shared" si="10"/>
        <v>55</v>
      </c>
      <c r="AF47" s="135" t="str">
        <f t="shared" si="11"/>
        <v>C</v>
      </c>
      <c r="AG47" s="135" t="str">
        <f>VLOOKUP(RANK(AE47,$AE$10:$AE$109),Sheet1!$A$381:$B$480,2,FALSE)</f>
        <v>60th</v>
      </c>
      <c r="AH47" s="137"/>
      <c r="AI47" s="137"/>
      <c r="AJ47" s="137">
        <f t="shared" si="12"/>
        <v>0</v>
      </c>
      <c r="AK47" s="137">
        <f t="shared" si="13"/>
        <v>0</v>
      </c>
      <c r="AL47" s="135" t="str">
        <f t="shared" si="14"/>
        <v>F</v>
      </c>
      <c r="AM47" s="135" t="str">
        <f>VLOOKUP(RANK(AK47,$AK$10:$AK$109),Sheet1!$A$381:$B$480,2,FALSE)</f>
        <v>1st</v>
      </c>
      <c r="AN47" s="134"/>
      <c r="AO47" s="134"/>
      <c r="AP47" s="137">
        <f t="shared" si="15"/>
        <v>0</v>
      </c>
      <c r="AQ47" s="137">
        <f t="shared" si="16"/>
        <v>0</v>
      </c>
      <c r="AR47" s="135" t="str">
        <f t="shared" si="17"/>
        <v>F</v>
      </c>
      <c r="AS47" s="135" t="str">
        <f>VLOOKUP(RANK(AQ47,$AQ$10:$AQ$109),Sheet1!$A$381:$B$480,2,FALSE)</f>
        <v>1st</v>
      </c>
      <c r="AT47" s="142">
        <v>25</v>
      </c>
      <c r="AU47" s="145">
        <v>25</v>
      </c>
      <c r="AV47" s="137">
        <f t="shared" si="18"/>
        <v>50</v>
      </c>
      <c r="AW47" s="137">
        <f t="shared" si="19"/>
        <v>50</v>
      </c>
      <c r="AX47" s="135" t="str">
        <f t="shared" si="20"/>
        <v>C</v>
      </c>
      <c r="AY47" s="141" t="str">
        <f>VLOOKUP(RANK(AW47,$AW$10:$AW$109),Sheet1!$A$381:$B$480,2,FALSE)</f>
        <v>58th</v>
      </c>
      <c r="AZ47" s="144">
        <v>32</v>
      </c>
      <c r="BA47" s="144">
        <v>16</v>
      </c>
      <c r="BB47" s="147">
        <f t="shared" si="21"/>
        <v>48</v>
      </c>
      <c r="BC47" s="137">
        <f t="shared" si="22"/>
        <v>48</v>
      </c>
      <c r="BD47" s="135" t="str">
        <f t="shared" si="23"/>
        <v>D</v>
      </c>
      <c r="BE47" s="135" t="str">
        <f>VLOOKUP(RANK(BC47,$BC$10:$BC$109),Sheet1!$A$381:$B$480,2,FALSE)</f>
        <v>63rd</v>
      </c>
      <c r="BF47" s="144">
        <v>22</v>
      </c>
      <c r="BG47" s="144">
        <v>39</v>
      </c>
      <c r="BH47" s="137">
        <f t="shared" si="24"/>
        <v>61</v>
      </c>
      <c r="BI47" s="137">
        <f t="shared" si="25"/>
        <v>61</v>
      </c>
      <c r="BJ47" s="135" t="str">
        <f t="shared" si="26"/>
        <v>B</v>
      </c>
      <c r="BK47" s="141" t="str">
        <f>VLOOKUP(RANK(BI47,$BI$10:$BI$109),Sheet1!$A$381:$B$480,2,FALSE)</f>
        <v>6th</v>
      </c>
      <c r="BL47" s="149">
        <v>29</v>
      </c>
      <c r="BM47" s="149">
        <v>30</v>
      </c>
      <c r="BN47" s="147">
        <f t="shared" si="27"/>
        <v>59</v>
      </c>
      <c r="BO47" s="137">
        <f t="shared" si="28"/>
        <v>59</v>
      </c>
      <c r="BP47" s="135" t="str">
        <f t="shared" si="29"/>
        <v>C</v>
      </c>
      <c r="BQ47" s="141" t="str">
        <f>VLOOKUP(RANK(BO47,$BO$10:$BO$109),Sheet1!$A$381:$B$480,2,FALSE)</f>
        <v>2nd</v>
      </c>
      <c r="BR47" s="149">
        <v>29</v>
      </c>
      <c r="BS47" s="149">
        <v>35</v>
      </c>
      <c r="BT47" s="147">
        <f t="shared" si="30"/>
        <v>64</v>
      </c>
      <c r="BU47" s="137">
        <f t="shared" si="31"/>
        <v>64</v>
      </c>
      <c r="BV47" s="135" t="str">
        <f t="shared" si="32"/>
        <v>B</v>
      </c>
      <c r="BW47" s="135" t="str">
        <f>VLOOKUP(RANK(BU47,$BU$10:$BU$109),Sheet1!$A$381:$B$480,2,FALSE)</f>
        <v>19th</v>
      </c>
      <c r="BX47" s="149">
        <v>34</v>
      </c>
      <c r="BY47" s="149">
        <v>13</v>
      </c>
      <c r="BZ47" s="137">
        <f t="shared" si="33"/>
        <v>47</v>
      </c>
      <c r="CA47" s="137">
        <f t="shared" si="34"/>
        <v>47</v>
      </c>
      <c r="CB47" s="135" t="str">
        <f t="shared" si="35"/>
        <v>D</v>
      </c>
      <c r="CC47" s="135" t="str">
        <f>VLOOKUP(RANK(CA47,$CA$10:$CA$109),Sheet1!$A$381:$B$480,2,FALSE)</f>
        <v>10th</v>
      </c>
      <c r="CD47" s="149">
        <v>20</v>
      </c>
      <c r="CE47" s="149">
        <v>30</v>
      </c>
      <c r="CF47" s="137">
        <f t="shared" si="36"/>
        <v>50</v>
      </c>
      <c r="CG47" s="137">
        <f t="shared" si="37"/>
        <v>50</v>
      </c>
      <c r="CH47" s="135" t="str">
        <f t="shared" si="38"/>
        <v>C</v>
      </c>
      <c r="CI47" s="135" t="str">
        <f>VLOOKUP(RANK(CG47,$CG$10:$CG$109),Sheet1!$A$381:$B$480,2,FALSE)</f>
        <v>71st</v>
      </c>
      <c r="CJ47" s="137"/>
      <c r="CK47" s="137"/>
      <c r="CL47" s="137">
        <f t="shared" si="39"/>
        <v>0</v>
      </c>
      <c r="CM47" s="137">
        <f t="shared" si="40"/>
        <v>0</v>
      </c>
      <c r="CN47" s="135" t="str">
        <f t="shared" si="41"/>
        <v>F</v>
      </c>
      <c r="CO47" s="135" t="str">
        <f>VLOOKUP(RANK(CM47,$CM$10:$CM$109),Sheet1!$A$381:$B$480,2,FALSE)</f>
        <v>1st</v>
      </c>
      <c r="CP47" s="137"/>
      <c r="CQ47" s="137"/>
      <c r="CR47" s="137">
        <f t="shared" si="42"/>
        <v>0</v>
      </c>
      <c r="CS47" s="137">
        <f t="shared" si="43"/>
        <v>0</v>
      </c>
      <c r="CT47" s="135" t="str">
        <f t="shared" si="44"/>
        <v>F</v>
      </c>
      <c r="CU47" s="135" t="str">
        <f>VLOOKUP(RANK(CS47,$CS$10:$CS$109),Sheet1!$A$381:$B$480,2,FALSE)</f>
        <v>1st</v>
      </c>
      <c r="CV47" s="151"/>
      <c r="CW47" s="135"/>
      <c r="CX47" s="151">
        <f t="shared" si="266"/>
        <v>0</v>
      </c>
      <c r="CY47" s="151">
        <f t="shared" si="267"/>
        <v>0</v>
      </c>
      <c r="CZ47" s="135" t="str">
        <f t="shared" si="45"/>
        <v>F</v>
      </c>
      <c r="DA47" s="135" t="str">
        <f>VLOOKUP(RANK(CY47,$CY$10:$CY$109),Sheet1!$A$381:$B$480,2,FALSE)</f>
        <v>1st</v>
      </c>
      <c r="DB47" s="135"/>
      <c r="DC47" s="151">
        <f t="shared" si="268"/>
        <v>696</v>
      </c>
      <c r="DD47" s="151">
        <f t="shared" si="269"/>
        <v>40.941176470588204</v>
      </c>
      <c r="DE47" s="135" t="str">
        <f>VLOOKUP(RANK(DD47,$DD$10:$DD$109),Sheet1!$A$381:$B$480,2,FALSE)</f>
        <v>22nd</v>
      </c>
      <c r="DF47" s="137"/>
      <c r="DG47" s="160">
        <f t="shared" si="46"/>
        <v>736.94117647058795</v>
      </c>
      <c r="DH47" s="119"/>
      <c r="DI47" s="162">
        <v>37</v>
      </c>
      <c r="DJ47" s="162">
        <v>51</v>
      </c>
      <c r="DK47" s="137">
        <f t="shared" si="47"/>
        <v>88</v>
      </c>
      <c r="DL47" s="137" t="str">
        <f t="shared" si="245"/>
        <v>82</v>
      </c>
      <c r="DM47" s="137">
        <f t="shared" si="49"/>
        <v>170</v>
      </c>
      <c r="DN47" s="137">
        <f t="shared" si="50"/>
        <v>85</v>
      </c>
      <c r="DO47" s="135" t="str">
        <f t="shared" si="51"/>
        <v>A</v>
      </c>
      <c r="DP47" s="135" t="str">
        <f>VLOOKUP(RANK(DN47,$DN$10:$DN$109),Sheet1!$A$381:$B$480,2,FALSE)</f>
        <v>1st</v>
      </c>
      <c r="DQ47" s="166">
        <v>29</v>
      </c>
      <c r="DR47" s="166">
        <v>19</v>
      </c>
      <c r="DS47" s="137">
        <f t="shared" si="52"/>
        <v>48</v>
      </c>
      <c r="DT47" s="137" t="str">
        <f t="shared" si="246"/>
        <v>60</v>
      </c>
      <c r="DU47" s="137">
        <f t="shared" si="54"/>
        <v>108</v>
      </c>
      <c r="DV47" s="137">
        <f t="shared" si="247"/>
        <v>54</v>
      </c>
      <c r="DW47" s="135" t="str">
        <f t="shared" si="56"/>
        <v>C</v>
      </c>
      <c r="DX47" s="135" t="str">
        <f>VLOOKUP(RANK(DV47,$DV$10:$DV$109),Sheet1!$A$381:$B$480,2,FALSE)</f>
        <v>28th</v>
      </c>
      <c r="DY47" s="168">
        <v>28</v>
      </c>
      <c r="DZ47" s="168">
        <v>21</v>
      </c>
      <c r="EA47" s="137">
        <f t="shared" si="57"/>
        <v>49</v>
      </c>
      <c r="EB47" s="137" t="str">
        <f t="shared" si="248"/>
        <v>50</v>
      </c>
      <c r="EC47" s="137">
        <f t="shared" si="59"/>
        <v>99</v>
      </c>
      <c r="ED47" s="137">
        <f t="shared" si="60"/>
        <v>49.5</v>
      </c>
      <c r="EE47" s="135" t="str">
        <f t="shared" si="61"/>
        <v>D</v>
      </c>
      <c r="EF47" s="135" t="str">
        <f>VLOOKUP(RANK(ED47,$ED$10:$ED$109),Sheet1!$A$381:$B$480,2,FALSE)</f>
        <v>38th</v>
      </c>
      <c r="EG47" s="162">
        <v>29</v>
      </c>
      <c r="EH47" s="162">
        <v>31</v>
      </c>
      <c r="EI47" s="137">
        <f t="shared" si="62"/>
        <v>60</v>
      </c>
      <c r="EJ47" s="137" t="str">
        <f t="shared" si="249"/>
        <v>70</v>
      </c>
      <c r="EK47" s="137">
        <f t="shared" si="64"/>
        <v>130</v>
      </c>
      <c r="EL47" s="137">
        <f t="shared" si="65"/>
        <v>65</v>
      </c>
      <c r="EM47" s="135" t="str">
        <f t="shared" si="66"/>
        <v>B</v>
      </c>
      <c r="EN47" s="135" t="str">
        <f>VLOOKUP(RANK(EL47,$EL$10:$EL$109),Sheet1!$A$381:$B$480,2,FALSE)</f>
        <v>27th</v>
      </c>
      <c r="EO47" s="162">
        <v>28</v>
      </c>
      <c r="EP47" s="162">
        <v>17</v>
      </c>
      <c r="EQ47" s="137">
        <f t="shared" si="67"/>
        <v>45</v>
      </c>
      <c r="ER47" s="137" t="str">
        <f t="shared" si="250"/>
        <v>55</v>
      </c>
      <c r="ES47" s="137">
        <f t="shared" si="69"/>
        <v>100</v>
      </c>
      <c r="ET47" s="137">
        <f t="shared" si="70"/>
        <v>50</v>
      </c>
      <c r="EU47" s="135" t="str">
        <f t="shared" si="71"/>
        <v>C</v>
      </c>
      <c r="EV47" s="135" t="str">
        <f>VLOOKUP(RANK(ET47,$ET$10:$ET$109),Sheet1!$A$381:$B$480,2,FALSE)</f>
        <v>60th</v>
      </c>
      <c r="EW47" s="137"/>
      <c r="EX47" s="137"/>
      <c r="EY47" s="137">
        <f t="shared" si="72"/>
        <v>0</v>
      </c>
      <c r="EZ47" s="137" t="str">
        <f t="shared" si="251"/>
        <v>0</v>
      </c>
      <c r="FA47" s="137">
        <f t="shared" si="74"/>
        <v>0</v>
      </c>
      <c r="FB47" s="137">
        <f t="shared" si="75"/>
        <v>0</v>
      </c>
      <c r="FC47" s="135" t="str">
        <f t="shared" si="76"/>
        <v>F</v>
      </c>
      <c r="FD47" s="135" t="str">
        <f>VLOOKUP(RANK(FB47,$FB$10:$FB$109),Sheet1!$A$381:$B$480,2,FALSE)</f>
        <v>1st</v>
      </c>
      <c r="FE47" s="137"/>
      <c r="FF47" s="137"/>
      <c r="FG47" s="137">
        <f t="shared" si="77"/>
        <v>0</v>
      </c>
      <c r="FH47" s="137" t="str">
        <f t="shared" si="252"/>
        <v>0</v>
      </c>
      <c r="FI47" s="137">
        <f t="shared" si="79"/>
        <v>0</v>
      </c>
      <c r="FJ47" s="137">
        <f t="shared" si="80"/>
        <v>0</v>
      </c>
      <c r="FK47" s="135" t="str">
        <f t="shared" si="81"/>
        <v>F</v>
      </c>
      <c r="FL47" s="135" t="str">
        <f>VLOOKUP(RANK(FJ47,$FJ$10:$FJ$109),Sheet1!$A$381:$B$480,2,FALSE)</f>
        <v>1st</v>
      </c>
      <c r="FM47" s="164">
        <v>25</v>
      </c>
      <c r="FN47" s="165">
        <v>25</v>
      </c>
      <c r="FO47" s="137">
        <f t="shared" si="82"/>
        <v>50</v>
      </c>
      <c r="FP47" s="137" t="str">
        <f t="shared" si="253"/>
        <v>50</v>
      </c>
      <c r="FQ47" s="137">
        <f t="shared" si="84"/>
        <v>100</v>
      </c>
      <c r="FR47" s="137">
        <f t="shared" si="85"/>
        <v>50</v>
      </c>
      <c r="FS47" s="135" t="str">
        <f t="shared" si="86"/>
        <v>C</v>
      </c>
      <c r="FT47" s="135" t="str">
        <f>VLOOKUP(RANK(FR47,$FR$10:$FR$109),Sheet1!$A$381:$B$480,2,FALSE)</f>
        <v>77th</v>
      </c>
      <c r="FU47" s="149">
        <v>38</v>
      </c>
      <c r="FV47" s="149">
        <v>25</v>
      </c>
      <c r="FW47" s="137">
        <f t="shared" si="87"/>
        <v>63</v>
      </c>
      <c r="FX47" s="137" t="str">
        <f t="shared" si="254"/>
        <v>48</v>
      </c>
      <c r="FY47" s="137">
        <f t="shared" si="196"/>
        <v>63</v>
      </c>
      <c r="FZ47" s="137">
        <f t="shared" si="89"/>
        <v>31.5</v>
      </c>
      <c r="GA47" s="135" t="str">
        <f t="shared" si="90"/>
        <v>F</v>
      </c>
      <c r="GB47" s="135" t="str">
        <f>VLOOKUP(RANK(FZ47,$FZ$10:$FZ$109),Sheet1!$A$381:$B$480,2,FALSE)</f>
        <v>13th</v>
      </c>
      <c r="GC47" s="166">
        <v>30</v>
      </c>
      <c r="GD47" s="166">
        <v>30</v>
      </c>
      <c r="GE47" s="137">
        <f t="shared" si="91"/>
        <v>60</v>
      </c>
      <c r="GF47" s="137" t="str">
        <f t="shared" si="255"/>
        <v>61</v>
      </c>
      <c r="GG47" s="135">
        <f t="shared" si="270"/>
        <v>121</v>
      </c>
      <c r="GH47" s="137">
        <f t="shared" si="271"/>
        <v>60.5</v>
      </c>
      <c r="GI47" s="135" t="str">
        <f t="shared" si="93"/>
        <v>B</v>
      </c>
      <c r="GJ47" s="135" t="str">
        <f>VLOOKUP(RANK(GH47,$GH$10:$GH$109),Sheet1!$A$381:$B$480,2,FALSE)</f>
        <v>4th</v>
      </c>
      <c r="GK47" s="166">
        <v>26</v>
      </c>
      <c r="GL47" s="166">
        <v>13</v>
      </c>
      <c r="GM47" s="137">
        <f t="shared" si="94"/>
        <v>39</v>
      </c>
      <c r="GN47" s="137" t="str">
        <f t="shared" si="256"/>
        <v>59</v>
      </c>
      <c r="GO47" s="135">
        <f t="shared" si="272"/>
        <v>98</v>
      </c>
      <c r="GP47" s="137">
        <f t="shared" si="96"/>
        <v>49</v>
      </c>
      <c r="GQ47" s="135" t="str">
        <f t="shared" si="97"/>
        <v>D</v>
      </c>
      <c r="GR47" s="135" t="str">
        <f>VLOOKUP(RANK(GP47,$GP$10:$GP$109),Sheet1!$A$381:$B$480,2,FALSE)</f>
        <v>31st</v>
      </c>
      <c r="GS47" s="166">
        <v>28</v>
      </c>
      <c r="GT47" s="166">
        <v>15</v>
      </c>
      <c r="GU47" s="137">
        <f t="shared" si="98"/>
        <v>43</v>
      </c>
      <c r="GV47" s="137" t="str">
        <f t="shared" si="257"/>
        <v>64</v>
      </c>
      <c r="GW47" s="137">
        <f t="shared" si="100"/>
        <v>107</v>
      </c>
      <c r="GX47" s="137">
        <f t="shared" si="101"/>
        <v>53.5</v>
      </c>
      <c r="GY47" s="135" t="str">
        <f t="shared" si="102"/>
        <v>C</v>
      </c>
      <c r="GZ47" s="135" t="str">
        <f>VLOOKUP(RANK(GX47,$GX$10:$GX$109),Sheet1!$A$381:$B$480,2,FALSE)</f>
        <v>43rd</v>
      </c>
      <c r="HA47" s="166">
        <v>30</v>
      </c>
      <c r="HB47" s="166">
        <v>16</v>
      </c>
      <c r="HC47" s="137">
        <f t="shared" si="103"/>
        <v>46</v>
      </c>
      <c r="HD47" s="137" t="str">
        <f t="shared" si="258"/>
        <v>47</v>
      </c>
      <c r="HE47" s="137">
        <f t="shared" si="105"/>
        <v>93</v>
      </c>
      <c r="HF47" s="137">
        <f t="shared" si="106"/>
        <v>46.5</v>
      </c>
      <c r="HG47" s="135" t="str">
        <f t="shared" si="107"/>
        <v>D</v>
      </c>
      <c r="HH47" s="135" t="str">
        <f>VLOOKUP(RANK(HF47,$HF$10:$HF$109),Sheet1!$A$381:$B$480,2,FALSE)</f>
        <v>18th</v>
      </c>
      <c r="HI47" s="149">
        <v>32</v>
      </c>
      <c r="HJ47" s="149">
        <v>39</v>
      </c>
      <c r="HK47" s="137">
        <f t="shared" si="108"/>
        <v>71</v>
      </c>
      <c r="HL47" s="137" t="str">
        <f t="shared" si="259"/>
        <v>50</v>
      </c>
      <c r="HM47" s="137">
        <f t="shared" si="110"/>
        <v>121</v>
      </c>
      <c r="HN47" s="137">
        <f t="shared" si="111"/>
        <v>60.5</v>
      </c>
      <c r="HO47" s="135" t="str">
        <f t="shared" si="112"/>
        <v>B</v>
      </c>
      <c r="HP47" s="135" t="str">
        <f>VLOOKUP(RANK(HN47,$HN$10:$HN$109),Sheet1!$A$381:$B$480,2,FALSE)</f>
        <v>66th</v>
      </c>
      <c r="HQ47" s="137"/>
      <c r="HR47" s="137"/>
      <c r="HS47" s="137">
        <f t="shared" si="113"/>
        <v>0</v>
      </c>
      <c r="HT47" s="137" t="str">
        <f t="shared" si="260"/>
        <v>0</v>
      </c>
      <c r="HU47" s="137">
        <f t="shared" si="115"/>
        <v>0</v>
      </c>
      <c r="HV47" s="137">
        <f t="shared" si="116"/>
        <v>0</v>
      </c>
      <c r="HW47" s="135" t="str">
        <f t="shared" si="117"/>
        <v>F</v>
      </c>
      <c r="HX47" s="135" t="str">
        <f>VLOOKUP(RANK(HV47,$HV$10:$HV$109),Sheet1!$A$381:$B$480,2,FALSE)</f>
        <v>1st</v>
      </c>
      <c r="HY47" s="137"/>
      <c r="HZ47" s="137"/>
      <c r="IA47" s="137">
        <f t="shared" si="261"/>
        <v>0</v>
      </c>
      <c r="IB47" s="137" t="str">
        <f t="shared" si="262"/>
        <v>0</v>
      </c>
      <c r="IC47" s="137">
        <f t="shared" si="120"/>
        <v>0</v>
      </c>
      <c r="ID47" s="137">
        <f t="shared" si="121"/>
        <v>0</v>
      </c>
      <c r="IE47" s="135" t="str">
        <f t="shared" si="122"/>
        <v>F</v>
      </c>
      <c r="IF47" s="135" t="str">
        <f>VLOOKUP(RANK(ID47,$ID$10:$ID$109),Sheet1!$A$381:$B$480,2,FALSE)</f>
        <v>1st</v>
      </c>
      <c r="IG47" s="135"/>
      <c r="IH47" s="135"/>
      <c r="II47" s="135">
        <f t="shared" si="273"/>
        <v>0</v>
      </c>
      <c r="IJ47" s="135" t="str">
        <f t="shared" si="274"/>
        <v>0</v>
      </c>
      <c r="IK47" s="135">
        <f t="shared" si="275"/>
        <v>0</v>
      </c>
      <c r="IL47" s="135">
        <f t="shared" si="276"/>
        <v>0</v>
      </c>
      <c r="IM47" s="135" t="str">
        <f t="shared" si="123"/>
        <v>F</v>
      </c>
      <c r="IN47" s="135" t="str">
        <f>VLOOKUP(RANK(IL47,$IL$10:$IL$109),Sheet1!$A$381:$B$480,2,FALSE)</f>
        <v>1st</v>
      </c>
      <c r="IO47" s="135">
        <f t="shared" si="277"/>
        <v>655</v>
      </c>
      <c r="IP47" s="177">
        <f t="shared" si="278"/>
        <v>38.529411764705898</v>
      </c>
      <c r="IQ47" s="135" t="str">
        <f>VLOOKUP(RANK(IP47,$IP$10:$IP$109),Sheet1!$A$381:$B$480,2,FALSE)</f>
        <v>24th</v>
      </c>
      <c r="IR47" s="178"/>
      <c r="IS47" s="137"/>
      <c r="IT47" s="137"/>
      <c r="IU47" s="137"/>
      <c r="IV47" s="137"/>
      <c r="IW47" s="181"/>
      <c r="IX47" s="184"/>
      <c r="IY47" s="186"/>
      <c r="IZ47" s="186">
        <f t="shared" si="206"/>
        <v>0</v>
      </c>
      <c r="JA47" s="186" t="str">
        <f t="shared" si="124"/>
        <v>82</v>
      </c>
      <c r="JB47" s="186" t="str">
        <f t="shared" si="125"/>
        <v>88</v>
      </c>
      <c r="JC47" s="186">
        <f t="shared" si="279"/>
        <v>170</v>
      </c>
      <c r="JD47" s="186">
        <f t="shared" si="280"/>
        <v>56.6666666666667</v>
      </c>
      <c r="JE47" s="135" t="str">
        <f t="shared" si="126"/>
        <v>C</v>
      </c>
      <c r="JF47" s="151" t="str">
        <f>VLOOKUP(RANK(JD47,$JD$10:$JD$109),Sheet1!$A$381:$B$480,2,FALSE)</f>
        <v>1st</v>
      </c>
      <c r="JG47" s="186"/>
      <c r="JH47" s="186"/>
      <c r="JI47" s="186">
        <f t="shared" si="127"/>
        <v>0</v>
      </c>
      <c r="JJ47" s="186" t="str">
        <f t="shared" si="128"/>
        <v>60</v>
      </c>
      <c r="JK47" s="186" t="str">
        <f t="shared" si="129"/>
        <v>48</v>
      </c>
      <c r="JL47" s="186">
        <f t="shared" si="281"/>
        <v>108</v>
      </c>
      <c r="JM47" s="186">
        <f t="shared" si="282"/>
        <v>36</v>
      </c>
      <c r="JN47" s="135" t="str">
        <f t="shared" si="130"/>
        <v>E</v>
      </c>
      <c r="JO47" s="151" t="str">
        <f>VLOOKUP(RANK(JM47,$JM$10:$JM$109),Sheet1!$A$381:$B$480,2,FALSE)</f>
        <v>28th</v>
      </c>
      <c r="JP47" s="186"/>
      <c r="JQ47" s="186"/>
      <c r="JR47" s="186">
        <f t="shared" si="131"/>
        <v>0</v>
      </c>
      <c r="JS47" s="186" t="str">
        <f t="shared" si="132"/>
        <v>50</v>
      </c>
      <c r="JT47" s="186" t="str">
        <f t="shared" si="133"/>
        <v>49</v>
      </c>
      <c r="JU47" s="186">
        <f t="shared" si="283"/>
        <v>99</v>
      </c>
      <c r="JV47" s="186">
        <f t="shared" si="284"/>
        <v>33</v>
      </c>
      <c r="JW47" s="135" t="str">
        <f t="shared" si="134"/>
        <v>F</v>
      </c>
      <c r="JX47" s="151" t="str">
        <f>VLOOKUP(RANK(JV47,$JV$10:$JV$109),Sheet1!$A$381:$B$480,2,FALSE)</f>
        <v>38th</v>
      </c>
      <c r="JY47" s="186"/>
      <c r="JZ47" s="186"/>
      <c r="KA47" s="186">
        <f t="shared" si="135"/>
        <v>0</v>
      </c>
      <c r="KB47" s="186" t="str">
        <f t="shared" si="136"/>
        <v>70</v>
      </c>
      <c r="KC47" s="186" t="str">
        <f t="shared" si="137"/>
        <v>60</v>
      </c>
      <c r="KD47" s="186">
        <f t="shared" si="285"/>
        <v>130</v>
      </c>
      <c r="KE47" s="186">
        <f t="shared" si="286"/>
        <v>43.3333333333333</v>
      </c>
      <c r="KF47" s="135" t="str">
        <f t="shared" si="138"/>
        <v>D</v>
      </c>
      <c r="KG47" s="151" t="str">
        <f>VLOOKUP(RANK(KE47,$KE$10:$KE$109),Sheet1!$A$381:$B$480,2,FALSE)</f>
        <v>27th</v>
      </c>
      <c r="KH47" s="186"/>
      <c r="KI47" s="186"/>
      <c r="KJ47" s="186">
        <f t="shared" si="139"/>
        <v>0</v>
      </c>
      <c r="KK47" s="186" t="str">
        <f t="shared" si="140"/>
        <v>55</v>
      </c>
      <c r="KL47" s="186" t="str">
        <f t="shared" si="141"/>
        <v>45</v>
      </c>
      <c r="KM47" s="186">
        <f t="shared" si="287"/>
        <v>100</v>
      </c>
      <c r="KN47" s="186">
        <f t="shared" si="288"/>
        <v>33.3333333333333</v>
      </c>
      <c r="KO47" s="135" t="str">
        <f t="shared" si="142"/>
        <v>F</v>
      </c>
      <c r="KP47" s="151" t="str">
        <f>VLOOKUP(RANK(KN47,$KN$10:$KN$109),Sheet1!$A$381:$B$480,2,FALSE)</f>
        <v>60th</v>
      </c>
      <c r="KQ47" s="186"/>
      <c r="KR47" s="186"/>
      <c r="KS47" s="186">
        <f t="shared" si="143"/>
        <v>0</v>
      </c>
      <c r="KT47" s="186" t="str">
        <f t="shared" si="144"/>
        <v>0</v>
      </c>
      <c r="KU47" s="186" t="str">
        <f t="shared" si="145"/>
        <v>0</v>
      </c>
      <c r="KV47" s="186">
        <f t="shared" si="289"/>
        <v>0</v>
      </c>
      <c r="KW47" s="186">
        <f t="shared" si="290"/>
        <v>0</v>
      </c>
      <c r="KX47" s="135" t="str">
        <f t="shared" si="146"/>
        <v>F</v>
      </c>
      <c r="KY47" s="151" t="str">
        <f>VLOOKUP(RANK(KW47,$KW$10:$KW$109),Sheet1!$A$381:$B$480,2,FALSE)</f>
        <v>1st</v>
      </c>
      <c r="KZ47" s="186"/>
      <c r="LA47" s="186"/>
      <c r="LB47" s="186">
        <f t="shared" si="147"/>
        <v>0</v>
      </c>
      <c r="LC47" s="186" t="str">
        <f t="shared" si="148"/>
        <v>0</v>
      </c>
      <c r="LD47" s="186" t="str">
        <f t="shared" si="149"/>
        <v>0</v>
      </c>
      <c r="LE47" s="186">
        <f t="shared" si="291"/>
        <v>0</v>
      </c>
      <c r="LF47" s="186">
        <f t="shared" si="292"/>
        <v>0</v>
      </c>
      <c r="LG47" s="135" t="str">
        <f t="shared" si="150"/>
        <v>F</v>
      </c>
      <c r="LH47" s="151" t="str">
        <f>VLOOKUP(RANK(LF47,$LF$10:$LF$109),Sheet1!$A$381:$B$480,2,FALSE)</f>
        <v>1st</v>
      </c>
      <c r="LI47" s="186"/>
      <c r="LJ47" s="186"/>
      <c r="LK47" s="186">
        <f t="shared" si="151"/>
        <v>0</v>
      </c>
      <c r="LL47" s="186" t="str">
        <f t="shared" si="152"/>
        <v>50</v>
      </c>
      <c r="LM47" s="186" t="str">
        <f t="shared" si="153"/>
        <v>50</v>
      </c>
      <c r="LN47" s="186">
        <f t="shared" si="293"/>
        <v>100</v>
      </c>
      <c r="LO47" s="186">
        <f t="shared" si="294"/>
        <v>33.3333333333333</v>
      </c>
      <c r="LP47" s="135" t="str">
        <f t="shared" si="154"/>
        <v>F</v>
      </c>
      <c r="LQ47" s="151" t="str">
        <f>VLOOKUP(RANK(LO47,$LO$10:$LO$109),Sheet1!$A$381:$B$480,2,FALSE)</f>
        <v>77th</v>
      </c>
      <c r="LR47" s="186"/>
      <c r="LS47" s="186"/>
      <c r="LT47" s="186">
        <f t="shared" si="155"/>
        <v>0</v>
      </c>
      <c r="LU47" s="186" t="str">
        <f t="shared" si="156"/>
        <v>48</v>
      </c>
      <c r="LV47" s="186" t="str">
        <f t="shared" si="157"/>
        <v>63</v>
      </c>
      <c r="LW47" s="186">
        <f t="shared" si="295"/>
        <v>111</v>
      </c>
      <c r="LX47" s="186">
        <f t="shared" si="296"/>
        <v>37</v>
      </c>
      <c r="LY47" s="135" t="str">
        <f t="shared" si="158"/>
        <v>E</v>
      </c>
      <c r="LZ47" s="151" t="str">
        <f>VLOOKUP(RANK(LX47,$LX$10:$LX$109),Sheet1!$A$381:$B$480,2,FALSE)</f>
        <v>35th</v>
      </c>
      <c r="MA47" s="186"/>
      <c r="MB47" s="186"/>
      <c r="MC47" s="186">
        <f t="shared" si="159"/>
        <v>0</v>
      </c>
      <c r="MD47" s="186" t="str">
        <f t="shared" si="160"/>
        <v>61</v>
      </c>
      <c r="ME47" s="186" t="str">
        <f t="shared" si="161"/>
        <v>60</v>
      </c>
      <c r="MF47" s="183">
        <f t="shared" si="297"/>
        <v>121</v>
      </c>
      <c r="MG47" s="151">
        <f t="shared" si="298"/>
        <v>40.3333333333333</v>
      </c>
      <c r="MH47" s="135" t="str">
        <f t="shared" si="162"/>
        <v>D</v>
      </c>
      <c r="MI47" s="151" t="str">
        <f>VLOOKUP(RANK(MG47,$MG$10:$MG$109),Sheet1!$A$381:$B$480,2,FALSE)</f>
        <v>4th</v>
      </c>
      <c r="MJ47" s="186"/>
      <c r="MK47" s="186"/>
      <c r="ML47" s="186">
        <f t="shared" si="163"/>
        <v>0</v>
      </c>
      <c r="MM47" s="186" t="str">
        <f t="shared" si="164"/>
        <v>59</v>
      </c>
      <c r="MN47" s="186" t="str">
        <f t="shared" si="165"/>
        <v>39</v>
      </c>
      <c r="MO47" s="186">
        <f t="shared" si="299"/>
        <v>98</v>
      </c>
      <c r="MP47" s="186">
        <f t="shared" si="300"/>
        <v>32.6666666666667</v>
      </c>
      <c r="MQ47" s="135" t="str">
        <f t="shared" si="166"/>
        <v>F</v>
      </c>
      <c r="MR47" s="151" t="str">
        <f>VLOOKUP(RANK(MP47,$MP$10:$MP$109),Sheet1!$A$381:$B$480,2,FALSE)</f>
        <v>31st</v>
      </c>
      <c r="MS47" s="186"/>
      <c r="MT47" s="186"/>
      <c r="MU47" s="186">
        <f t="shared" si="167"/>
        <v>0</v>
      </c>
      <c r="MV47" s="186" t="str">
        <f t="shared" si="168"/>
        <v>64</v>
      </c>
      <c r="MW47" s="186" t="str">
        <f t="shared" si="169"/>
        <v>43</v>
      </c>
      <c r="MX47" s="186">
        <f t="shared" si="301"/>
        <v>107</v>
      </c>
      <c r="MY47" s="186">
        <f t="shared" si="302"/>
        <v>35.6666666666667</v>
      </c>
      <c r="MZ47" s="135" t="str">
        <f t="shared" si="170"/>
        <v>E</v>
      </c>
      <c r="NA47" s="151" t="str">
        <f>VLOOKUP(RANK(MY47,$MY$10:$MY$109),Sheet1!$A$381:$B$480,2,FALSE)</f>
        <v>43rd</v>
      </c>
      <c r="NB47" s="186"/>
      <c r="NC47" s="186"/>
      <c r="ND47" s="186">
        <f t="shared" si="171"/>
        <v>0</v>
      </c>
      <c r="NE47" s="186" t="str">
        <f t="shared" si="172"/>
        <v>47</v>
      </c>
      <c r="NF47" s="186" t="str">
        <f t="shared" si="173"/>
        <v>46</v>
      </c>
      <c r="NG47" s="186">
        <f t="shared" si="303"/>
        <v>93</v>
      </c>
      <c r="NH47" s="186">
        <f t="shared" si="304"/>
        <v>31</v>
      </c>
      <c r="NI47" s="135" t="str">
        <f t="shared" si="174"/>
        <v>F</v>
      </c>
      <c r="NJ47" s="151" t="str">
        <f>VLOOKUP(RANK(NH47,$NH$10:$NH$109),Sheet1!$A$381:$B$480,2,FALSE)</f>
        <v>18th</v>
      </c>
      <c r="NK47" s="186"/>
      <c r="NL47" s="186"/>
      <c r="NM47" s="186">
        <f t="shared" si="175"/>
        <v>0</v>
      </c>
      <c r="NN47" s="186" t="str">
        <f t="shared" si="176"/>
        <v>50</v>
      </c>
      <c r="NO47" s="186" t="str">
        <f t="shared" si="177"/>
        <v>71</v>
      </c>
      <c r="NP47" s="186">
        <f t="shared" si="305"/>
        <v>121</v>
      </c>
      <c r="NQ47" s="186">
        <f t="shared" si="263"/>
        <v>40.3333333333333</v>
      </c>
      <c r="NR47" s="135" t="str">
        <f t="shared" si="179"/>
        <v>D</v>
      </c>
      <c r="NS47" s="151" t="str">
        <f>VLOOKUP(RANK(NQ47,$NQ$10:$NQ$109),Sheet1!$A$381:$B$480,2,FALSE)</f>
        <v>66th</v>
      </c>
      <c r="NT47" s="186"/>
      <c r="NU47" s="186"/>
      <c r="NV47" s="186">
        <f t="shared" si="180"/>
        <v>0</v>
      </c>
      <c r="NW47" s="186" t="str">
        <f t="shared" si="181"/>
        <v>0</v>
      </c>
      <c r="NX47" s="186" t="str">
        <f t="shared" si="182"/>
        <v>0</v>
      </c>
      <c r="NY47" s="186">
        <f t="shared" si="306"/>
        <v>0</v>
      </c>
      <c r="NZ47" s="186">
        <f t="shared" si="264"/>
        <v>0</v>
      </c>
      <c r="OA47" s="135" t="str">
        <f t="shared" si="184"/>
        <v>F</v>
      </c>
      <c r="OB47" s="151" t="str">
        <f>VLOOKUP(RANK(NZ47,$NZ$10:$NZ$109),Sheet1!$A$381:$B$480,2,FALSE)</f>
        <v>1st</v>
      </c>
      <c r="OC47" s="186"/>
      <c r="OD47" s="186"/>
      <c r="OE47" s="186">
        <f t="shared" si="185"/>
        <v>0</v>
      </c>
      <c r="OF47" s="186" t="str">
        <f t="shared" si="186"/>
        <v>0</v>
      </c>
      <c r="OG47" s="186" t="str">
        <f t="shared" si="187"/>
        <v>0</v>
      </c>
      <c r="OH47" s="186">
        <f t="shared" si="307"/>
        <v>0</v>
      </c>
      <c r="OI47" s="186">
        <f t="shared" si="236"/>
        <v>0</v>
      </c>
      <c r="OJ47" s="135" t="str">
        <f t="shared" si="188"/>
        <v>F</v>
      </c>
      <c r="OK47" s="151" t="str">
        <f>VLOOKUP(RANK(OI47,$OI$10:$OI$109),Sheet1!$A$381:$B$480,2,FALSE)</f>
        <v>1st</v>
      </c>
      <c r="OL47" s="151"/>
      <c r="OM47" s="151"/>
      <c r="ON47" s="151">
        <f t="shared" si="308"/>
        <v>0</v>
      </c>
      <c r="OO47" s="151" t="str">
        <f t="shared" si="309"/>
        <v>0</v>
      </c>
      <c r="OP47" s="151" t="str">
        <f t="shared" si="310"/>
        <v>0</v>
      </c>
      <c r="OQ47" s="151">
        <f t="shared" si="311"/>
        <v>0</v>
      </c>
      <c r="OR47" s="151">
        <f t="shared" si="312"/>
        <v>0</v>
      </c>
      <c r="OS47" s="135" t="str">
        <f t="shared" si="189"/>
        <v>F</v>
      </c>
      <c r="OT47" s="151" t="str">
        <f>VLOOKUP(RANK(OR47,$OI$10:$OI$109),Sheet1!$A$381:$B$480,2,FALSE)</f>
        <v>1st</v>
      </c>
      <c r="OU47" s="151">
        <f t="shared" si="313"/>
        <v>452.66666666666703</v>
      </c>
      <c r="OV47" s="151">
        <f t="shared" si="314"/>
        <v>26.627450980392201</v>
      </c>
      <c r="OW47" s="151" t="str">
        <f>VLOOKUP(RANK(OV47,$OV$10:$OV$109),Sheet1!$A$381:$B$480,2,FALSE)</f>
        <v>28th</v>
      </c>
      <c r="OX47" s="151"/>
      <c r="OY47" s="186"/>
      <c r="OZ47" s="186"/>
      <c r="PA47" s="186"/>
      <c r="PB47" s="186"/>
    </row>
    <row r="48" spans="1:418" s="118" customFormat="1" ht="18.75">
      <c r="A48" s="131">
        <v>39</v>
      </c>
      <c r="B48" s="132" t="s">
        <v>136</v>
      </c>
      <c r="C48" s="133" t="s">
        <v>97</v>
      </c>
      <c r="D48" s="139"/>
      <c r="E48" s="139"/>
      <c r="F48" s="137">
        <f t="shared" si="0"/>
        <v>0</v>
      </c>
      <c r="G48" s="137">
        <f t="shared" si="1"/>
        <v>0</v>
      </c>
      <c r="H48" s="135" t="str">
        <f t="shared" si="265"/>
        <v>F</v>
      </c>
      <c r="I48" s="135" t="str">
        <f>VLOOKUP(RANK(G48,$G$10:$G$109),Sheet1!$A$381:$B$480,2,FALSE)</f>
        <v>97th</v>
      </c>
      <c r="J48" s="134" t="s">
        <v>105</v>
      </c>
      <c r="K48" s="134" t="s">
        <v>105</v>
      </c>
      <c r="L48" s="137">
        <f t="shared" si="2"/>
        <v>0</v>
      </c>
      <c r="M48" s="137">
        <f t="shared" si="3"/>
        <v>0</v>
      </c>
      <c r="N48" s="135" t="str">
        <f t="shared" si="4"/>
        <v>F</v>
      </c>
      <c r="O48" s="141" t="str">
        <f>VLOOKUP(RANK(M48,$M$10:$M$109),Sheet1!$A$381:$B$480,2,FALSE)</f>
        <v>100th</v>
      </c>
      <c r="P48" s="144">
        <v>25</v>
      </c>
      <c r="Q48" s="144">
        <v>15</v>
      </c>
      <c r="R48" s="147">
        <f t="shared" si="5"/>
        <v>40</v>
      </c>
      <c r="S48" s="137">
        <f t="shared" si="6"/>
        <v>40</v>
      </c>
      <c r="T48" s="135" t="str">
        <f t="shared" si="7"/>
        <v>D</v>
      </c>
      <c r="U48" s="135" t="str">
        <f>VLOOKUP(RANK(S48,$S$10:$S$109),Sheet1!$A$381:$B$480,2,FALSE)</f>
        <v>57th</v>
      </c>
      <c r="V48" s="134">
        <v>26</v>
      </c>
      <c r="W48" s="134">
        <v>25</v>
      </c>
      <c r="X48" s="137">
        <f t="shared" si="191"/>
        <v>51</v>
      </c>
      <c r="Y48" s="137">
        <f t="shared" si="244"/>
        <v>51</v>
      </c>
      <c r="Z48" s="135" t="str">
        <f t="shared" si="8"/>
        <v>C</v>
      </c>
      <c r="AA48" s="135" t="str">
        <f>VLOOKUP(RANK(Y48,$Y$10:$Y$109),Sheet1!$A$381:$B$480,2,FALSE)</f>
        <v>54th</v>
      </c>
      <c r="AB48" s="134">
        <v>30</v>
      </c>
      <c r="AC48" s="134">
        <v>39</v>
      </c>
      <c r="AD48" s="137">
        <f t="shared" si="9"/>
        <v>69</v>
      </c>
      <c r="AE48" s="137">
        <f t="shared" si="10"/>
        <v>69</v>
      </c>
      <c r="AF48" s="135" t="str">
        <f t="shared" si="11"/>
        <v>B</v>
      </c>
      <c r="AG48" s="135" t="str">
        <f>VLOOKUP(RANK(AE48,$AE$10:$AE$109),Sheet1!$A$381:$B$480,2,FALSE)</f>
        <v>33rd</v>
      </c>
      <c r="AH48" s="137"/>
      <c r="AI48" s="137"/>
      <c r="AJ48" s="137">
        <f t="shared" si="12"/>
        <v>0</v>
      </c>
      <c r="AK48" s="137">
        <f t="shared" si="13"/>
        <v>0</v>
      </c>
      <c r="AL48" s="135" t="str">
        <f t="shared" si="14"/>
        <v>F</v>
      </c>
      <c r="AM48" s="135" t="str">
        <f>VLOOKUP(RANK(AK48,$AK$10:$AK$109),Sheet1!$A$381:$B$480,2,FALSE)</f>
        <v>1st</v>
      </c>
      <c r="AN48" s="139"/>
      <c r="AO48" s="139"/>
      <c r="AP48" s="137">
        <f t="shared" si="15"/>
        <v>0</v>
      </c>
      <c r="AQ48" s="137">
        <f t="shared" si="16"/>
        <v>0</v>
      </c>
      <c r="AR48" s="135" t="str">
        <f t="shared" si="17"/>
        <v>F</v>
      </c>
      <c r="AS48" s="135" t="str">
        <f>VLOOKUP(RANK(AQ48,$AQ$10:$AQ$109),Sheet1!$A$381:$B$480,2,FALSE)</f>
        <v>1st</v>
      </c>
      <c r="AT48" s="144">
        <v>26</v>
      </c>
      <c r="AU48" s="144">
        <v>25</v>
      </c>
      <c r="AV48" s="137">
        <f t="shared" si="18"/>
        <v>51</v>
      </c>
      <c r="AW48" s="137">
        <f t="shared" si="19"/>
        <v>51</v>
      </c>
      <c r="AX48" s="135" t="str">
        <f t="shared" si="20"/>
        <v>C</v>
      </c>
      <c r="AY48" s="141" t="str">
        <f>VLOOKUP(RANK(AW48,$AW$10:$AW$109),Sheet1!$A$381:$B$480,2,FALSE)</f>
        <v>45th</v>
      </c>
      <c r="AZ48" s="144">
        <v>30</v>
      </c>
      <c r="BA48" s="144">
        <v>10</v>
      </c>
      <c r="BB48" s="147">
        <f t="shared" si="21"/>
        <v>40</v>
      </c>
      <c r="BC48" s="137">
        <f t="shared" si="22"/>
        <v>40</v>
      </c>
      <c r="BD48" s="135" t="str">
        <f t="shared" si="23"/>
        <v>D</v>
      </c>
      <c r="BE48" s="135" t="str">
        <f>VLOOKUP(RANK(BC48,$BC$10:$BC$109),Sheet1!$A$381:$B$480,2,FALSE)</f>
        <v>85th</v>
      </c>
      <c r="BF48" s="144">
        <v>10</v>
      </c>
      <c r="BG48" s="144">
        <v>12</v>
      </c>
      <c r="BH48" s="137">
        <f t="shared" si="24"/>
        <v>22</v>
      </c>
      <c r="BI48" s="137">
        <f t="shared" si="25"/>
        <v>22</v>
      </c>
      <c r="BJ48" s="135" t="str">
        <f t="shared" si="26"/>
        <v>F</v>
      </c>
      <c r="BK48" s="141" t="str">
        <f>VLOOKUP(RANK(BI48,$BI$10:$BI$109),Sheet1!$A$381:$B$480,2,FALSE)</f>
        <v>95th</v>
      </c>
      <c r="BL48" s="149">
        <v>27</v>
      </c>
      <c r="BM48" s="149">
        <v>30</v>
      </c>
      <c r="BN48" s="147">
        <f t="shared" si="27"/>
        <v>57</v>
      </c>
      <c r="BO48" s="137">
        <f t="shared" si="28"/>
        <v>57</v>
      </c>
      <c r="BP48" s="135" t="str">
        <f t="shared" si="29"/>
        <v>C</v>
      </c>
      <c r="BQ48" s="141" t="str">
        <f>VLOOKUP(RANK(BO48,$BO$10:$BO$109),Sheet1!$A$381:$B$480,2,FALSE)</f>
        <v>7th</v>
      </c>
      <c r="BR48" s="149">
        <v>27</v>
      </c>
      <c r="BS48" s="149">
        <v>15</v>
      </c>
      <c r="BT48" s="147">
        <f t="shared" si="30"/>
        <v>42</v>
      </c>
      <c r="BU48" s="137">
        <f t="shared" si="31"/>
        <v>42</v>
      </c>
      <c r="BV48" s="135" t="str">
        <f t="shared" si="32"/>
        <v>D</v>
      </c>
      <c r="BW48" s="135" t="str">
        <f>VLOOKUP(RANK(BU48,$BU$10:$BU$109),Sheet1!$A$381:$B$480,2,FALSE)</f>
        <v>55th</v>
      </c>
      <c r="BX48" s="149">
        <v>27</v>
      </c>
      <c r="BY48" s="149">
        <v>10</v>
      </c>
      <c r="BZ48" s="137">
        <f t="shared" si="33"/>
        <v>37</v>
      </c>
      <c r="CA48" s="137">
        <f t="shared" si="34"/>
        <v>37</v>
      </c>
      <c r="CB48" s="135" t="str">
        <f t="shared" si="35"/>
        <v>E</v>
      </c>
      <c r="CC48" s="135" t="str">
        <f>VLOOKUP(RANK(CA48,$CA$10:$CA$109),Sheet1!$A$381:$B$480,2,FALSE)</f>
        <v>70th</v>
      </c>
      <c r="CD48" s="149">
        <v>20</v>
      </c>
      <c r="CE48" s="149">
        <v>20</v>
      </c>
      <c r="CF48" s="137">
        <f t="shared" si="36"/>
        <v>40</v>
      </c>
      <c r="CG48" s="137">
        <f t="shared" si="37"/>
        <v>40</v>
      </c>
      <c r="CH48" s="135" t="str">
        <f t="shared" si="38"/>
        <v>D</v>
      </c>
      <c r="CI48" s="135" t="str">
        <f>VLOOKUP(RANK(CG48,$CG$10:$CG$109),Sheet1!$A$381:$B$480,2,FALSE)</f>
        <v>94th</v>
      </c>
      <c r="CJ48" s="137"/>
      <c r="CK48" s="137"/>
      <c r="CL48" s="137">
        <f t="shared" si="39"/>
        <v>0</v>
      </c>
      <c r="CM48" s="137">
        <f t="shared" si="40"/>
        <v>0</v>
      </c>
      <c r="CN48" s="135" t="str">
        <f t="shared" si="41"/>
        <v>F</v>
      </c>
      <c r="CO48" s="135" t="str">
        <f>VLOOKUP(RANK(CM48,$CM$10:$CM$109),Sheet1!$A$381:$B$480,2,FALSE)</f>
        <v>1st</v>
      </c>
      <c r="CP48" s="137"/>
      <c r="CQ48" s="137"/>
      <c r="CR48" s="137">
        <f t="shared" si="42"/>
        <v>0</v>
      </c>
      <c r="CS48" s="137">
        <f t="shared" si="43"/>
        <v>0</v>
      </c>
      <c r="CT48" s="135" t="str">
        <f t="shared" si="44"/>
        <v>F</v>
      </c>
      <c r="CU48" s="135" t="str">
        <f>VLOOKUP(RANK(CS48,$CS$10:$CS$109),Sheet1!$A$381:$B$480,2,FALSE)</f>
        <v>1st</v>
      </c>
      <c r="CV48" s="151"/>
      <c r="CW48" s="135"/>
      <c r="CX48" s="151">
        <f t="shared" si="266"/>
        <v>0</v>
      </c>
      <c r="CY48" s="151">
        <f t="shared" si="267"/>
        <v>0</v>
      </c>
      <c r="CZ48" s="135" t="str">
        <f t="shared" si="45"/>
        <v>F</v>
      </c>
      <c r="DA48" s="135" t="str">
        <f>VLOOKUP(RANK(CY48,$CY$10:$CY$109),Sheet1!$A$381:$B$480,2,FALSE)</f>
        <v>1st</v>
      </c>
      <c r="DB48" s="135"/>
      <c r="DC48" s="151">
        <f t="shared" si="268"/>
        <v>449</v>
      </c>
      <c r="DD48" s="151">
        <f t="shared" si="269"/>
        <v>26.411764705882401</v>
      </c>
      <c r="DE48" s="135" t="str">
        <f>VLOOKUP(RANK(DD48,$DD$10:$DD$109),Sheet1!$A$381:$B$480,2,FALSE)</f>
        <v>99th</v>
      </c>
      <c r="DF48" s="137"/>
      <c r="DG48" s="160">
        <f t="shared" si="46"/>
        <v>475.41176470588198</v>
      </c>
      <c r="DH48" s="119"/>
      <c r="DI48" s="162">
        <v>20</v>
      </c>
      <c r="DJ48" s="162">
        <v>51</v>
      </c>
      <c r="DK48" s="137">
        <f t="shared" si="47"/>
        <v>71</v>
      </c>
      <c r="DL48" s="137" t="str">
        <f t="shared" si="245"/>
        <v>0</v>
      </c>
      <c r="DM48" s="137">
        <f t="shared" si="49"/>
        <v>71</v>
      </c>
      <c r="DN48" s="137">
        <f t="shared" si="50"/>
        <v>35.5</v>
      </c>
      <c r="DO48" s="135" t="str">
        <f t="shared" si="51"/>
        <v>E</v>
      </c>
      <c r="DP48" s="135" t="str">
        <f>VLOOKUP(RANK(DN48,$DN$10:$DN$109),Sheet1!$A$381:$B$480,2,FALSE)</f>
        <v>95th</v>
      </c>
      <c r="DQ48" s="166">
        <v>28</v>
      </c>
      <c r="DR48" s="166">
        <v>12</v>
      </c>
      <c r="DS48" s="137">
        <f t="shared" si="52"/>
        <v>40</v>
      </c>
      <c r="DT48" s="137" t="str">
        <f t="shared" si="246"/>
        <v>0</v>
      </c>
      <c r="DU48" s="137">
        <f t="shared" si="54"/>
        <v>40</v>
      </c>
      <c r="DV48" s="137">
        <f t="shared" si="247"/>
        <v>20</v>
      </c>
      <c r="DW48" s="135" t="str">
        <f t="shared" si="56"/>
        <v>F</v>
      </c>
      <c r="DX48" s="135" t="str">
        <f>VLOOKUP(RANK(DV48,$DV$10:$DV$109),Sheet1!$A$381:$B$480,2,FALSE)</f>
        <v>99th</v>
      </c>
      <c r="DY48" s="168">
        <v>26</v>
      </c>
      <c r="DZ48" s="168">
        <v>14</v>
      </c>
      <c r="EA48" s="137">
        <f t="shared" si="57"/>
        <v>40</v>
      </c>
      <c r="EB48" s="137" t="str">
        <f t="shared" si="248"/>
        <v>40</v>
      </c>
      <c r="EC48" s="137">
        <f t="shared" si="59"/>
        <v>80</v>
      </c>
      <c r="ED48" s="137">
        <f t="shared" si="60"/>
        <v>40</v>
      </c>
      <c r="EE48" s="135" t="str">
        <f t="shared" si="61"/>
        <v>D</v>
      </c>
      <c r="EF48" s="135" t="str">
        <f>VLOOKUP(RANK(ED48,$ED$10:$ED$109),Sheet1!$A$381:$B$480,2,FALSE)</f>
        <v>69th</v>
      </c>
      <c r="EG48" s="162">
        <v>21</v>
      </c>
      <c r="EH48" s="162">
        <v>26</v>
      </c>
      <c r="EI48" s="137">
        <f t="shared" si="62"/>
        <v>47</v>
      </c>
      <c r="EJ48" s="137" t="str">
        <f t="shared" si="249"/>
        <v>51</v>
      </c>
      <c r="EK48" s="137">
        <f t="shared" si="64"/>
        <v>98</v>
      </c>
      <c r="EL48" s="137">
        <f t="shared" si="65"/>
        <v>49</v>
      </c>
      <c r="EM48" s="135" t="str">
        <f t="shared" si="66"/>
        <v>D</v>
      </c>
      <c r="EN48" s="135" t="str">
        <f>VLOOKUP(RANK(EL48,$EL$10:$EL$109),Sheet1!$A$381:$B$480,2,FALSE)</f>
        <v>65th</v>
      </c>
      <c r="EO48" s="162">
        <v>23</v>
      </c>
      <c r="EP48" s="162">
        <v>9</v>
      </c>
      <c r="EQ48" s="137">
        <f t="shared" si="67"/>
        <v>32</v>
      </c>
      <c r="ER48" s="137" t="str">
        <f t="shared" si="250"/>
        <v>69</v>
      </c>
      <c r="ES48" s="137">
        <f t="shared" si="69"/>
        <v>101</v>
      </c>
      <c r="ET48" s="137">
        <f t="shared" si="70"/>
        <v>50.5</v>
      </c>
      <c r="EU48" s="135" t="str">
        <f t="shared" si="71"/>
        <v>C</v>
      </c>
      <c r="EV48" s="135" t="str">
        <f>VLOOKUP(RANK(ET48,$ET$10:$ET$109),Sheet1!$A$381:$B$480,2,FALSE)</f>
        <v>58th</v>
      </c>
      <c r="EW48" s="137"/>
      <c r="EX48" s="137"/>
      <c r="EY48" s="137">
        <f t="shared" si="72"/>
        <v>0</v>
      </c>
      <c r="EZ48" s="137" t="str">
        <f t="shared" si="251"/>
        <v>0</v>
      </c>
      <c r="FA48" s="137">
        <f t="shared" si="74"/>
        <v>0</v>
      </c>
      <c r="FB48" s="137">
        <f t="shared" si="75"/>
        <v>0</v>
      </c>
      <c r="FC48" s="135" t="str">
        <f t="shared" si="76"/>
        <v>F</v>
      </c>
      <c r="FD48" s="135" t="str">
        <f>VLOOKUP(RANK(FB48,$FB$10:$FB$109),Sheet1!$A$381:$B$480,2,FALSE)</f>
        <v>1st</v>
      </c>
      <c r="FE48" s="137"/>
      <c r="FF48" s="137"/>
      <c r="FG48" s="137">
        <f t="shared" si="77"/>
        <v>0</v>
      </c>
      <c r="FH48" s="137" t="str">
        <f t="shared" si="252"/>
        <v>0</v>
      </c>
      <c r="FI48" s="137">
        <f t="shared" si="79"/>
        <v>0</v>
      </c>
      <c r="FJ48" s="137">
        <f t="shared" si="80"/>
        <v>0</v>
      </c>
      <c r="FK48" s="135" t="str">
        <f t="shared" si="81"/>
        <v>F</v>
      </c>
      <c r="FL48" s="135" t="str">
        <f>VLOOKUP(RANK(FJ48,$FJ$10:$FJ$109),Sheet1!$A$381:$B$480,2,FALSE)</f>
        <v>1st</v>
      </c>
      <c r="FM48" s="166">
        <v>28</v>
      </c>
      <c r="FN48" s="166">
        <v>22</v>
      </c>
      <c r="FO48" s="137">
        <f t="shared" si="82"/>
        <v>50</v>
      </c>
      <c r="FP48" s="137" t="str">
        <f t="shared" si="253"/>
        <v>51</v>
      </c>
      <c r="FQ48" s="137">
        <f t="shared" si="84"/>
        <v>101</v>
      </c>
      <c r="FR48" s="137">
        <f t="shared" si="85"/>
        <v>50.5</v>
      </c>
      <c r="FS48" s="135" t="str">
        <f t="shared" si="86"/>
        <v>C</v>
      </c>
      <c r="FT48" s="135" t="str">
        <f>VLOOKUP(RANK(FR48,$FR$10:$FR$109),Sheet1!$A$381:$B$480,2,FALSE)</f>
        <v>65th</v>
      </c>
      <c r="FU48" s="149">
        <v>25</v>
      </c>
      <c r="FV48" s="149">
        <v>17</v>
      </c>
      <c r="FW48" s="137">
        <f t="shared" si="87"/>
        <v>42</v>
      </c>
      <c r="FX48" s="137" t="str">
        <f t="shared" si="254"/>
        <v>40</v>
      </c>
      <c r="FY48" s="137">
        <f t="shared" si="196"/>
        <v>42</v>
      </c>
      <c r="FZ48" s="137">
        <f t="shared" si="89"/>
        <v>21</v>
      </c>
      <c r="GA48" s="135" t="str">
        <f t="shared" si="90"/>
        <v>F</v>
      </c>
      <c r="GB48" s="135" t="str">
        <f>VLOOKUP(RANK(FZ48,$FZ$10:$FZ$109),Sheet1!$A$381:$B$480,2,FALSE)</f>
        <v>70th</v>
      </c>
      <c r="GC48" s="166">
        <v>15</v>
      </c>
      <c r="GD48" s="166">
        <v>20</v>
      </c>
      <c r="GE48" s="137">
        <f t="shared" si="91"/>
        <v>35</v>
      </c>
      <c r="GF48" s="137" t="str">
        <f t="shared" si="255"/>
        <v>22</v>
      </c>
      <c r="GG48" s="135">
        <f t="shared" si="270"/>
        <v>57</v>
      </c>
      <c r="GH48" s="137">
        <f t="shared" si="271"/>
        <v>28.5</v>
      </c>
      <c r="GI48" s="135" t="str">
        <f t="shared" si="93"/>
        <v>F</v>
      </c>
      <c r="GJ48" s="135" t="str">
        <f>VLOOKUP(RANK(GH48,$GH$10:$GH$109),Sheet1!$A$381:$B$480,2,FALSE)</f>
        <v>87th</v>
      </c>
      <c r="GK48" s="166">
        <v>27</v>
      </c>
      <c r="GL48" s="166">
        <v>15</v>
      </c>
      <c r="GM48" s="137">
        <f t="shared" si="94"/>
        <v>42</v>
      </c>
      <c r="GN48" s="137" t="str">
        <f t="shared" si="256"/>
        <v>57</v>
      </c>
      <c r="GO48" s="135">
        <f t="shared" si="272"/>
        <v>99</v>
      </c>
      <c r="GP48" s="137">
        <f t="shared" si="96"/>
        <v>49.5</v>
      </c>
      <c r="GQ48" s="135" t="str">
        <f t="shared" si="97"/>
        <v>D</v>
      </c>
      <c r="GR48" s="135" t="str">
        <f>VLOOKUP(RANK(GP48,$GP$10:$GP$109),Sheet1!$A$381:$B$480,2,FALSE)</f>
        <v>28th</v>
      </c>
      <c r="GS48" s="166">
        <v>21</v>
      </c>
      <c r="GT48" s="166">
        <v>15</v>
      </c>
      <c r="GU48" s="137">
        <f t="shared" si="98"/>
        <v>36</v>
      </c>
      <c r="GV48" s="137" t="str">
        <f t="shared" si="257"/>
        <v>42</v>
      </c>
      <c r="GW48" s="137">
        <f t="shared" si="100"/>
        <v>78</v>
      </c>
      <c r="GX48" s="137">
        <f t="shared" si="101"/>
        <v>39</v>
      </c>
      <c r="GY48" s="135" t="str">
        <f t="shared" si="102"/>
        <v>E</v>
      </c>
      <c r="GZ48" s="135" t="str">
        <f>VLOOKUP(RANK(GX48,$GX$10:$GX$109),Sheet1!$A$381:$B$480,2,FALSE)</f>
        <v>73rd</v>
      </c>
      <c r="HA48" s="166">
        <v>29</v>
      </c>
      <c r="HB48" s="166">
        <v>7</v>
      </c>
      <c r="HC48" s="137">
        <f t="shared" si="103"/>
        <v>36</v>
      </c>
      <c r="HD48" s="137" t="str">
        <f t="shared" si="258"/>
        <v>37</v>
      </c>
      <c r="HE48" s="137">
        <f t="shared" si="105"/>
        <v>73</v>
      </c>
      <c r="HF48" s="137">
        <f t="shared" si="106"/>
        <v>36.5</v>
      </c>
      <c r="HG48" s="135" t="str">
        <f t="shared" si="107"/>
        <v>E</v>
      </c>
      <c r="HH48" s="135" t="str">
        <f>VLOOKUP(RANK(HF48,$HF$10:$HF$109),Sheet1!$A$381:$B$480,2,FALSE)</f>
        <v>92nd</v>
      </c>
      <c r="HI48" s="149">
        <v>28</v>
      </c>
      <c r="HJ48" s="149">
        <v>49</v>
      </c>
      <c r="HK48" s="137">
        <f t="shared" si="108"/>
        <v>77</v>
      </c>
      <c r="HL48" s="137" t="str">
        <f t="shared" si="259"/>
        <v>40</v>
      </c>
      <c r="HM48" s="137">
        <f t="shared" si="110"/>
        <v>117</v>
      </c>
      <c r="HN48" s="137">
        <f t="shared" si="111"/>
        <v>58.5</v>
      </c>
      <c r="HO48" s="135" t="str">
        <f t="shared" si="112"/>
        <v>C</v>
      </c>
      <c r="HP48" s="135" t="str">
        <f>VLOOKUP(RANK(HN48,$HN$10:$HN$109),Sheet1!$A$381:$B$480,2,FALSE)</f>
        <v>77th</v>
      </c>
      <c r="HQ48" s="137"/>
      <c r="HR48" s="137"/>
      <c r="HS48" s="137">
        <f t="shared" si="113"/>
        <v>0</v>
      </c>
      <c r="HT48" s="137" t="str">
        <f t="shared" si="260"/>
        <v>0</v>
      </c>
      <c r="HU48" s="137">
        <f t="shared" si="115"/>
        <v>0</v>
      </c>
      <c r="HV48" s="137">
        <f t="shared" si="116"/>
        <v>0</v>
      </c>
      <c r="HW48" s="135" t="str">
        <f t="shared" si="117"/>
        <v>F</v>
      </c>
      <c r="HX48" s="135" t="str">
        <f>VLOOKUP(RANK(HV48,$HV$10:$HV$109),Sheet1!$A$381:$B$480,2,FALSE)</f>
        <v>1st</v>
      </c>
      <c r="HY48" s="137"/>
      <c r="HZ48" s="137"/>
      <c r="IA48" s="137">
        <f t="shared" si="261"/>
        <v>0</v>
      </c>
      <c r="IB48" s="137" t="str">
        <f t="shared" si="262"/>
        <v>0</v>
      </c>
      <c r="IC48" s="137">
        <f t="shared" si="120"/>
        <v>0</v>
      </c>
      <c r="ID48" s="137">
        <f t="shared" si="121"/>
        <v>0</v>
      </c>
      <c r="IE48" s="135" t="str">
        <f t="shared" si="122"/>
        <v>F</v>
      </c>
      <c r="IF48" s="135" t="str">
        <f>VLOOKUP(RANK(ID48,$ID$10:$ID$109),Sheet1!$A$381:$B$480,2,FALSE)</f>
        <v>1st</v>
      </c>
      <c r="IG48" s="135"/>
      <c r="IH48" s="135"/>
      <c r="II48" s="135">
        <f t="shared" si="273"/>
        <v>0</v>
      </c>
      <c r="IJ48" s="135" t="str">
        <f t="shared" si="274"/>
        <v>0</v>
      </c>
      <c r="IK48" s="135">
        <f t="shared" si="275"/>
        <v>0</v>
      </c>
      <c r="IL48" s="135">
        <f t="shared" si="276"/>
        <v>0</v>
      </c>
      <c r="IM48" s="135" t="str">
        <f t="shared" si="123"/>
        <v>F</v>
      </c>
      <c r="IN48" s="135" t="str">
        <f>VLOOKUP(RANK(IL48,$IL$10:$IL$109),Sheet1!$A$381:$B$480,2,FALSE)</f>
        <v>1st</v>
      </c>
      <c r="IO48" s="135">
        <f t="shared" si="277"/>
        <v>478.5</v>
      </c>
      <c r="IP48" s="177">
        <f t="shared" si="278"/>
        <v>28.147058823529399</v>
      </c>
      <c r="IQ48" s="135" t="str">
        <f>VLOOKUP(RANK(IP48,$IP$10:$IP$109),Sheet1!$A$381:$B$480,2,FALSE)</f>
        <v>90th</v>
      </c>
      <c r="IR48" s="178"/>
      <c r="IS48" s="137"/>
      <c r="IT48" s="137"/>
      <c r="IU48" s="137"/>
      <c r="IV48" s="137"/>
      <c r="IW48" s="181"/>
      <c r="IX48" s="184"/>
      <c r="IY48" s="186"/>
      <c r="IZ48" s="186">
        <f t="shared" si="206"/>
        <v>0</v>
      </c>
      <c r="JA48" s="186" t="str">
        <f t="shared" si="124"/>
        <v>0</v>
      </c>
      <c r="JB48" s="186" t="str">
        <f t="shared" si="125"/>
        <v>71</v>
      </c>
      <c r="JC48" s="186">
        <f t="shared" si="279"/>
        <v>71</v>
      </c>
      <c r="JD48" s="186">
        <f t="shared" si="280"/>
        <v>23.6666666666667</v>
      </c>
      <c r="JE48" s="135" t="str">
        <f t="shared" si="126"/>
        <v>F</v>
      </c>
      <c r="JF48" s="151" t="str">
        <f>VLOOKUP(RANK(JD48,$JD$10:$JD$109),Sheet1!$A$381:$B$480,2,FALSE)</f>
        <v>95th</v>
      </c>
      <c r="JG48" s="186"/>
      <c r="JH48" s="186"/>
      <c r="JI48" s="186">
        <f t="shared" si="127"/>
        <v>0</v>
      </c>
      <c r="JJ48" s="186" t="str">
        <f t="shared" si="128"/>
        <v>0</v>
      </c>
      <c r="JK48" s="186" t="str">
        <f t="shared" si="129"/>
        <v>40</v>
      </c>
      <c r="JL48" s="186">
        <f t="shared" si="281"/>
        <v>40</v>
      </c>
      <c r="JM48" s="186">
        <f t="shared" si="282"/>
        <v>13.3333333333333</v>
      </c>
      <c r="JN48" s="135" t="str">
        <f t="shared" si="130"/>
        <v>F</v>
      </c>
      <c r="JO48" s="151" t="str">
        <f>VLOOKUP(RANK(JM48,$JM$10:$JM$109),Sheet1!$A$381:$B$480,2,FALSE)</f>
        <v>99th</v>
      </c>
      <c r="JP48" s="186"/>
      <c r="JQ48" s="186"/>
      <c r="JR48" s="186">
        <f t="shared" si="131"/>
        <v>0</v>
      </c>
      <c r="JS48" s="186" t="str">
        <f t="shared" si="132"/>
        <v>40</v>
      </c>
      <c r="JT48" s="186" t="str">
        <f t="shared" si="133"/>
        <v>40</v>
      </c>
      <c r="JU48" s="186">
        <f t="shared" si="283"/>
        <v>80</v>
      </c>
      <c r="JV48" s="186">
        <f t="shared" si="284"/>
        <v>26.6666666666667</v>
      </c>
      <c r="JW48" s="135" t="str">
        <f t="shared" si="134"/>
        <v>F</v>
      </c>
      <c r="JX48" s="151" t="str">
        <f>VLOOKUP(RANK(JV48,$JV$10:$JV$109),Sheet1!$A$381:$B$480,2,FALSE)</f>
        <v>69th</v>
      </c>
      <c r="JY48" s="186"/>
      <c r="JZ48" s="186"/>
      <c r="KA48" s="186">
        <f t="shared" si="135"/>
        <v>0</v>
      </c>
      <c r="KB48" s="186" t="str">
        <f t="shared" si="136"/>
        <v>51</v>
      </c>
      <c r="KC48" s="186" t="str">
        <f t="shared" si="137"/>
        <v>47</v>
      </c>
      <c r="KD48" s="186">
        <f t="shared" si="285"/>
        <v>98</v>
      </c>
      <c r="KE48" s="186">
        <f t="shared" si="286"/>
        <v>32.6666666666667</v>
      </c>
      <c r="KF48" s="135" t="str">
        <f t="shared" si="138"/>
        <v>F</v>
      </c>
      <c r="KG48" s="151" t="str">
        <f>VLOOKUP(RANK(KE48,$KE$10:$KE$109),Sheet1!$A$381:$B$480,2,FALSE)</f>
        <v>65th</v>
      </c>
      <c r="KH48" s="186"/>
      <c r="KI48" s="186"/>
      <c r="KJ48" s="186">
        <f t="shared" si="139"/>
        <v>0</v>
      </c>
      <c r="KK48" s="186" t="str">
        <f t="shared" si="140"/>
        <v>69</v>
      </c>
      <c r="KL48" s="186" t="str">
        <f t="shared" si="141"/>
        <v>32</v>
      </c>
      <c r="KM48" s="186">
        <f t="shared" si="287"/>
        <v>101</v>
      </c>
      <c r="KN48" s="186">
        <f t="shared" si="288"/>
        <v>33.6666666666667</v>
      </c>
      <c r="KO48" s="135" t="str">
        <f t="shared" si="142"/>
        <v>F</v>
      </c>
      <c r="KP48" s="151" t="str">
        <f>VLOOKUP(RANK(KN48,$KN$10:$KN$109),Sheet1!$A$381:$B$480,2,FALSE)</f>
        <v>58th</v>
      </c>
      <c r="KQ48" s="186"/>
      <c r="KR48" s="186"/>
      <c r="KS48" s="186">
        <f t="shared" si="143"/>
        <v>0</v>
      </c>
      <c r="KT48" s="186" t="str">
        <f t="shared" si="144"/>
        <v>0</v>
      </c>
      <c r="KU48" s="186" t="str">
        <f t="shared" si="145"/>
        <v>0</v>
      </c>
      <c r="KV48" s="186">
        <f t="shared" si="289"/>
        <v>0</v>
      </c>
      <c r="KW48" s="186">
        <f t="shared" si="290"/>
        <v>0</v>
      </c>
      <c r="KX48" s="135" t="str">
        <f t="shared" si="146"/>
        <v>F</v>
      </c>
      <c r="KY48" s="151" t="str">
        <f>VLOOKUP(RANK(KW48,$KW$10:$KW$109),Sheet1!$A$381:$B$480,2,FALSE)</f>
        <v>1st</v>
      </c>
      <c r="KZ48" s="186"/>
      <c r="LA48" s="186"/>
      <c r="LB48" s="186">
        <f t="shared" si="147"/>
        <v>0</v>
      </c>
      <c r="LC48" s="186" t="str">
        <f t="shared" si="148"/>
        <v>0</v>
      </c>
      <c r="LD48" s="186" t="str">
        <f t="shared" si="149"/>
        <v>0</v>
      </c>
      <c r="LE48" s="186">
        <f t="shared" si="291"/>
        <v>0</v>
      </c>
      <c r="LF48" s="186">
        <f t="shared" si="292"/>
        <v>0</v>
      </c>
      <c r="LG48" s="135" t="str">
        <f t="shared" si="150"/>
        <v>F</v>
      </c>
      <c r="LH48" s="151" t="str">
        <f>VLOOKUP(RANK(LF48,$LF$10:$LF$109),Sheet1!$A$381:$B$480,2,FALSE)</f>
        <v>1st</v>
      </c>
      <c r="LI48" s="186"/>
      <c r="LJ48" s="186"/>
      <c r="LK48" s="186">
        <f t="shared" si="151"/>
        <v>0</v>
      </c>
      <c r="LL48" s="186" t="str">
        <f t="shared" si="152"/>
        <v>51</v>
      </c>
      <c r="LM48" s="186" t="str">
        <f t="shared" si="153"/>
        <v>50</v>
      </c>
      <c r="LN48" s="186">
        <f t="shared" si="293"/>
        <v>101</v>
      </c>
      <c r="LO48" s="186">
        <f t="shared" si="294"/>
        <v>33.6666666666667</v>
      </c>
      <c r="LP48" s="135" t="str">
        <f t="shared" si="154"/>
        <v>F</v>
      </c>
      <c r="LQ48" s="151" t="str">
        <f>VLOOKUP(RANK(LO48,$LO$10:$LO$109),Sheet1!$A$381:$B$480,2,FALSE)</f>
        <v>65th</v>
      </c>
      <c r="LR48" s="186"/>
      <c r="LS48" s="186"/>
      <c r="LT48" s="186">
        <f t="shared" si="155"/>
        <v>0</v>
      </c>
      <c r="LU48" s="186" t="str">
        <f t="shared" si="156"/>
        <v>40</v>
      </c>
      <c r="LV48" s="186" t="str">
        <f t="shared" si="157"/>
        <v>42</v>
      </c>
      <c r="LW48" s="186">
        <f t="shared" si="295"/>
        <v>82</v>
      </c>
      <c r="LX48" s="186">
        <f t="shared" si="296"/>
        <v>27.3333333333333</v>
      </c>
      <c r="LY48" s="135" t="str">
        <f t="shared" si="158"/>
        <v>F</v>
      </c>
      <c r="LZ48" s="151" t="str">
        <f>VLOOKUP(RANK(LX48,$LX$10:$LX$109),Sheet1!$A$381:$B$480,2,FALSE)</f>
        <v>82nd</v>
      </c>
      <c r="MA48" s="186"/>
      <c r="MB48" s="186"/>
      <c r="MC48" s="186">
        <f t="shared" si="159"/>
        <v>0</v>
      </c>
      <c r="MD48" s="186" t="str">
        <f t="shared" si="160"/>
        <v>22</v>
      </c>
      <c r="ME48" s="186" t="str">
        <f t="shared" si="161"/>
        <v>35</v>
      </c>
      <c r="MF48" s="183">
        <f t="shared" si="297"/>
        <v>57</v>
      </c>
      <c r="MG48" s="151">
        <f t="shared" si="298"/>
        <v>19</v>
      </c>
      <c r="MH48" s="135" t="str">
        <f t="shared" si="162"/>
        <v>F</v>
      </c>
      <c r="MI48" s="151" t="str">
        <f>VLOOKUP(RANK(MG48,$MG$10:$MG$109),Sheet1!$A$381:$B$480,2,FALSE)</f>
        <v>87th</v>
      </c>
      <c r="MJ48" s="186"/>
      <c r="MK48" s="186"/>
      <c r="ML48" s="186">
        <f t="shared" si="163"/>
        <v>0</v>
      </c>
      <c r="MM48" s="186" t="str">
        <f t="shared" si="164"/>
        <v>57</v>
      </c>
      <c r="MN48" s="186" t="str">
        <f t="shared" si="165"/>
        <v>42</v>
      </c>
      <c r="MO48" s="186">
        <f t="shared" si="299"/>
        <v>99</v>
      </c>
      <c r="MP48" s="186">
        <f t="shared" si="300"/>
        <v>33</v>
      </c>
      <c r="MQ48" s="135" t="str">
        <f t="shared" si="166"/>
        <v>F</v>
      </c>
      <c r="MR48" s="151" t="str">
        <f>VLOOKUP(RANK(MP48,$MP$10:$MP$109),Sheet1!$A$381:$B$480,2,FALSE)</f>
        <v>28th</v>
      </c>
      <c r="MS48" s="186"/>
      <c r="MT48" s="186"/>
      <c r="MU48" s="186">
        <f t="shared" si="167"/>
        <v>0</v>
      </c>
      <c r="MV48" s="186" t="str">
        <f t="shared" si="168"/>
        <v>42</v>
      </c>
      <c r="MW48" s="186" t="str">
        <f t="shared" si="169"/>
        <v>36</v>
      </c>
      <c r="MX48" s="186">
        <f t="shared" si="301"/>
        <v>78</v>
      </c>
      <c r="MY48" s="186">
        <f t="shared" si="302"/>
        <v>26</v>
      </c>
      <c r="MZ48" s="135" t="str">
        <f t="shared" si="170"/>
        <v>F</v>
      </c>
      <c r="NA48" s="151" t="str">
        <f>VLOOKUP(RANK(MY48,$MY$10:$MY$109),Sheet1!$A$381:$B$480,2,FALSE)</f>
        <v>73rd</v>
      </c>
      <c r="NB48" s="186"/>
      <c r="NC48" s="186"/>
      <c r="ND48" s="186">
        <f t="shared" si="171"/>
        <v>0</v>
      </c>
      <c r="NE48" s="186" t="str">
        <f t="shared" si="172"/>
        <v>37</v>
      </c>
      <c r="NF48" s="186" t="str">
        <f t="shared" si="173"/>
        <v>36</v>
      </c>
      <c r="NG48" s="186">
        <f t="shared" si="303"/>
        <v>73</v>
      </c>
      <c r="NH48" s="186">
        <f t="shared" si="304"/>
        <v>24.3333333333333</v>
      </c>
      <c r="NI48" s="135" t="str">
        <f t="shared" si="174"/>
        <v>F</v>
      </c>
      <c r="NJ48" s="151" t="str">
        <f>VLOOKUP(RANK(NH48,$NH$10:$NH$109),Sheet1!$A$381:$B$480,2,FALSE)</f>
        <v>92nd</v>
      </c>
      <c r="NK48" s="186"/>
      <c r="NL48" s="186"/>
      <c r="NM48" s="186">
        <f t="shared" si="175"/>
        <v>0</v>
      </c>
      <c r="NN48" s="186" t="str">
        <f t="shared" si="176"/>
        <v>40</v>
      </c>
      <c r="NO48" s="186" t="str">
        <f t="shared" si="177"/>
        <v>77</v>
      </c>
      <c r="NP48" s="186">
        <f t="shared" si="305"/>
        <v>117</v>
      </c>
      <c r="NQ48" s="186">
        <f t="shared" si="263"/>
        <v>39</v>
      </c>
      <c r="NR48" s="135" t="str">
        <f t="shared" si="179"/>
        <v>E</v>
      </c>
      <c r="NS48" s="151" t="str">
        <f>VLOOKUP(RANK(NQ48,$NQ$10:$NQ$109),Sheet1!$A$381:$B$480,2,FALSE)</f>
        <v>77th</v>
      </c>
      <c r="NT48" s="186"/>
      <c r="NU48" s="186"/>
      <c r="NV48" s="186">
        <f t="shared" si="180"/>
        <v>0</v>
      </c>
      <c r="NW48" s="186" t="str">
        <f t="shared" si="181"/>
        <v>0</v>
      </c>
      <c r="NX48" s="186" t="str">
        <f t="shared" si="182"/>
        <v>0</v>
      </c>
      <c r="NY48" s="186">
        <f t="shared" si="306"/>
        <v>0</v>
      </c>
      <c r="NZ48" s="186">
        <f t="shared" si="264"/>
        <v>0</v>
      </c>
      <c r="OA48" s="135" t="str">
        <f t="shared" si="184"/>
        <v>F</v>
      </c>
      <c r="OB48" s="151" t="str">
        <f>VLOOKUP(RANK(NZ48,$NZ$10:$NZ$109),Sheet1!$A$381:$B$480,2,FALSE)</f>
        <v>1st</v>
      </c>
      <c r="OC48" s="186"/>
      <c r="OD48" s="186"/>
      <c r="OE48" s="186">
        <f t="shared" si="185"/>
        <v>0</v>
      </c>
      <c r="OF48" s="186" t="str">
        <f t="shared" si="186"/>
        <v>0</v>
      </c>
      <c r="OG48" s="186" t="str">
        <f t="shared" si="187"/>
        <v>0</v>
      </c>
      <c r="OH48" s="186">
        <f t="shared" si="307"/>
        <v>0</v>
      </c>
      <c r="OI48" s="186">
        <f t="shared" si="236"/>
        <v>0</v>
      </c>
      <c r="OJ48" s="135" t="str">
        <f t="shared" si="188"/>
        <v>F</v>
      </c>
      <c r="OK48" s="151" t="str">
        <f>VLOOKUP(RANK(OI48,$OI$10:$OI$109),Sheet1!$A$381:$B$480,2,FALSE)</f>
        <v>1st</v>
      </c>
      <c r="OL48" s="151"/>
      <c r="OM48" s="151"/>
      <c r="ON48" s="151">
        <f t="shared" si="308"/>
        <v>0</v>
      </c>
      <c r="OO48" s="151" t="str">
        <f t="shared" si="309"/>
        <v>0</v>
      </c>
      <c r="OP48" s="151" t="str">
        <f t="shared" si="310"/>
        <v>0</v>
      </c>
      <c r="OQ48" s="151">
        <f t="shared" si="311"/>
        <v>0</v>
      </c>
      <c r="OR48" s="151">
        <f t="shared" si="312"/>
        <v>0</v>
      </c>
      <c r="OS48" s="135" t="str">
        <f t="shared" si="189"/>
        <v>F</v>
      </c>
      <c r="OT48" s="151" t="str">
        <f>VLOOKUP(RANK(OR48,$OI$10:$OI$109),Sheet1!$A$381:$B$480,2,FALSE)</f>
        <v>1st</v>
      </c>
      <c r="OU48" s="151">
        <f t="shared" si="313"/>
        <v>332.33333333333297</v>
      </c>
      <c r="OV48" s="151">
        <f t="shared" si="314"/>
        <v>19.5490196078431</v>
      </c>
      <c r="OW48" s="151" t="str">
        <f>VLOOKUP(RANK(OV48,$OV$10:$OV$109),Sheet1!$A$381:$B$480,2,FALSE)</f>
        <v>90th</v>
      </c>
      <c r="OX48" s="151"/>
      <c r="OY48" s="186"/>
      <c r="OZ48" s="186"/>
      <c r="PA48" s="186"/>
      <c r="PB48" s="186"/>
    </row>
    <row r="49" spans="1:418" s="118" customFormat="1" ht="18.75">
      <c r="A49" s="131">
        <v>40</v>
      </c>
      <c r="B49" s="132" t="s">
        <v>137</v>
      </c>
      <c r="C49" s="133" t="s">
        <v>97</v>
      </c>
      <c r="D49" s="139"/>
      <c r="E49" s="139"/>
      <c r="F49" s="137">
        <f t="shared" si="0"/>
        <v>0</v>
      </c>
      <c r="G49" s="137">
        <f t="shared" si="1"/>
        <v>0</v>
      </c>
      <c r="H49" s="135" t="str">
        <f t="shared" si="265"/>
        <v>F</v>
      </c>
      <c r="I49" s="135" t="str">
        <f>VLOOKUP(RANK(G49,$G$10:$G$109),Sheet1!$A$381:$B$480,2,FALSE)</f>
        <v>97th</v>
      </c>
      <c r="J49" s="134">
        <v>28</v>
      </c>
      <c r="K49" s="134">
        <v>15</v>
      </c>
      <c r="L49" s="137">
        <f t="shared" si="2"/>
        <v>43</v>
      </c>
      <c r="M49" s="137">
        <f t="shared" si="3"/>
        <v>43</v>
      </c>
      <c r="N49" s="135" t="str">
        <f t="shared" si="4"/>
        <v>D</v>
      </c>
      <c r="O49" s="141" t="str">
        <f>VLOOKUP(RANK(M49,$M$10:$M$109),Sheet1!$A$381:$B$480,2,FALSE)</f>
        <v>83rd</v>
      </c>
      <c r="P49" s="144">
        <v>25</v>
      </c>
      <c r="Q49" s="144">
        <v>5</v>
      </c>
      <c r="R49" s="147">
        <f t="shared" si="5"/>
        <v>30</v>
      </c>
      <c r="S49" s="137">
        <f t="shared" si="6"/>
        <v>30</v>
      </c>
      <c r="T49" s="135" t="str">
        <f t="shared" si="7"/>
        <v>F</v>
      </c>
      <c r="U49" s="135" t="str">
        <f>VLOOKUP(RANK(S49,$S$10:$S$109),Sheet1!$A$381:$B$480,2,FALSE)</f>
        <v>80th</v>
      </c>
      <c r="V49" s="134">
        <v>31</v>
      </c>
      <c r="W49" s="134">
        <v>17</v>
      </c>
      <c r="X49" s="137">
        <f t="shared" si="191"/>
        <v>48</v>
      </c>
      <c r="Y49" s="137">
        <f t="shared" si="244"/>
        <v>48</v>
      </c>
      <c r="Z49" s="135" t="str">
        <f t="shared" si="8"/>
        <v>D</v>
      </c>
      <c r="AA49" s="135" t="str">
        <f>VLOOKUP(RANK(Y49,$Y$10:$Y$109),Sheet1!$A$381:$B$480,2,FALSE)</f>
        <v>75th</v>
      </c>
      <c r="AB49" s="134">
        <v>29</v>
      </c>
      <c r="AC49" s="134">
        <v>2</v>
      </c>
      <c r="AD49" s="137">
        <f t="shared" si="9"/>
        <v>31</v>
      </c>
      <c r="AE49" s="137">
        <f t="shared" si="10"/>
        <v>31</v>
      </c>
      <c r="AF49" s="135" t="str">
        <f t="shared" si="11"/>
        <v>F</v>
      </c>
      <c r="AG49" s="135" t="str">
        <f>VLOOKUP(RANK(AE49,$AE$10:$AE$109),Sheet1!$A$381:$B$480,2,FALSE)</f>
        <v>90th</v>
      </c>
      <c r="AH49" s="137"/>
      <c r="AI49" s="137"/>
      <c r="AJ49" s="137">
        <f t="shared" si="12"/>
        <v>0</v>
      </c>
      <c r="AK49" s="137">
        <f t="shared" si="13"/>
        <v>0</v>
      </c>
      <c r="AL49" s="135" t="str">
        <f t="shared" si="14"/>
        <v>F</v>
      </c>
      <c r="AM49" s="135" t="str">
        <f>VLOOKUP(RANK(AK49,$AK$10:$AK$109),Sheet1!$A$381:$B$480,2,FALSE)</f>
        <v>1st</v>
      </c>
      <c r="AN49" s="139"/>
      <c r="AO49" s="139"/>
      <c r="AP49" s="137">
        <f t="shared" si="15"/>
        <v>0</v>
      </c>
      <c r="AQ49" s="137">
        <f t="shared" si="16"/>
        <v>0</v>
      </c>
      <c r="AR49" s="135" t="str">
        <f t="shared" si="17"/>
        <v>F</v>
      </c>
      <c r="AS49" s="135" t="str">
        <f>VLOOKUP(RANK(AQ49,$AQ$10:$AQ$109),Sheet1!$A$381:$B$480,2,FALSE)</f>
        <v>1st</v>
      </c>
      <c r="AT49" s="142">
        <v>25</v>
      </c>
      <c r="AU49" s="145">
        <v>25</v>
      </c>
      <c r="AV49" s="137">
        <f t="shared" si="18"/>
        <v>50</v>
      </c>
      <c r="AW49" s="137">
        <f t="shared" si="19"/>
        <v>50</v>
      </c>
      <c r="AX49" s="135" t="str">
        <f t="shared" si="20"/>
        <v>C</v>
      </c>
      <c r="AY49" s="141" t="str">
        <f>VLOOKUP(RANK(AW49,$AW$10:$AW$109),Sheet1!$A$381:$B$480,2,FALSE)</f>
        <v>58th</v>
      </c>
      <c r="AZ49" s="144">
        <v>32</v>
      </c>
      <c r="BA49" s="144">
        <v>16</v>
      </c>
      <c r="BB49" s="147">
        <f t="shared" si="21"/>
        <v>48</v>
      </c>
      <c r="BC49" s="137">
        <f t="shared" si="22"/>
        <v>48</v>
      </c>
      <c r="BD49" s="135" t="str">
        <f t="shared" si="23"/>
        <v>D</v>
      </c>
      <c r="BE49" s="135" t="str">
        <f>VLOOKUP(RANK(BC49,$BC$10:$BC$109),Sheet1!$A$381:$B$480,2,FALSE)</f>
        <v>63rd</v>
      </c>
      <c r="BF49" s="144">
        <v>15</v>
      </c>
      <c r="BG49" s="144">
        <v>14</v>
      </c>
      <c r="BH49" s="137">
        <f t="shared" si="24"/>
        <v>29</v>
      </c>
      <c r="BI49" s="137">
        <f t="shared" si="25"/>
        <v>29</v>
      </c>
      <c r="BJ49" s="135" t="str">
        <f t="shared" si="26"/>
        <v>F</v>
      </c>
      <c r="BK49" s="141" t="str">
        <f>VLOOKUP(RANK(BI49,$BI$10:$BI$109),Sheet1!$A$381:$B$480,2,FALSE)</f>
        <v>69th</v>
      </c>
      <c r="BL49" s="149">
        <v>26</v>
      </c>
      <c r="BM49" s="149">
        <v>24</v>
      </c>
      <c r="BN49" s="147">
        <f t="shared" si="27"/>
        <v>50</v>
      </c>
      <c r="BO49" s="137">
        <f t="shared" si="28"/>
        <v>50</v>
      </c>
      <c r="BP49" s="135" t="str">
        <f t="shared" si="29"/>
        <v>C</v>
      </c>
      <c r="BQ49" s="141" t="str">
        <f>VLOOKUP(RANK(BO49,$BO$10:$BO$109),Sheet1!$A$381:$B$480,2,FALSE)</f>
        <v>85th</v>
      </c>
      <c r="BR49" s="149">
        <v>29</v>
      </c>
      <c r="BS49" s="149">
        <v>8</v>
      </c>
      <c r="BT49" s="147">
        <f t="shared" si="30"/>
        <v>37</v>
      </c>
      <c r="BU49" s="137">
        <f t="shared" si="31"/>
        <v>37</v>
      </c>
      <c r="BV49" s="135" t="str">
        <f t="shared" si="32"/>
        <v>E</v>
      </c>
      <c r="BW49" s="135" t="str">
        <f>VLOOKUP(RANK(BU49,$BU$10:$BU$109),Sheet1!$A$381:$B$480,2,FALSE)</f>
        <v>71st</v>
      </c>
      <c r="BX49" s="149">
        <v>26</v>
      </c>
      <c r="BY49" s="149">
        <v>10</v>
      </c>
      <c r="BZ49" s="137">
        <f t="shared" si="33"/>
        <v>36</v>
      </c>
      <c r="CA49" s="137">
        <f t="shared" si="34"/>
        <v>36</v>
      </c>
      <c r="CB49" s="135" t="str">
        <f t="shared" si="35"/>
        <v>E</v>
      </c>
      <c r="CC49" s="135" t="str">
        <f>VLOOKUP(RANK(CA49,$CA$10:$CA$109),Sheet1!$A$381:$B$480,2,FALSE)</f>
        <v>91st</v>
      </c>
      <c r="CD49" s="149">
        <v>20</v>
      </c>
      <c r="CE49" s="149">
        <v>30</v>
      </c>
      <c r="CF49" s="137">
        <f t="shared" si="36"/>
        <v>50</v>
      </c>
      <c r="CG49" s="137">
        <f t="shared" si="37"/>
        <v>50</v>
      </c>
      <c r="CH49" s="135" t="str">
        <f t="shared" si="38"/>
        <v>C</v>
      </c>
      <c r="CI49" s="135" t="str">
        <f>VLOOKUP(RANK(CG49,$CG$10:$CG$109),Sheet1!$A$381:$B$480,2,FALSE)</f>
        <v>71st</v>
      </c>
      <c r="CJ49" s="137"/>
      <c r="CK49" s="137"/>
      <c r="CL49" s="137">
        <f t="shared" si="39"/>
        <v>0</v>
      </c>
      <c r="CM49" s="137">
        <f t="shared" si="40"/>
        <v>0</v>
      </c>
      <c r="CN49" s="135" t="str">
        <f t="shared" si="41"/>
        <v>F</v>
      </c>
      <c r="CO49" s="135" t="str">
        <f>VLOOKUP(RANK(CM49,$CM$10:$CM$109),Sheet1!$A$381:$B$480,2,FALSE)</f>
        <v>1st</v>
      </c>
      <c r="CP49" s="137"/>
      <c r="CQ49" s="137"/>
      <c r="CR49" s="137">
        <f t="shared" si="42"/>
        <v>0</v>
      </c>
      <c r="CS49" s="137">
        <f t="shared" si="43"/>
        <v>0</v>
      </c>
      <c r="CT49" s="135" t="str">
        <f t="shared" si="44"/>
        <v>F</v>
      </c>
      <c r="CU49" s="135" t="str">
        <f>VLOOKUP(RANK(CS49,$CS$10:$CS$109),Sheet1!$A$381:$B$480,2,FALSE)</f>
        <v>1st</v>
      </c>
      <c r="CV49" s="151"/>
      <c r="CW49" s="135"/>
      <c r="CX49" s="151">
        <f t="shared" si="266"/>
        <v>0</v>
      </c>
      <c r="CY49" s="151">
        <f t="shared" si="267"/>
        <v>0</v>
      </c>
      <c r="CZ49" s="135" t="str">
        <f t="shared" si="45"/>
        <v>F</v>
      </c>
      <c r="DA49" s="135" t="str">
        <f>VLOOKUP(RANK(CY49,$CY$10:$CY$109),Sheet1!$A$381:$B$480,2,FALSE)</f>
        <v>1st</v>
      </c>
      <c r="DB49" s="135"/>
      <c r="DC49" s="151">
        <f t="shared" si="268"/>
        <v>452</v>
      </c>
      <c r="DD49" s="151">
        <f t="shared" si="269"/>
        <v>26.588235294117599</v>
      </c>
      <c r="DE49" s="135" t="str">
        <f>VLOOKUP(RANK(DD49,$DD$10:$DD$109),Sheet1!$A$381:$B$480,2,FALSE)</f>
        <v>98th</v>
      </c>
      <c r="DF49" s="137"/>
      <c r="DG49" s="160">
        <f t="shared" si="46"/>
        <v>478.58823529411802</v>
      </c>
      <c r="DH49" s="119"/>
      <c r="DI49" s="162">
        <v>33</v>
      </c>
      <c r="DJ49" s="162">
        <v>47</v>
      </c>
      <c r="DK49" s="137">
        <f t="shared" si="47"/>
        <v>80</v>
      </c>
      <c r="DL49" s="137" t="str">
        <f t="shared" si="245"/>
        <v>0</v>
      </c>
      <c r="DM49" s="137">
        <f t="shared" si="49"/>
        <v>80</v>
      </c>
      <c r="DN49" s="137">
        <f t="shared" si="50"/>
        <v>40</v>
      </c>
      <c r="DO49" s="135" t="str">
        <f t="shared" si="51"/>
        <v>D</v>
      </c>
      <c r="DP49" s="135" t="str">
        <f>VLOOKUP(RANK(DN49,$DN$10:$DN$109),Sheet1!$A$381:$B$480,2,FALSE)</f>
        <v>94th</v>
      </c>
      <c r="DQ49" s="166">
        <v>29</v>
      </c>
      <c r="DR49" s="166">
        <v>17</v>
      </c>
      <c r="DS49" s="137">
        <f t="shared" si="52"/>
        <v>46</v>
      </c>
      <c r="DT49" s="137" t="str">
        <f t="shared" si="246"/>
        <v>43</v>
      </c>
      <c r="DU49" s="137">
        <f t="shared" si="54"/>
        <v>89</v>
      </c>
      <c r="DV49" s="137">
        <f t="shared" si="247"/>
        <v>44.5</v>
      </c>
      <c r="DW49" s="135" t="str">
        <f t="shared" si="56"/>
        <v>D</v>
      </c>
      <c r="DX49" s="135" t="str">
        <f>VLOOKUP(RANK(DV49,$DV$10:$DV$109),Sheet1!$A$381:$B$480,2,FALSE)</f>
        <v>72nd</v>
      </c>
      <c r="DY49" s="168">
        <v>32</v>
      </c>
      <c r="DZ49" s="168">
        <v>12</v>
      </c>
      <c r="EA49" s="137">
        <f t="shared" si="57"/>
        <v>44</v>
      </c>
      <c r="EB49" s="137" t="str">
        <f t="shared" si="248"/>
        <v>30</v>
      </c>
      <c r="EC49" s="137">
        <f t="shared" si="59"/>
        <v>74</v>
      </c>
      <c r="ED49" s="137">
        <f t="shared" si="60"/>
        <v>37</v>
      </c>
      <c r="EE49" s="135" t="str">
        <f t="shared" si="61"/>
        <v>E</v>
      </c>
      <c r="EF49" s="135" t="str">
        <f>VLOOKUP(RANK(ED49,$ED$10:$ED$109),Sheet1!$A$381:$B$480,2,FALSE)</f>
        <v>76th</v>
      </c>
      <c r="EG49" s="162">
        <v>21</v>
      </c>
      <c r="EH49" s="162">
        <v>24</v>
      </c>
      <c r="EI49" s="137">
        <f t="shared" si="62"/>
        <v>45</v>
      </c>
      <c r="EJ49" s="137" t="str">
        <f t="shared" si="249"/>
        <v>48</v>
      </c>
      <c r="EK49" s="137">
        <f t="shared" si="64"/>
        <v>93</v>
      </c>
      <c r="EL49" s="137">
        <f t="shared" si="65"/>
        <v>46.5</v>
      </c>
      <c r="EM49" s="135" t="str">
        <f t="shared" si="66"/>
        <v>D</v>
      </c>
      <c r="EN49" s="135" t="str">
        <f>VLOOKUP(RANK(EL49,$EL$10:$EL$109),Sheet1!$A$381:$B$480,2,FALSE)</f>
        <v>75th</v>
      </c>
      <c r="EO49" s="162">
        <v>25</v>
      </c>
      <c r="EP49" s="162">
        <v>5</v>
      </c>
      <c r="EQ49" s="137">
        <f t="shared" si="67"/>
        <v>30</v>
      </c>
      <c r="ER49" s="137" t="str">
        <f t="shared" si="250"/>
        <v>31</v>
      </c>
      <c r="ES49" s="137">
        <f t="shared" si="69"/>
        <v>61</v>
      </c>
      <c r="ET49" s="137">
        <f t="shared" si="70"/>
        <v>30.5</v>
      </c>
      <c r="EU49" s="135" t="str">
        <f t="shared" si="71"/>
        <v>F</v>
      </c>
      <c r="EV49" s="135" t="str">
        <f>VLOOKUP(RANK(ET49,$ET$10:$ET$109),Sheet1!$A$381:$B$480,2,FALSE)</f>
        <v>98th</v>
      </c>
      <c r="EW49" s="137"/>
      <c r="EX49" s="137"/>
      <c r="EY49" s="137">
        <f t="shared" si="72"/>
        <v>0</v>
      </c>
      <c r="EZ49" s="137" t="str">
        <f t="shared" si="251"/>
        <v>0</v>
      </c>
      <c r="FA49" s="137">
        <f t="shared" si="74"/>
        <v>0</v>
      </c>
      <c r="FB49" s="137">
        <f t="shared" si="75"/>
        <v>0</v>
      </c>
      <c r="FC49" s="135" t="str">
        <f t="shared" si="76"/>
        <v>F</v>
      </c>
      <c r="FD49" s="135" t="str">
        <f>VLOOKUP(RANK(FB49,$FB$10:$FB$109),Sheet1!$A$381:$B$480,2,FALSE)</f>
        <v>1st</v>
      </c>
      <c r="FE49" s="137"/>
      <c r="FF49" s="137"/>
      <c r="FG49" s="137">
        <f t="shared" si="77"/>
        <v>0</v>
      </c>
      <c r="FH49" s="137" t="str">
        <f t="shared" si="252"/>
        <v>0</v>
      </c>
      <c r="FI49" s="137">
        <f t="shared" si="79"/>
        <v>0</v>
      </c>
      <c r="FJ49" s="137">
        <f t="shared" si="80"/>
        <v>0</v>
      </c>
      <c r="FK49" s="135" t="str">
        <f t="shared" si="81"/>
        <v>F</v>
      </c>
      <c r="FL49" s="135" t="str">
        <f>VLOOKUP(RANK(FJ49,$FJ$10:$FJ$109),Sheet1!$A$381:$B$480,2,FALSE)</f>
        <v>1st</v>
      </c>
      <c r="FM49" s="164">
        <v>26</v>
      </c>
      <c r="FN49" s="165">
        <v>25</v>
      </c>
      <c r="FO49" s="137">
        <f t="shared" si="82"/>
        <v>51</v>
      </c>
      <c r="FP49" s="137" t="str">
        <f t="shared" si="253"/>
        <v>50</v>
      </c>
      <c r="FQ49" s="137">
        <f t="shared" si="84"/>
        <v>101</v>
      </c>
      <c r="FR49" s="137">
        <f t="shared" si="85"/>
        <v>50.5</v>
      </c>
      <c r="FS49" s="135" t="str">
        <f t="shared" si="86"/>
        <v>C</v>
      </c>
      <c r="FT49" s="135" t="str">
        <f>VLOOKUP(RANK(FR49,$FR$10:$FR$109),Sheet1!$A$381:$B$480,2,FALSE)</f>
        <v>65th</v>
      </c>
      <c r="FU49" s="149">
        <v>37</v>
      </c>
      <c r="FV49" s="149">
        <v>20</v>
      </c>
      <c r="FW49" s="137">
        <f t="shared" si="87"/>
        <v>57</v>
      </c>
      <c r="FX49" s="137" t="str">
        <f t="shared" si="254"/>
        <v>48</v>
      </c>
      <c r="FY49" s="137">
        <f t="shared" si="196"/>
        <v>57</v>
      </c>
      <c r="FZ49" s="137">
        <f t="shared" si="89"/>
        <v>28.5</v>
      </c>
      <c r="GA49" s="135" t="str">
        <f t="shared" si="90"/>
        <v>F</v>
      </c>
      <c r="GB49" s="135" t="str">
        <f>VLOOKUP(RANK(FZ49,$FZ$10:$FZ$109),Sheet1!$A$381:$B$480,2,FALSE)</f>
        <v>33rd</v>
      </c>
      <c r="GC49" s="166">
        <v>25</v>
      </c>
      <c r="GD49" s="166">
        <v>26</v>
      </c>
      <c r="GE49" s="137">
        <f t="shared" si="91"/>
        <v>51</v>
      </c>
      <c r="GF49" s="137" t="str">
        <f t="shared" si="255"/>
        <v>29</v>
      </c>
      <c r="GG49" s="135">
        <f t="shared" si="270"/>
        <v>80</v>
      </c>
      <c r="GH49" s="137">
        <f t="shared" si="271"/>
        <v>40</v>
      </c>
      <c r="GI49" s="135" t="str">
        <f t="shared" si="93"/>
        <v>D</v>
      </c>
      <c r="GJ49" s="135" t="str">
        <f>VLOOKUP(RANK(GH49,$GH$10:$GH$109),Sheet1!$A$381:$B$480,2,FALSE)</f>
        <v>44th</v>
      </c>
      <c r="GK49" s="166">
        <v>25</v>
      </c>
      <c r="GL49" s="166">
        <v>17</v>
      </c>
      <c r="GM49" s="137">
        <f t="shared" si="94"/>
        <v>42</v>
      </c>
      <c r="GN49" s="137" t="str">
        <f t="shared" si="256"/>
        <v>50</v>
      </c>
      <c r="GO49" s="135">
        <f t="shared" si="272"/>
        <v>92</v>
      </c>
      <c r="GP49" s="137">
        <f t="shared" si="96"/>
        <v>46</v>
      </c>
      <c r="GQ49" s="135" t="str">
        <f t="shared" si="97"/>
        <v>D</v>
      </c>
      <c r="GR49" s="135" t="str">
        <f>VLOOKUP(RANK(GP49,$GP$10:$GP$109),Sheet1!$A$381:$B$480,2,FALSE)</f>
        <v>82nd</v>
      </c>
      <c r="GS49" s="166">
        <v>29</v>
      </c>
      <c r="GT49" s="166">
        <v>33</v>
      </c>
      <c r="GU49" s="137">
        <f t="shared" si="98"/>
        <v>62</v>
      </c>
      <c r="GV49" s="137" t="str">
        <f t="shared" si="257"/>
        <v>37</v>
      </c>
      <c r="GW49" s="137">
        <f t="shared" si="100"/>
        <v>99</v>
      </c>
      <c r="GX49" s="137">
        <f t="shared" si="101"/>
        <v>49.5</v>
      </c>
      <c r="GY49" s="135" t="str">
        <f t="shared" si="102"/>
        <v>D</v>
      </c>
      <c r="GZ49" s="135" t="str">
        <f>VLOOKUP(RANK(GX49,$GX$10:$GX$109),Sheet1!$A$381:$B$480,2,FALSE)</f>
        <v>50th</v>
      </c>
      <c r="HA49" s="166">
        <v>30</v>
      </c>
      <c r="HB49" s="166">
        <v>13</v>
      </c>
      <c r="HC49" s="137">
        <f t="shared" si="103"/>
        <v>43</v>
      </c>
      <c r="HD49" s="137" t="str">
        <f t="shared" si="258"/>
        <v>36</v>
      </c>
      <c r="HE49" s="137">
        <f t="shared" si="105"/>
        <v>79</v>
      </c>
      <c r="HF49" s="137">
        <f t="shared" si="106"/>
        <v>39.5</v>
      </c>
      <c r="HG49" s="135" t="str">
        <f t="shared" si="107"/>
        <v>E</v>
      </c>
      <c r="HH49" s="135" t="str">
        <f>VLOOKUP(RANK(HF49,$HF$10:$HF$109),Sheet1!$A$381:$B$480,2,FALSE)</f>
        <v>67th</v>
      </c>
      <c r="HI49" s="149">
        <v>30</v>
      </c>
      <c r="HJ49" s="149">
        <v>52</v>
      </c>
      <c r="HK49" s="137">
        <f t="shared" si="108"/>
        <v>82</v>
      </c>
      <c r="HL49" s="137" t="str">
        <f t="shared" si="259"/>
        <v>50</v>
      </c>
      <c r="HM49" s="137">
        <f t="shared" si="110"/>
        <v>132</v>
      </c>
      <c r="HN49" s="137">
        <f t="shared" si="111"/>
        <v>66</v>
      </c>
      <c r="HO49" s="135" t="str">
        <f t="shared" si="112"/>
        <v>B</v>
      </c>
      <c r="HP49" s="135" t="str">
        <f>VLOOKUP(RANK(HN49,$HN$10:$HN$109),Sheet1!$A$381:$B$480,2,FALSE)</f>
        <v>42nd</v>
      </c>
      <c r="HQ49" s="137"/>
      <c r="HR49" s="137"/>
      <c r="HS49" s="137">
        <f t="shared" si="113"/>
        <v>0</v>
      </c>
      <c r="HT49" s="137" t="str">
        <f t="shared" si="260"/>
        <v>0</v>
      </c>
      <c r="HU49" s="137">
        <f t="shared" si="115"/>
        <v>0</v>
      </c>
      <c r="HV49" s="137">
        <f t="shared" si="116"/>
        <v>0</v>
      </c>
      <c r="HW49" s="135" t="str">
        <f t="shared" si="117"/>
        <v>F</v>
      </c>
      <c r="HX49" s="135" t="str">
        <f>VLOOKUP(RANK(HV49,$HV$10:$HV$109),Sheet1!$A$381:$B$480,2,FALSE)</f>
        <v>1st</v>
      </c>
      <c r="HY49" s="137"/>
      <c r="HZ49" s="137"/>
      <c r="IA49" s="137">
        <f t="shared" si="261"/>
        <v>0</v>
      </c>
      <c r="IB49" s="137" t="str">
        <f t="shared" si="262"/>
        <v>0</v>
      </c>
      <c r="IC49" s="137">
        <f t="shared" si="120"/>
        <v>0</v>
      </c>
      <c r="ID49" s="137">
        <f t="shared" si="121"/>
        <v>0</v>
      </c>
      <c r="IE49" s="135" t="str">
        <f t="shared" si="122"/>
        <v>F</v>
      </c>
      <c r="IF49" s="135" t="str">
        <f>VLOOKUP(RANK(ID49,$ID$10:$ID$109),Sheet1!$A$381:$B$480,2,FALSE)</f>
        <v>1st</v>
      </c>
      <c r="IG49" s="135"/>
      <c r="IH49" s="135"/>
      <c r="II49" s="135">
        <f t="shared" si="273"/>
        <v>0</v>
      </c>
      <c r="IJ49" s="135" t="str">
        <f t="shared" si="274"/>
        <v>0</v>
      </c>
      <c r="IK49" s="135">
        <f t="shared" si="275"/>
        <v>0</v>
      </c>
      <c r="IL49" s="135">
        <f t="shared" si="276"/>
        <v>0</v>
      </c>
      <c r="IM49" s="135" t="str">
        <f t="shared" si="123"/>
        <v>F</v>
      </c>
      <c r="IN49" s="135" t="str">
        <f>VLOOKUP(RANK(IL49,$IL$10:$IL$109),Sheet1!$A$381:$B$480,2,FALSE)</f>
        <v>1st</v>
      </c>
      <c r="IO49" s="135">
        <f t="shared" si="277"/>
        <v>518.5</v>
      </c>
      <c r="IP49" s="177">
        <f t="shared" si="278"/>
        <v>30.5</v>
      </c>
      <c r="IQ49" s="135" t="str">
        <f>VLOOKUP(RANK(IP49,$IP$10:$IP$109),Sheet1!$A$381:$B$480,2,FALSE)</f>
        <v>80th</v>
      </c>
      <c r="IR49" s="178"/>
      <c r="IS49" s="137"/>
      <c r="IT49" s="137"/>
      <c r="IU49" s="137"/>
      <c r="IV49" s="137"/>
      <c r="IW49" s="181"/>
      <c r="IX49" s="184"/>
      <c r="IY49" s="186"/>
      <c r="IZ49" s="186">
        <f t="shared" si="206"/>
        <v>0</v>
      </c>
      <c r="JA49" s="186" t="str">
        <f t="shared" si="124"/>
        <v>0</v>
      </c>
      <c r="JB49" s="186" t="str">
        <f t="shared" si="125"/>
        <v>80</v>
      </c>
      <c r="JC49" s="186">
        <f t="shared" si="279"/>
        <v>80</v>
      </c>
      <c r="JD49" s="186">
        <f t="shared" si="280"/>
        <v>26.6666666666667</v>
      </c>
      <c r="JE49" s="135" t="str">
        <f t="shared" si="126"/>
        <v>F</v>
      </c>
      <c r="JF49" s="151" t="str">
        <f>VLOOKUP(RANK(JD49,$JD$10:$JD$109),Sheet1!$A$381:$B$480,2,FALSE)</f>
        <v>94th</v>
      </c>
      <c r="JG49" s="186"/>
      <c r="JH49" s="186"/>
      <c r="JI49" s="186">
        <f t="shared" si="127"/>
        <v>0</v>
      </c>
      <c r="JJ49" s="186" t="str">
        <f t="shared" si="128"/>
        <v>43</v>
      </c>
      <c r="JK49" s="186" t="str">
        <f t="shared" si="129"/>
        <v>46</v>
      </c>
      <c r="JL49" s="186">
        <f t="shared" si="281"/>
        <v>89</v>
      </c>
      <c r="JM49" s="186">
        <f t="shared" si="282"/>
        <v>29.6666666666667</v>
      </c>
      <c r="JN49" s="135" t="str">
        <f t="shared" si="130"/>
        <v>F</v>
      </c>
      <c r="JO49" s="151" t="str">
        <f>VLOOKUP(RANK(JM49,$JM$10:$JM$109),Sheet1!$A$381:$B$480,2,FALSE)</f>
        <v>72nd</v>
      </c>
      <c r="JP49" s="186"/>
      <c r="JQ49" s="186"/>
      <c r="JR49" s="186">
        <f t="shared" si="131"/>
        <v>0</v>
      </c>
      <c r="JS49" s="186" t="str">
        <f t="shared" si="132"/>
        <v>30</v>
      </c>
      <c r="JT49" s="186" t="str">
        <f t="shared" si="133"/>
        <v>44</v>
      </c>
      <c r="JU49" s="186">
        <f t="shared" si="283"/>
        <v>74</v>
      </c>
      <c r="JV49" s="186">
        <f t="shared" si="284"/>
        <v>24.6666666666667</v>
      </c>
      <c r="JW49" s="135" t="str">
        <f t="shared" si="134"/>
        <v>F</v>
      </c>
      <c r="JX49" s="151" t="str">
        <f>VLOOKUP(RANK(JV49,$JV$10:$JV$109),Sheet1!$A$381:$B$480,2,FALSE)</f>
        <v>76th</v>
      </c>
      <c r="JY49" s="186"/>
      <c r="JZ49" s="186"/>
      <c r="KA49" s="186">
        <f t="shared" si="135"/>
        <v>0</v>
      </c>
      <c r="KB49" s="186" t="str">
        <f t="shared" si="136"/>
        <v>48</v>
      </c>
      <c r="KC49" s="186" t="str">
        <f t="shared" si="137"/>
        <v>45</v>
      </c>
      <c r="KD49" s="186">
        <f t="shared" si="285"/>
        <v>93</v>
      </c>
      <c r="KE49" s="186">
        <f t="shared" si="286"/>
        <v>31</v>
      </c>
      <c r="KF49" s="135" t="str">
        <f t="shared" si="138"/>
        <v>F</v>
      </c>
      <c r="KG49" s="151" t="str">
        <f>VLOOKUP(RANK(KE49,$KE$10:$KE$109),Sheet1!$A$381:$B$480,2,FALSE)</f>
        <v>75th</v>
      </c>
      <c r="KH49" s="186"/>
      <c r="KI49" s="186"/>
      <c r="KJ49" s="186">
        <f t="shared" si="139"/>
        <v>0</v>
      </c>
      <c r="KK49" s="186" t="str">
        <f t="shared" si="140"/>
        <v>31</v>
      </c>
      <c r="KL49" s="186" t="str">
        <f t="shared" si="141"/>
        <v>30</v>
      </c>
      <c r="KM49" s="186">
        <f t="shared" si="287"/>
        <v>61</v>
      </c>
      <c r="KN49" s="186">
        <f t="shared" si="288"/>
        <v>20.3333333333333</v>
      </c>
      <c r="KO49" s="135" t="str">
        <f t="shared" si="142"/>
        <v>F</v>
      </c>
      <c r="KP49" s="151" t="str">
        <f>VLOOKUP(RANK(KN49,$KN$10:$KN$109),Sheet1!$A$381:$B$480,2,FALSE)</f>
        <v>98th</v>
      </c>
      <c r="KQ49" s="186"/>
      <c r="KR49" s="186"/>
      <c r="KS49" s="186">
        <f t="shared" si="143"/>
        <v>0</v>
      </c>
      <c r="KT49" s="186" t="str">
        <f t="shared" si="144"/>
        <v>0</v>
      </c>
      <c r="KU49" s="186" t="str">
        <f t="shared" si="145"/>
        <v>0</v>
      </c>
      <c r="KV49" s="186">
        <f t="shared" si="289"/>
        <v>0</v>
      </c>
      <c r="KW49" s="186">
        <f t="shared" si="290"/>
        <v>0</v>
      </c>
      <c r="KX49" s="135" t="str">
        <f t="shared" si="146"/>
        <v>F</v>
      </c>
      <c r="KY49" s="151" t="str">
        <f>VLOOKUP(RANK(KW49,$KW$10:$KW$109),Sheet1!$A$381:$B$480,2,FALSE)</f>
        <v>1st</v>
      </c>
      <c r="KZ49" s="186"/>
      <c r="LA49" s="186"/>
      <c r="LB49" s="186">
        <f t="shared" si="147"/>
        <v>0</v>
      </c>
      <c r="LC49" s="186" t="str">
        <f t="shared" si="148"/>
        <v>0</v>
      </c>
      <c r="LD49" s="186" t="str">
        <f t="shared" si="149"/>
        <v>0</v>
      </c>
      <c r="LE49" s="186">
        <f t="shared" si="291"/>
        <v>0</v>
      </c>
      <c r="LF49" s="186">
        <f t="shared" si="292"/>
        <v>0</v>
      </c>
      <c r="LG49" s="135" t="str">
        <f t="shared" si="150"/>
        <v>F</v>
      </c>
      <c r="LH49" s="151" t="str">
        <f>VLOOKUP(RANK(LF49,$LF$10:$LF$109),Sheet1!$A$381:$B$480,2,FALSE)</f>
        <v>1st</v>
      </c>
      <c r="LI49" s="186"/>
      <c r="LJ49" s="186"/>
      <c r="LK49" s="186">
        <f t="shared" si="151"/>
        <v>0</v>
      </c>
      <c r="LL49" s="186" t="str">
        <f t="shared" si="152"/>
        <v>50</v>
      </c>
      <c r="LM49" s="186" t="str">
        <f t="shared" si="153"/>
        <v>51</v>
      </c>
      <c r="LN49" s="186">
        <f t="shared" si="293"/>
        <v>101</v>
      </c>
      <c r="LO49" s="186">
        <f t="shared" si="294"/>
        <v>33.6666666666667</v>
      </c>
      <c r="LP49" s="135" t="str">
        <f t="shared" si="154"/>
        <v>F</v>
      </c>
      <c r="LQ49" s="151" t="str">
        <f>VLOOKUP(RANK(LO49,$LO$10:$LO$109),Sheet1!$A$381:$B$480,2,FALSE)</f>
        <v>65th</v>
      </c>
      <c r="LR49" s="186"/>
      <c r="LS49" s="186"/>
      <c r="LT49" s="186">
        <f t="shared" si="155"/>
        <v>0</v>
      </c>
      <c r="LU49" s="186" t="str">
        <f t="shared" si="156"/>
        <v>48</v>
      </c>
      <c r="LV49" s="186" t="str">
        <f t="shared" si="157"/>
        <v>57</v>
      </c>
      <c r="LW49" s="186">
        <f t="shared" si="295"/>
        <v>105</v>
      </c>
      <c r="LX49" s="186">
        <f t="shared" si="296"/>
        <v>35</v>
      </c>
      <c r="LY49" s="135" t="str">
        <f t="shared" si="158"/>
        <v>E</v>
      </c>
      <c r="LZ49" s="151" t="str">
        <f>VLOOKUP(RANK(LX49,$LX$10:$LX$109),Sheet1!$A$381:$B$480,2,FALSE)</f>
        <v>46th</v>
      </c>
      <c r="MA49" s="186"/>
      <c r="MB49" s="186"/>
      <c r="MC49" s="186">
        <f t="shared" si="159"/>
        <v>0</v>
      </c>
      <c r="MD49" s="186" t="str">
        <f t="shared" si="160"/>
        <v>29</v>
      </c>
      <c r="ME49" s="186" t="str">
        <f t="shared" si="161"/>
        <v>51</v>
      </c>
      <c r="MF49" s="183">
        <f t="shared" si="297"/>
        <v>80</v>
      </c>
      <c r="MG49" s="151">
        <f t="shared" si="298"/>
        <v>26.6666666666667</v>
      </c>
      <c r="MH49" s="135" t="str">
        <f t="shared" si="162"/>
        <v>F</v>
      </c>
      <c r="MI49" s="151" t="str">
        <f>VLOOKUP(RANK(MG49,$MG$10:$MG$109),Sheet1!$A$381:$B$480,2,FALSE)</f>
        <v>44th</v>
      </c>
      <c r="MJ49" s="186"/>
      <c r="MK49" s="186"/>
      <c r="ML49" s="186">
        <f t="shared" si="163"/>
        <v>0</v>
      </c>
      <c r="MM49" s="186" t="str">
        <f t="shared" si="164"/>
        <v>50</v>
      </c>
      <c r="MN49" s="186" t="str">
        <f t="shared" si="165"/>
        <v>42</v>
      </c>
      <c r="MO49" s="186">
        <f t="shared" si="299"/>
        <v>92</v>
      </c>
      <c r="MP49" s="186">
        <f t="shared" si="300"/>
        <v>30.6666666666667</v>
      </c>
      <c r="MQ49" s="135" t="str">
        <f t="shared" si="166"/>
        <v>F</v>
      </c>
      <c r="MR49" s="151" t="str">
        <f>VLOOKUP(RANK(MP49,$MP$10:$MP$109),Sheet1!$A$381:$B$480,2,FALSE)</f>
        <v>82nd</v>
      </c>
      <c r="MS49" s="186"/>
      <c r="MT49" s="186"/>
      <c r="MU49" s="186">
        <f t="shared" si="167"/>
        <v>0</v>
      </c>
      <c r="MV49" s="186" t="str">
        <f t="shared" si="168"/>
        <v>37</v>
      </c>
      <c r="MW49" s="186" t="str">
        <f t="shared" si="169"/>
        <v>62</v>
      </c>
      <c r="MX49" s="186">
        <f t="shared" si="301"/>
        <v>99</v>
      </c>
      <c r="MY49" s="186">
        <f t="shared" si="302"/>
        <v>33</v>
      </c>
      <c r="MZ49" s="135" t="str">
        <f t="shared" si="170"/>
        <v>F</v>
      </c>
      <c r="NA49" s="151" t="str">
        <f>VLOOKUP(RANK(MY49,$MY$10:$MY$109),Sheet1!$A$381:$B$480,2,FALSE)</f>
        <v>50th</v>
      </c>
      <c r="NB49" s="186"/>
      <c r="NC49" s="186"/>
      <c r="ND49" s="186">
        <f t="shared" si="171"/>
        <v>0</v>
      </c>
      <c r="NE49" s="186" t="str">
        <f t="shared" si="172"/>
        <v>36</v>
      </c>
      <c r="NF49" s="186" t="str">
        <f t="shared" si="173"/>
        <v>43</v>
      </c>
      <c r="NG49" s="186">
        <f t="shared" si="303"/>
        <v>79</v>
      </c>
      <c r="NH49" s="186">
        <f t="shared" si="304"/>
        <v>26.3333333333333</v>
      </c>
      <c r="NI49" s="135" t="str">
        <f t="shared" si="174"/>
        <v>F</v>
      </c>
      <c r="NJ49" s="151" t="str">
        <f>VLOOKUP(RANK(NH49,$NH$10:$NH$109),Sheet1!$A$381:$B$480,2,FALSE)</f>
        <v>67th</v>
      </c>
      <c r="NK49" s="186"/>
      <c r="NL49" s="186"/>
      <c r="NM49" s="186">
        <f t="shared" si="175"/>
        <v>0</v>
      </c>
      <c r="NN49" s="186" t="str">
        <f t="shared" si="176"/>
        <v>50</v>
      </c>
      <c r="NO49" s="186" t="str">
        <f t="shared" si="177"/>
        <v>82</v>
      </c>
      <c r="NP49" s="186">
        <f t="shared" si="305"/>
        <v>132</v>
      </c>
      <c r="NQ49" s="186">
        <f t="shared" si="263"/>
        <v>44</v>
      </c>
      <c r="NR49" s="135" t="str">
        <f t="shared" si="179"/>
        <v>D</v>
      </c>
      <c r="NS49" s="151" t="str">
        <f>VLOOKUP(RANK(NQ49,$NQ$10:$NQ$109),Sheet1!$A$381:$B$480,2,FALSE)</f>
        <v>42nd</v>
      </c>
      <c r="NT49" s="186"/>
      <c r="NU49" s="186"/>
      <c r="NV49" s="186">
        <f t="shared" si="180"/>
        <v>0</v>
      </c>
      <c r="NW49" s="186" t="str">
        <f t="shared" si="181"/>
        <v>0</v>
      </c>
      <c r="NX49" s="186" t="str">
        <f t="shared" si="182"/>
        <v>0</v>
      </c>
      <c r="NY49" s="186">
        <f t="shared" si="306"/>
        <v>0</v>
      </c>
      <c r="NZ49" s="186">
        <f t="shared" si="264"/>
        <v>0</v>
      </c>
      <c r="OA49" s="135" t="str">
        <f t="shared" si="184"/>
        <v>F</v>
      </c>
      <c r="OB49" s="151" t="str">
        <f>VLOOKUP(RANK(NZ49,$NZ$10:$NZ$109),Sheet1!$A$381:$B$480,2,FALSE)</f>
        <v>1st</v>
      </c>
      <c r="OC49" s="186"/>
      <c r="OD49" s="186"/>
      <c r="OE49" s="186">
        <f t="shared" si="185"/>
        <v>0</v>
      </c>
      <c r="OF49" s="186" t="str">
        <f t="shared" si="186"/>
        <v>0</v>
      </c>
      <c r="OG49" s="186" t="str">
        <f t="shared" si="187"/>
        <v>0</v>
      </c>
      <c r="OH49" s="186">
        <f t="shared" si="307"/>
        <v>0</v>
      </c>
      <c r="OI49" s="186">
        <f t="shared" si="236"/>
        <v>0</v>
      </c>
      <c r="OJ49" s="135" t="str">
        <f t="shared" si="188"/>
        <v>F</v>
      </c>
      <c r="OK49" s="151" t="str">
        <f>VLOOKUP(RANK(OI49,$OI$10:$OI$109),Sheet1!$A$381:$B$480,2,FALSE)</f>
        <v>1st</v>
      </c>
      <c r="OL49" s="151"/>
      <c r="OM49" s="151"/>
      <c r="ON49" s="151">
        <f t="shared" si="308"/>
        <v>0</v>
      </c>
      <c r="OO49" s="151" t="str">
        <f t="shared" si="309"/>
        <v>0</v>
      </c>
      <c r="OP49" s="151" t="str">
        <f t="shared" si="310"/>
        <v>0</v>
      </c>
      <c r="OQ49" s="151">
        <f t="shared" si="311"/>
        <v>0</v>
      </c>
      <c r="OR49" s="151">
        <f t="shared" si="312"/>
        <v>0</v>
      </c>
      <c r="OS49" s="135" t="str">
        <f t="shared" si="189"/>
        <v>F</v>
      </c>
      <c r="OT49" s="151" t="str">
        <f>VLOOKUP(RANK(OR49,$OI$10:$OI$109),Sheet1!$A$381:$B$480,2,FALSE)</f>
        <v>1st</v>
      </c>
      <c r="OU49" s="151">
        <f t="shared" si="313"/>
        <v>361.66666666666703</v>
      </c>
      <c r="OV49" s="151">
        <f t="shared" si="314"/>
        <v>21.2745098039216</v>
      </c>
      <c r="OW49" s="151" t="str">
        <f>VLOOKUP(RANK(OV49,$OV$10:$OV$109),Sheet1!$A$381:$B$480,2,FALSE)</f>
        <v>82nd</v>
      </c>
      <c r="OX49" s="151"/>
      <c r="OY49" s="186"/>
      <c r="OZ49" s="186"/>
      <c r="PA49" s="186"/>
      <c r="PB49" s="186"/>
    </row>
    <row r="50" spans="1:418" s="118" customFormat="1" ht="18.75">
      <c r="A50" s="131">
        <v>41</v>
      </c>
      <c r="B50" s="132" t="s">
        <v>138</v>
      </c>
      <c r="C50" s="133" t="s">
        <v>97</v>
      </c>
      <c r="D50" s="134">
        <v>21</v>
      </c>
      <c r="E50" s="134">
        <v>48</v>
      </c>
      <c r="F50" s="137">
        <f t="shared" si="0"/>
        <v>69</v>
      </c>
      <c r="G50" s="137">
        <f t="shared" si="1"/>
        <v>69</v>
      </c>
      <c r="H50" s="135" t="str">
        <f t="shared" si="265"/>
        <v>B</v>
      </c>
      <c r="I50" s="135" t="str">
        <f>VLOOKUP(RANK(G50,$G$10:$G$109),Sheet1!$A$381:$B$480,2,FALSE)</f>
        <v>46th</v>
      </c>
      <c r="J50" s="134">
        <v>28</v>
      </c>
      <c r="K50" s="134">
        <v>30</v>
      </c>
      <c r="L50" s="137">
        <f t="shared" si="2"/>
        <v>58</v>
      </c>
      <c r="M50" s="137">
        <f t="shared" si="3"/>
        <v>58</v>
      </c>
      <c r="N50" s="135" t="str">
        <f t="shared" si="4"/>
        <v>C</v>
      </c>
      <c r="O50" s="141" t="str">
        <f>VLOOKUP(RANK(M50,$M$10:$M$109),Sheet1!$A$381:$B$480,2,FALSE)</f>
        <v>30th</v>
      </c>
      <c r="P50" s="144">
        <v>36</v>
      </c>
      <c r="Q50" s="144">
        <v>30</v>
      </c>
      <c r="R50" s="147">
        <f t="shared" si="5"/>
        <v>66</v>
      </c>
      <c r="S50" s="137">
        <f t="shared" si="6"/>
        <v>66</v>
      </c>
      <c r="T50" s="135" t="str">
        <f t="shared" si="7"/>
        <v>B</v>
      </c>
      <c r="U50" s="135" t="str">
        <f>VLOOKUP(RANK(S50,$S$10:$S$109),Sheet1!$A$381:$B$480,2,FALSE)</f>
        <v>5th</v>
      </c>
      <c r="V50" s="134">
        <v>35</v>
      </c>
      <c r="W50" s="134">
        <v>47</v>
      </c>
      <c r="X50" s="137">
        <f t="shared" si="191"/>
        <v>82</v>
      </c>
      <c r="Y50" s="137">
        <f t="shared" si="244"/>
        <v>82</v>
      </c>
      <c r="Z50" s="135" t="str">
        <f t="shared" si="8"/>
        <v>A</v>
      </c>
      <c r="AA50" s="135" t="str">
        <f>VLOOKUP(RANK(Y50,$Y$10:$Y$109),Sheet1!$A$381:$B$480,2,FALSE)</f>
        <v>8th</v>
      </c>
      <c r="AB50" s="134">
        <v>32</v>
      </c>
      <c r="AC50" s="134">
        <v>41</v>
      </c>
      <c r="AD50" s="137">
        <f t="shared" si="9"/>
        <v>73</v>
      </c>
      <c r="AE50" s="137">
        <f t="shared" si="10"/>
        <v>73</v>
      </c>
      <c r="AF50" s="135" t="str">
        <f t="shared" si="11"/>
        <v>B</v>
      </c>
      <c r="AG50" s="135" t="str">
        <f>VLOOKUP(RANK(AE50,$AE$10:$AE$109),Sheet1!$A$381:$B$480,2,FALSE)</f>
        <v>28th</v>
      </c>
      <c r="AH50" s="137"/>
      <c r="AI50" s="137"/>
      <c r="AJ50" s="137">
        <f t="shared" si="12"/>
        <v>0</v>
      </c>
      <c r="AK50" s="137">
        <f t="shared" si="13"/>
        <v>0</v>
      </c>
      <c r="AL50" s="135" t="str">
        <f t="shared" si="14"/>
        <v>F</v>
      </c>
      <c r="AM50" s="135" t="str">
        <f>VLOOKUP(RANK(AK50,$AK$10:$AK$109),Sheet1!$A$381:$B$480,2,FALSE)</f>
        <v>1st</v>
      </c>
      <c r="AN50" s="134"/>
      <c r="AO50" s="134"/>
      <c r="AP50" s="137">
        <f t="shared" si="15"/>
        <v>0</v>
      </c>
      <c r="AQ50" s="137">
        <f t="shared" si="16"/>
        <v>0</v>
      </c>
      <c r="AR50" s="135" t="str">
        <f t="shared" si="17"/>
        <v>F</v>
      </c>
      <c r="AS50" s="135" t="str">
        <f>VLOOKUP(RANK(AQ50,$AQ$10:$AQ$109),Sheet1!$A$381:$B$480,2,FALSE)</f>
        <v>1st</v>
      </c>
      <c r="AT50" s="144">
        <v>25</v>
      </c>
      <c r="AU50" s="144">
        <v>36</v>
      </c>
      <c r="AV50" s="137">
        <f t="shared" si="18"/>
        <v>61</v>
      </c>
      <c r="AW50" s="137">
        <f t="shared" si="19"/>
        <v>61</v>
      </c>
      <c r="AX50" s="135" t="str">
        <f t="shared" si="20"/>
        <v>B</v>
      </c>
      <c r="AY50" s="141" t="str">
        <f>VLOOKUP(RANK(AW50,$AW$10:$AW$109),Sheet1!$A$381:$B$480,2,FALSE)</f>
        <v>7th</v>
      </c>
      <c r="AZ50" s="144">
        <v>32</v>
      </c>
      <c r="BA50" s="144">
        <v>16</v>
      </c>
      <c r="BB50" s="147">
        <f t="shared" si="21"/>
        <v>48</v>
      </c>
      <c r="BC50" s="137">
        <f t="shared" si="22"/>
        <v>48</v>
      </c>
      <c r="BD50" s="135" t="str">
        <f t="shared" si="23"/>
        <v>D</v>
      </c>
      <c r="BE50" s="135" t="str">
        <f>VLOOKUP(RANK(BC50,$BC$10:$BC$109),Sheet1!$A$381:$B$480,2,FALSE)</f>
        <v>63rd</v>
      </c>
      <c r="BF50" s="144">
        <v>23</v>
      </c>
      <c r="BG50" s="144">
        <v>30</v>
      </c>
      <c r="BH50" s="137">
        <f t="shared" si="24"/>
        <v>53</v>
      </c>
      <c r="BI50" s="137">
        <f t="shared" si="25"/>
        <v>53</v>
      </c>
      <c r="BJ50" s="135" t="str">
        <f t="shared" si="26"/>
        <v>C</v>
      </c>
      <c r="BK50" s="141" t="str">
        <f>VLOOKUP(RANK(BI50,$BI$10:$BI$109),Sheet1!$A$381:$B$480,2,FALSE)</f>
        <v>11th</v>
      </c>
      <c r="BL50" s="149">
        <v>28</v>
      </c>
      <c r="BM50" s="149">
        <v>27</v>
      </c>
      <c r="BN50" s="147">
        <f t="shared" si="27"/>
        <v>55</v>
      </c>
      <c r="BO50" s="137">
        <f t="shared" si="28"/>
        <v>55</v>
      </c>
      <c r="BP50" s="135" t="str">
        <f t="shared" si="29"/>
        <v>C</v>
      </c>
      <c r="BQ50" s="141" t="str">
        <f>VLOOKUP(RANK(BO50,$BO$10:$BO$109),Sheet1!$A$381:$B$480,2,FALSE)</f>
        <v>14th</v>
      </c>
      <c r="BR50" s="149">
        <v>28</v>
      </c>
      <c r="BS50" s="149">
        <v>31</v>
      </c>
      <c r="BT50" s="147">
        <f t="shared" si="30"/>
        <v>59</v>
      </c>
      <c r="BU50" s="137">
        <f t="shared" si="31"/>
        <v>59</v>
      </c>
      <c r="BV50" s="135" t="str">
        <f t="shared" si="32"/>
        <v>C</v>
      </c>
      <c r="BW50" s="135" t="str">
        <f>VLOOKUP(RANK(BU50,$BU$10:$BU$109),Sheet1!$A$381:$B$480,2,FALSE)</f>
        <v>25th</v>
      </c>
      <c r="BX50" s="149">
        <v>34</v>
      </c>
      <c r="BY50" s="149">
        <v>15</v>
      </c>
      <c r="BZ50" s="137">
        <f t="shared" si="33"/>
        <v>49</v>
      </c>
      <c r="CA50" s="137">
        <f t="shared" si="34"/>
        <v>49</v>
      </c>
      <c r="CB50" s="135" t="str">
        <f t="shared" si="35"/>
        <v>D</v>
      </c>
      <c r="CC50" s="135" t="str">
        <f>VLOOKUP(RANK(CA50,$CA$10:$CA$109),Sheet1!$A$381:$B$480,2,FALSE)</f>
        <v>9th</v>
      </c>
      <c r="CD50" s="149">
        <v>25</v>
      </c>
      <c r="CE50" s="149">
        <v>30</v>
      </c>
      <c r="CF50" s="137">
        <f t="shared" si="36"/>
        <v>55</v>
      </c>
      <c r="CG50" s="137">
        <f t="shared" si="37"/>
        <v>55</v>
      </c>
      <c r="CH50" s="135" t="str">
        <f t="shared" si="38"/>
        <v>C</v>
      </c>
      <c r="CI50" s="135" t="str">
        <f>VLOOKUP(RANK(CG50,$CG$10:$CG$109),Sheet1!$A$381:$B$480,2,FALSE)</f>
        <v>46th</v>
      </c>
      <c r="CJ50" s="137"/>
      <c r="CK50" s="137"/>
      <c r="CL50" s="137">
        <f t="shared" si="39"/>
        <v>0</v>
      </c>
      <c r="CM50" s="137">
        <f t="shared" si="40"/>
        <v>0</v>
      </c>
      <c r="CN50" s="135" t="str">
        <f t="shared" si="41"/>
        <v>F</v>
      </c>
      <c r="CO50" s="135" t="str">
        <f>VLOOKUP(RANK(CM50,$CM$10:$CM$109),Sheet1!$A$381:$B$480,2,FALSE)</f>
        <v>1st</v>
      </c>
      <c r="CP50" s="137"/>
      <c r="CQ50" s="137"/>
      <c r="CR50" s="137">
        <f t="shared" si="42"/>
        <v>0</v>
      </c>
      <c r="CS50" s="137">
        <f t="shared" si="43"/>
        <v>0</v>
      </c>
      <c r="CT50" s="135" t="str">
        <f t="shared" si="44"/>
        <v>F</v>
      </c>
      <c r="CU50" s="135" t="str">
        <f>VLOOKUP(RANK(CS50,$CS$10:$CS$109),Sheet1!$A$381:$B$480,2,FALSE)</f>
        <v>1st</v>
      </c>
      <c r="CV50" s="151"/>
      <c r="CW50" s="135"/>
      <c r="CX50" s="151">
        <f t="shared" si="266"/>
        <v>0</v>
      </c>
      <c r="CY50" s="151">
        <f t="shared" si="267"/>
        <v>0</v>
      </c>
      <c r="CZ50" s="135" t="str">
        <f t="shared" si="45"/>
        <v>F</v>
      </c>
      <c r="DA50" s="135" t="str">
        <f>VLOOKUP(RANK(CY50,$CY$10:$CY$109),Sheet1!$A$381:$B$480,2,FALSE)</f>
        <v>1st</v>
      </c>
      <c r="DB50" s="135"/>
      <c r="DC50" s="151">
        <f t="shared" si="268"/>
        <v>728</v>
      </c>
      <c r="DD50" s="151">
        <f t="shared" si="269"/>
        <v>42.823529411764703</v>
      </c>
      <c r="DE50" s="135" t="str">
        <f>VLOOKUP(RANK(DD50,$DD$10:$DD$109),Sheet1!$A$381:$B$480,2,FALSE)</f>
        <v>16th</v>
      </c>
      <c r="DF50" s="137"/>
      <c r="DG50" s="160">
        <f t="shared" si="46"/>
        <v>770.82352941176498</v>
      </c>
      <c r="DH50" s="119"/>
      <c r="DI50" s="162">
        <v>36</v>
      </c>
      <c r="DJ50" s="162">
        <v>52</v>
      </c>
      <c r="DK50" s="137">
        <f t="shared" si="47"/>
        <v>88</v>
      </c>
      <c r="DL50" s="137" t="str">
        <f t="shared" si="245"/>
        <v>69</v>
      </c>
      <c r="DM50" s="137">
        <f t="shared" si="49"/>
        <v>157</v>
      </c>
      <c r="DN50" s="137">
        <f t="shared" si="50"/>
        <v>78.5</v>
      </c>
      <c r="DO50" s="135" t="str">
        <f t="shared" si="51"/>
        <v>A</v>
      </c>
      <c r="DP50" s="135" t="str">
        <f>VLOOKUP(RANK(DN50,$DN$10:$DN$109),Sheet1!$A$381:$B$480,2,FALSE)</f>
        <v>8th</v>
      </c>
      <c r="DQ50" s="166">
        <v>29</v>
      </c>
      <c r="DR50" s="166">
        <v>28</v>
      </c>
      <c r="DS50" s="137">
        <f t="shared" si="52"/>
        <v>57</v>
      </c>
      <c r="DT50" s="137" t="str">
        <f t="shared" si="246"/>
        <v>58</v>
      </c>
      <c r="DU50" s="137">
        <f t="shared" si="54"/>
        <v>115</v>
      </c>
      <c r="DV50" s="137">
        <f t="shared" si="247"/>
        <v>57.5</v>
      </c>
      <c r="DW50" s="135" t="str">
        <f t="shared" si="56"/>
        <v>C</v>
      </c>
      <c r="DX50" s="135" t="str">
        <f>VLOOKUP(RANK(DV50,$DV$10:$DV$109),Sheet1!$A$381:$B$480,2,FALSE)</f>
        <v>19th</v>
      </c>
      <c r="DY50" s="168">
        <v>34</v>
      </c>
      <c r="DZ50" s="168">
        <v>28</v>
      </c>
      <c r="EA50" s="137">
        <f t="shared" si="57"/>
        <v>62</v>
      </c>
      <c r="EB50" s="137" t="str">
        <f t="shared" si="248"/>
        <v>66</v>
      </c>
      <c r="EC50" s="137">
        <f t="shared" si="59"/>
        <v>128</v>
      </c>
      <c r="ED50" s="137">
        <f t="shared" si="60"/>
        <v>64</v>
      </c>
      <c r="EE50" s="135" t="str">
        <f t="shared" si="61"/>
        <v>B</v>
      </c>
      <c r="EF50" s="135" t="str">
        <f>VLOOKUP(RANK(ED50,$ED$10:$ED$109),Sheet1!$A$381:$B$480,2,FALSE)</f>
        <v>6th</v>
      </c>
      <c r="EG50" s="162">
        <v>18</v>
      </c>
      <c r="EH50" s="162">
        <v>34</v>
      </c>
      <c r="EI50" s="137">
        <f t="shared" si="62"/>
        <v>52</v>
      </c>
      <c r="EJ50" s="137" t="str">
        <f t="shared" si="249"/>
        <v>82</v>
      </c>
      <c r="EK50" s="137">
        <f t="shared" si="64"/>
        <v>134</v>
      </c>
      <c r="EL50" s="137">
        <f t="shared" si="65"/>
        <v>67</v>
      </c>
      <c r="EM50" s="135" t="str">
        <f t="shared" si="66"/>
        <v>B</v>
      </c>
      <c r="EN50" s="135" t="str">
        <f>VLOOKUP(RANK(EL50,$EL$10:$EL$109),Sheet1!$A$381:$B$480,2,FALSE)</f>
        <v>20th</v>
      </c>
      <c r="EO50" s="162">
        <v>32</v>
      </c>
      <c r="EP50" s="162">
        <v>28</v>
      </c>
      <c r="EQ50" s="137">
        <f t="shared" si="67"/>
        <v>60</v>
      </c>
      <c r="ER50" s="137" t="str">
        <f t="shared" si="250"/>
        <v>73</v>
      </c>
      <c r="ES50" s="137">
        <f t="shared" si="69"/>
        <v>133</v>
      </c>
      <c r="ET50" s="137">
        <f t="shared" si="70"/>
        <v>66.5</v>
      </c>
      <c r="EU50" s="135" t="str">
        <f t="shared" si="71"/>
        <v>B</v>
      </c>
      <c r="EV50" s="135" t="str">
        <f>VLOOKUP(RANK(ET50,$ET$10:$ET$109),Sheet1!$A$381:$B$480,2,FALSE)</f>
        <v>25th</v>
      </c>
      <c r="EW50" s="137"/>
      <c r="EX50" s="137"/>
      <c r="EY50" s="137">
        <f t="shared" si="72"/>
        <v>0</v>
      </c>
      <c r="EZ50" s="137" t="str">
        <f t="shared" si="251"/>
        <v>0</v>
      </c>
      <c r="FA50" s="137">
        <f t="shared" si="74"/>
        <v>0</v>
      </c>
      <c r="FB50" s="137">
        <f t="shared" si="75"/>
        <v>0</v>
      </c>
      <c r="FC50" s="135" t="str">
        <f t="shared" si="76"/>
        <v>F</v>
      </c>
      <c r="FD50" s="135" t="str">
        <f>VLOOKUP(RANK(FB50,$FB$10:$FB$109),Sheet1!$A$381:$B$480,2,FALSE)</f>
        <v>1st</v>
      </c>
      <c r="FE50" s="137"/>
      <c r="FF50" s="137"/>
      <c r="FG50" s="137">
        <f t="shared" si="77"/>
        <v>0</v>
      </c>
      <c r="FH50" s="137" t="str">
        <f t="shared" si="252"/>
        <v>0</v>
      </c>
      <c r="FI50" s="137">
        <f t="shared" si="79"/>
        <v>0</v>
      </c>
      <c r="FJ50" s="137">
        <f t="shared" si="80"/>
        <v>0</v>
      </c>
      <c r="FK50" s="135" t="str">
        <f t="shared" si="81"/>
        <v>F</v>
      </c>
      <c r="FL50" s="135" t="str">
        <f>VLOOKUP(RANK(FJ50,$FJ$10:$FJ$109),Sheet1!$A$381:$B$480,2,FALSE)</f>
        <v>1st</v>
      </c>
      <c r="FM50" s="166">
        <v>25</v>
      </c>
      <c r="FN50" s="166">
        <v>26</v>
      </c>
      <c r="FO50" s="137">
        <f t="shared" si="82"/>
        <v>51</v>
      </c>
      <c r="FP50" s="137" t="str">
        <f t="shared" si="253"/>
        <v>61</v>
      </c>
      <c r="FQ50" s="137">
        <f t="shared" si="84"/>
        <v>112</v>
      </c>
      <c r="FR50" s="137">
        <f t="shared" si="85"/>
        <v>56</v>
      </c>
      <c r="FS50" s="135" t="str">
        <f t="shared" si="86"/>
        <v>C</v>
      </c>
      <c r="FT50" s="135" t="str">
        <f>VLOOKUP(RANK(FR50,$FR$10:$FR$109),Sheet1!$A$381:$B$480,2,FALSE)</f>
        <v>17th</v>
      </c>
      <c r="FU50" s="149">
        <v>37</v>
      </c>
      <c r="FV50" s="149">
        <v>25</v>
      </c>
      <c r="FW50" s="137">
        <f t="shared" si="87"/>
        <v>62</v>
      </c>
      <c r="FX50" s="137" t="str">
        <f t="shared" si="254"/>
        <v>48</v>
      </c>
      <c r="FY50" s="137">
        <f t="shared" si="196"/>
        <v>62</v>
      </c>
      <c r="FZ50" s="137">
        <f t="shared" si="89"/>
        <v>31</v>
      </c>
      <c r="GA50" s="135" t="str">
        <f t="shared" si="90"/>
        <v>F</v>
      </c>
      <c r="GB50" s="135" t="str">
        <f>VLOOKUP(RANK(FZ50,$FZ$10:$FZ$109),Sheet1!$A$381:$B$480,2,FALSE)</f>
        <v>16th</v>
      </c>
      <c r="GC50" s="166">
        <v>26</v>
      </c>
      <c r="GD50" s="166">
        <v>26</v>
      </c>
      <c r="GE50" s="137">
        <f t="shared" si="91"/>
        <v>52</v>
      </c>
      <c r="GF50" s="137" t="str">
        <f t="shared" si="255"/>
        <v>53</v>
      </c>
      <c r="GG50" s="135">
        <f t="shared" si="270"/>
        <v>105</v>
      </c>
      <c r="GH50" s="137">
        <f t="shared" si="271"/>
        <v>52.5</v>
      </c>
      <c r="GI50" s="135" t="str">
        <f t="shared" si="93"/>
        <v>C</v>
      </c>
      <c r="GJ50" s="135" t="str">
        <f>VLOOKUP(RANK(GH50,$GH$10:$GH$109),Sheet1!$A$381:$B$480,2,FALSE)</f>
        <v>11th</v>
      </c>
      <c r="GK50" s="166">
        <v>24</v>
      </c>
      <c r="GL50" s="166">
        <v>21</v>
      </c>
      <c r="GM50" s="137">
        <f t="shared" si="94"/>
        <v>45</v>
      </c>
      <c r="GN50" s="137" t="str">
        <f t="shared" si="256"/>
        <v>55</v>
      </c>
      <c r="GO50" s="135">
        <f t="shared" si="272"/>
        <v>100</v>
      </c>
      <c r="GP50" s="137">
        <f t="shared" si="96"/>
        <v>50</v>
      </c>
      <c r="GQ50" s="135" t="str">
        <f t="shared" si="97"/>
        <v>C</v>
      </c>
      <c r="GR50" s="135" t="str">
        <f>VLOOKUP(RANK(GP50,$GP$10:$GP$109),Sheet1!$A$381:$B$480,2,FALSE)</f>
        <v>22nd</v>
      </c>
      <c r="GS50" s="166">
        <v>29</v>
      </c>
      <c r="GT50" s="166">
        <v>30</v>
      </c>
      <c r="GU50" s="137">
        <f t="shared" si="98"/>
        <v>59</v>
      </c>
      <c r="GV50" s="137" t="str">
        <f t="shared" si="257"/>
        <v>59</v>
      </c>
      <c r="GW50" s="137">
        <f t="shared" si="100"/>
        <v>118</v>
      </c>
      <c r="GX50" s="137">
        <f t="shared" si="101"/>
        <v>59</v>
      </c>
      <c r="GY50" s="135" t="str">
        <f t="shared" si="102"/>
        <v>C</v>
      </c>
      <c r="GZ50" s="135" t="str">
        <f>VLOOKUP(RANK(GX50,$GX$10:$GX$109),Sheet1!$A$381:$B$480,2,FALSE)</f>
        <v>25th</v>
      </c>
      <c r="HA50" s="166">
        <v>29</v>
      </c>
      <c r="HB50" s="166">
        <v>13</v>
      </c>
      <c r="HC50" s="137">
        <f t="shared" si="103"/>
        <v>42</v>
      </c>
      <c r="HD50" s="137" t="str">
        <f t="shared" si="258"/>
        <v>49</v>
      </c>
      <c r="HE50" s="137">
        <f t="shared" si="105"/>
        <v>91</v>
      </c>
      <c r="HF50" s="137">
        <f t="shared" si="106"/>
        <v>45.5</v>
      </c>
      <c r="HG50" s="135" t="str">
        <f t="shared" si="107"/>
        <v>D</v>
      </c>
      <c r="HH50" s="135" t="str">
        <f>VLOOKUP(RANK(HF50,$HF$10:$HF$109),Sheet1!$A$381:$B$480,2,FALSE)</f>
        <v>20th</v>
      </c>
      <c r="HI50" s="149">
        <v>31</v>
      </c>
      <c r="HJ50" s="149">
        <v>48</v>
      </c>
      <c r="HK50" s="137">
        <f t="shared" si="108"/>
        <v>79</v>
      </c>
      <c r="HL50" s="137" t="str">
        <f t="shared" si="259"/>
        <v>55</v>
      </c>
      <c r="HM50" s="137">
        <f t="shared" si="110"/>
        <v>134</v>
      </c>
      <c r="HN50" s="137">
        <f t="shared" si="111"/>
        <v>67</v>
      </c>
      <c r="HO50" s="135" t="str">
        <f t="shared" si="112"/>
        <v>B</v>
      </c>
      <c r="HP50" s="135" t="str">
        <f>VLOOKUP(RANK(HN50,$HN$10:$HN$109),Sheet1!$A$381:$B$480,2,FALSE)</f>
        <v>35th</v>
      </c>
      <c r="HQ50" s="137"/>
      <c r="HR50" s="137"/>
      <c r="HS50" s="137">
        <f t="shared" si="113"/>
        <v>0</v>
      </c>
      <c r="HT50" s="137" t="str">
        <f t="shared" si="260"/>
        <v>0</v>
      </c>
      <c r="HU50" s="137">
        <f t="shared" si="115"/>
        <v>0</v>
      </c>
      <c r="HV50" s="137">
        <f t="shared" si="116"/>
        <v>0</v>
      </c>
      <c r="HW50" s="135" t="str">
        <f t="shared" si="117"/>
        <v>F</v>
      </c>
      <c r="HX50" s="135" t="str">
        <f>VLOOKUP(RANK(HV50,$HV$10:$HV$109),Sheet1!$A$381:$B$480,2,FALSE)</f>
        <v>1st</v>
      </c>
      <c r="HY50" s="137"/>
      <c r="HZ50" s="137"/>
      <c r="IA50" s="137">
        <f t="shared" si="261"/>
        <v>0</v>
      </c>
      <c r="IB50" s="137" t="str">
        <f t="shared" si="262"/>
        <v>0</v>
      </c>
      <c r="IC50" s="137">
        <f t="shared" si="120"/>
        <v>0</v>
      </c>
      <c r="ID50" s="137">
        <f t="shared" si="121"/>
        <v>0</v>
      </c>
      <c r="IE50" s="135" t="str">
        <f t="shared" si="122"/>
        <v>F</v>
      </c>
      <c r="IF50" s="135" t="str">
        <f>VLOOKUP(RANK(ID50,$ID$10:$ID$109),Sheet1!$A$381:$B$480,2,FALSE)</f>
        <v>1st</v>
      </c>
      <c r="IG50" s="135"/>
      <c r="IH50" s="135"/>
      <c r="II50" s="135">
        <f t="shared" si="273"/>
        <v>0</v>
      </c>
      <c r="IJ50" s="135" t="str">
        <f t="shared" si="274"/>
        <v>0</v>
      </c>
      <c r="IK50" s="135">
        <f t="shared" si="275"/>
        <v>0</v>
      </c>
      <c r="IL50" s="135">
        <f t="shared" si="276"/>
        <v>0</v>
      </c>
      <c r="IM50" s="135" t="str">
        <f t="shared" si="123"/>
        <v>F</v>
      </c>
      <c r="IN50" s="135" t="str">
        <f>VLOOKUP(RANK(IL50,$IL$10:$IL$109),Sheet1!$A$381:$B$480,2,FALSE)</f>
        <v>1st</v>
      </c>
      <c r="IO50" s="135">
        <f t="shared" si="277"/>
        <v>694.5</v>
      </c>
      <c r="IP50" s="177">
        <f t="shared" si="278"/>
        <v>40.852941176470601</v>
      </c>
      <c r="IQ50" s="135" t="str">
        <f>VLOOKUP(RANK(IP50,$IP$10:$IP$109),Sheet1!$A$381:$B$480,2,FALSE)</f>
        <v>13th</v>
      </c>
      <c r="IR50" s="178"/>
      <c r="IS50" s="137"/>
      <c r="IT50" s="137"/>
      <c r="IU50" s="137"/>
      <c r="IV50" s="137"/>
      <c r="IW50" s="181"/>
      <c r="IX50" s="184"/>
      <c r="IY50" s="186"/>
      <c r="IZ50" s="186">
        <f t="shared" si="206"/>
        <v>0</v>
      </c>
      <c r="JA50" s="186" t="str">
        <f t="shared" si="124"/>
        <v>69</v>
      </c>
      <c r="JB50" s="186" t="str">
        <f t="shared" si="125"/>
        <v>88</v>
      </c>
      <c r="JC50" s="186">
        <f t="shared" si="279"/>
        <v>157</v>
      </c>
      <c r="JD50" s="186">
        <f t="shared" si="280"/>
        <v>52.3333333333333</v>
      </c>
      <c r="JE50" s="135" t="str">
        <f t="shared" si="126"/>
        <v>C</v>
      </c>
      <c r="JF50" s="151" t="str">
        <f>VLOOKUP(RANK(JD50,$JD$10:$JD$109),Sheet1!$A$381:$B$480,2,FALSE)</f>
        <v>8th</v>
      </c>
      <c r="JG50" s="186"/>
      <c r="JH50" s="186"/>
      <c r="JI50" s="186">
        <f t="shared" si="127"/>
        <v>0</v>
      </c>
      <c r="JJ50" s="186" t="str">
        <f t="shared" si="128"/>
        <v>58</v>
      </c>
      <c r="JK50" s="186" t="str">
        <f t="shared" si="129"/>
        <v>57</v>
      </c>
      <c r="JL50" s="186">
        <f t="shared" si="281"/>
        <v>115</v>
      </c>
      <c r="JM50" s="186">
        <f t="shared" si="282"/>
        <v>38.3333333333333</v>
      </c>
      <c r="JN50" s="135" t="str">
        <f t="shared" si="130"/>
        <v>E</v>
      </c>
      <c r="JO50" s="151" t="str">
        <f>VLOOKUP(RANK(JM50,$JM$10:$JM$109),Sheet1!$A$381:$B$480,2,FALSE)</f>
        <v>19th</v>
      </c>
      <c r="JP50" s="186"/>
      <c r="JQ50" s="186"/>
      <c r="JR50" s="186">
        <f t="shared" si="131"/>
        <v>0</v>
      </c>
      <c r="JS50" s="186" t="str">
        <f t="shared" si="132"/>
        <v>66</v>
      </c>
      <c r="JT50" s="186" t="str">
        <f t="shared" si="133"/>
        <v>62</v>
      </c>
      <c r="JU50" s="186">
        <f t="shared" si="283"/>
        <v>128</v>
      </c>
      <c r="JV50" s="186">
        <f t="shared" si="284"/>
        <v>42.6666666666667</v>
      </c>
      <c r="JW50" s="135" t="str">
        <f t="shared" si="134"/>
        <v>D</v>
      </c>
      <c r="JX50" s="151" t="str">
        <f>VLOOKUP(RANK(JV50,$JV$10:$JV$109),Sheet1!$A$381:$B$480,2,FALSE)</f>
        <v>6th</v>
      </c>
      <c r="JY50" s="186"/>
      <c r="JZ50" s="186"/>
      <c r="KA50" s="186">
        <f t="shared" si="135"/>
        <v>0</v>
      </c>
      <c r="KB50" s="186" t="str">
        <f t="shared" si="136"/>
        <v>82</v>
      </c>
      <c r="KC50" s="186" t="str">
        <f t="shared" si="137"/>
        <v>52</v>
      </c>
      <c r="KD50" s="186">
        <f t="shared" si="285"/>
        <v>134</v>
      </c>
      <c r="KE50" s="186">
        <f t="shared" si="286"/>
        <v>44.6666666666667</v>
      </c>
      <c r="KF50" s="135" t="str">
        <f t="shared" si="138"/>
        <v>D</v>
      </c>
      <c r="KG50" s="151" t="str">
        <f>VLOOKUP(RANK(KE50,$KE$10:$KE$109),Sheet1!$A$381:$B$480,2,FALSE)</f>
        <v>20th</v>
      </c>
      <c r="KH50" s="186"/>
      <c r="KI50" s="186"/>
      <c r="KJ50" s="186">
        <f t="shared" si="139"/>
        <v>0</v>
      </c>
      <c r="KK50" s="186" t="str">
        <f t="shared" si="140"/>
        <v>73</v>
      </c>
      <c r="KL50" s="186" t="str">
        <f t="shared" si="141"/>
        <v>60</v>
      </c>
      <c r="KM50" s="186">
        <f t="shared" si="287"/>
        <v>133</v>
      </c>
      <c r="KN50" s="186">
        <f t="shared" si="288"/>
        <v>44.3333333333333</v>
      </c>
      <c r="KO50" s="135" t="str">
        <f t="shared" si="142"/>
        <v>D</v>
      </c>
      <c r="KP50" s="151" t="str">
        <f>VLOOKUP(RANK(KN50,$KN$10:$KN$109),Sheet1!$A$381:$B$480,2,FALSE)</f>
        <v>25th</v>
      </c>
      <c r="KQ50" s="186"/>
      <c r="KR50" s="186"/>
      <c r="KS50" s="186">
        <f t="shared" si="143"/>
        <v>0</v>
      </c>
      <c r="KT50" s="186" t="str">
        <f t="shared" si="144"/>
        <v>0</v>
      </c>
      <c r="KU50" s="186" t="str">
        <f t="shared" si="145"/>
        <v>0</v>
      </c>
      <c r="KV50" s="186">
        <f t="shared" si="289"/>
        <v>0</v>
      </c>
      <c r="KW50" s="186">
        <f t="shared" si="290"/>
        <v>0</v>
      </c>
      <c r="KX50" s="135" t="str">
        <f t="shared" si="146"/>
        <v>F</v>
      </c>
      <c r="KY50" s="151" t="str">
        <f>VLOOKUP(RANK(KW50,$KW$10:$KW$109),Sheet1!$A$381:$B$480,2,FALSE)</f>
        <v>1st</v>
      </c>
      <c r="KZ50" s="186"/>
      <c r="LA50" s="186"/>
      <c r="LB50" s="186">
        <f t="shared" si="147"/>
        <v>0</v>
      </c>
      <c r="LC50" s="186" t="str">
        <f t="shared" si="148"/>
        <v>0</v>
      </c>
      <c r="LD50" s="186" t="str">
        <f t="shared" si="149"/>
        <v>0</v>
      </c>
      <c r="LE50" s="186">
        <f t="shared" si="291"/>
        <v>0</v>
      </c>
      <c r="LF50" s="186">
        <f t="shared" si="292"/>
        <v>0</v>
      </c>
      <c r="LG50" s="135" t="str">
        <f t="shared" si="150"/>
        <v>F</v>
      </c>
      <c r="LH50" s="151" t="str">
        <f>VLOOKUP(RANK(LF50,$LF$10:$LF$109),Sheet1!$A$381:$B$480,2,FALSE)</f>
        <v>1st</v>
      </c>
      <c r="LI50" s="186"/>
      <c r="LJ50" s="186"/>
      <c r="LK50" s="186">
        <f t="shared" si="151"/>
        <v>0</v>
      </c>
      <c r="LL50" s="186" t="str">
        <f t="shared" si="152"/>
        <v>61</v>
      </c>
      <c r="LM50" s="186" t="str">
        <f t="shared" si="153"/>
        <v>51</v>
      </c>
      <c r="LN50" s="186">
        <f t="shared" si="293"/>
        <v>112</v>
      </c>
      <c r="LO50" s="186">
        <f t="shared" si="294"/>
        <v>37.3333333333333</v>
      </c>
      <c r="LP50" s="135" t="str">
        <f t="shared" si="154"/>
        <v>E</v>
      </c>
      <c r="LQ50" s="151" t="str">
        <f>VLOOKUP(RANK(LO50,$LO$10:$LO$109),Sheet1!$A$381:$B$480,2,FALSE)</f>
        <v>17th</v>
      </c>
      <c r="LR50" s="186"/>
      <c r="LS50" s="186"/>
      <c r="LT50" s="186">
        <f t="shared" si="155"/>
        <v>0</v>
      </c>
      <c r="LU50" s="186" t="str">
        <f t="shared" si="156"/>
        <v>48</v>
      </c>
      <c r="LV50" s="186" t="str">
        <f t="shared" si="157"/>
        <v>62</v>
      </c>
      <c r="LW50" s="186">
        <f t="shared" si="295"/>
        <v>110</v>
      </c>
      <c r="LX50" s="186">
        <f t="shared" si="296"/>
        <v>36.6666666666667</v>
      </c>
      <c r="LY50" s="135" t="str">
        <f t="shared" si="158"/>
        <v>E</v>
      </c>
      <c r="LZ50" s="151" t="str">
        <f>VLOOKUP(RANK(LX50,$LX$10:$LX$109),Sheet1!$A$381:$B$480,2,FALSE)</f>
        <v>36th</v>
      </c>
      <c r="MA50" s="186"/>
      <c r="MB50" s="186"/>
      <c r="MC50" s="186">
        <f t="shared" si="159"/>
        <v>0</v>
      </c>
      <c r="MD50" s="186" t="str">
        <f t="shared" si="160"/>
        <v>53</v>
      </c>
      <c r="ME50" s="186" t="str">
        <f t="shared" si="161"/>
        <v>52</v>
      </c>
      <c r="MF50" s="183">
        <f t="shared" si="297"/>
        <v>105</v>
      </c>
      <c r="MG50" s="151">
        <f t="shared" si="298"/>
        <v>35</v>
      </c>
      <c r="MH50" s="135" t="str">
        <f t="shared" si="162"/>
        <v>E</v>
      </c>
      <c r="MI50" s="151" t="str">
        <f>VLOOKUP(RANK(MG50,$MG$10:$MG$109),Sheet1!$A$381:$B$480,2,FALSE)</f>
        <v>11th</v>
      </c>
      <c r="MJ50" s="186"/>
      <c r="MK50" s="186"/>
      <c r="ML50" s="186">
        <f t="shared" si="163"/>
        <v>0</v>
      </c>
      <c r="MM50" s="186" t="str">
        <f t="shared" si="164"/>
        <v>55</v>
      </c>
      <c r="MN50" s="186" t="str">
        <f t="shared" si="165"/>
        <v>45</v>
      </c>
      <c r="MO50" s="186">
        <f t="shared" si="299"/>
        <v>100</v>
      </c>
      <c r="MP50" s="186">
        <f t="shared" si="300"/>
        <v>33.3333333333333</v>
      </c>
      <c r="MQ50" s="135" t="str">
        <f t="shared" si="166"/>
        <v>F</v>
      </c>
      <c r="MR50" s="151" t="str">
        <f>VLOOKUP(RANK(MP50,$MP$10:$MP$109),Sheet1!$A$381:$B$480,2,FALSE)</f>
        <v>22nd</v>
      </c>
      <c r="MS50" s="186"/>
      <c r="MT50" s="186"/>
      <c r="MU50" s="186">
        <f t="shared" si="167"/>
        <v>0</v>
      </c>
      <c r="MV50" s="186" t="str">
        <f t="shared" si="168"/>
        <v>59</v>
      </c>
      <c r="MW50" s="186" t="str">
        <f t="shared" si="169"/>
        <v>59</v>
      </c>
      <c r="MX50" s="186">
        <f t="shared" si="301"/>
        <v>118</v>
      </c>
      <c r="MY50" s="186">
        <f t="shared" si="302"/>
        <v>39.3333333333333</v>
      </c>
      <c r="MZ50" s="135" t="str">
        <f t="shared" si="170"/>
        <v>E</v>
      </c>
      <c r="NA50" s="151" t="str">
        <f>VLOOKUP(RANK(MY50,$MY$10:$MY$109),Sheet1!$A$381:$B$480,2,FALSE)</f>
        <v>25th</v>
      </c>
      <c r="NB50" s="186"/>
      <c r="NC50" s="186"/>
      <c r="ND50" s="186">
        <f t="shared" si="171"/>
        <v>0</v>
      </c>
      <c r="NE50" s="186" t="str">
        <f t="shared" si="172"/>
        <v>49</v>
      </c>
      <c r="NF50" s="186" t="str">
        <f t="shared" si="173"/>
        <v>42</v>
      </c>
      <c r="NG50" s="186">
        <f t="shared" si="303"/>
        <v>91</v>
      </c>
      <c r="NH50" s="186">
        <f t="shared" si="304"/>
        <v>30.3333333333333</v>
      </c>
      <c r="NI50" s="135" t="str">
        <f t="shared" si="174"/>
        <v>F</v>
      </c>
      <c r="NJ50" s="151" t="str">
        <f>VLOOKUP(RANK(NH50,$NH$10:$NH$109),Sheet1!$A$381:$B$480,2,FALSE)</f>
        <v>20th</v>
      </c>
      <c r="NK50" s="186"/>
      <c r="NL50" s="186"/>
      <c r="NM50" s="186">
        <f t="shared" si="175"/>
        <v>0</v>
      </c>
      <c r="NN50" s="186" t="str">
        <f t="shared" si="176"/>
        <v>55</v>
      </c>
      <c r="NO50" s="186" t="str">
        <f t="shared" si="177"/>
        <v>79</v>
      </c>
      <c r="NP50" s="186">
        <f t="shared" si="305"/>
        <v>134</v>
      </c>
      <c r="NQ50" s="186">
        <f t="shared" si="263"/>
        <v>44.6666666666667</v>
      </c>
      <c r="NR50" s="135" t="str">
        <f t="shared" si="179"/>
        <v>D</v>
      </c>
      <c r="NS50" s="151" t="str">
        <f>VLOOKUP(RANK(NQ50,$NQ$10:$NQ$109),Sheet1!$A$381:$B$480,2,FALSE)</f>
        <v>35th</v>
      </c>
      <c r="NT50" s="186"/>
      <c r="NU50" s="186"/>
      <c r="NV50" s="186">
        <f t="shared" si="180"/>
        <v>0</v>
      </c>
      <c r="NW50" s="186" t="str">
        <f t="shared" si="181"/>
        <v>0</v>
      </c>
      <c r="NX50" s="186" t="str">
        <f t="shared" si="182"/>
        <v>0</v>
      </c>
      <c r="NY50" s="186">
        <f t="shared" si="306"/>
        <v>0</v>
      </c>
      <c r="NZ50" s="186">
        <f t="shared" si="264"/>
        <v>0</v>
      </c>
      <c r="OA50" s="135" t="str">
        <f t="shared" si="184"/>
        <v>F</v>
      </c>
      <c r="OB50" s="151" t="str">
        <f>VLOOKUP(RANK(NZ50,$NZ$10:$NZ$109),Sheet1!$A$381:$B$480,2,FALSE)</f>
        <v>1st</v>
      </c>
      <c r="OC50" s="186"/>
      <c r="OD50" s="186"/>
      <c r="OE50" s="186">
        <f t="shared" si="185"/>
        <v>0</v>
      </c>
      <c r="OF50" s="186" t="str">
        <f t="shared" si="186"/>
        <v>0</v>
      </c>
      <c r="OG50" s="186" t="str">
        <f t="shared" si="187"/>
        <v>0</v>
      </c>
      <c r="OH50" s="186">
        <f t="shared" si="307"/>
        <v>0</v>
      </c>
      <c r="OI50" s="186">
        <f t="shared" si="236"/>
        <v>0</v>
      </c>
      <c r="OJ50" s="135" t="str">
        <f t="shared" si="188"/>
        <v>F</v>
      </c>
      <c r="OK50" s="151" t="str">
        <f>VLOOKUP(RANK(OI50,$OI$10:$OI$109),Sheet1!$A$381:$B$480,2,FALSE)</f>
        <v>1st</v>
      </c>
      <c r="OL50" s="151"/>
      <c r="OM50" s="151"/>
      <c r="ON50" s="151">
        <f t="shared" si="308"/>
        <v>0</v>
      </c>
      <c r="OO50" s="151" t="str">
        <f t="shared" si="309"/>
        <v>0</v>
      </c>
      <c r="OP50" s="151" t="str">
        <f t="shared" si="310"/>
        <v>0</v>
      </c>
      <c r="OQ50" s="151">
        <f t="shared" si="311"/>
        <v>0</v>
      </c>
      <c r="OR50" s="151">
        <f t="shared" si="312"/>
        <v>0</v>
      </c>
      <c r="OS50" s="135" t="str">
        <f t="shared" si="189"/>
        <v>F</v>
      </c>
      <c r="OT50" s="151" t="str">
        <f>VLOOKUP(RANK(OR50,$OI$10:$OI$109),Sheet1!$A$381:$B$480,2,FALSE)</f>
        <v>1st</v>
      </c>
      <c r="OU50" s="151">
        <f t="shared" si="313"/>
        <v>479</v>
      </c>
      <c r="OV50" s="151">
        <f t="shared" si="314"/>
        <v>28.176470588235301</v>
      </c>
      <c r="OW50" s="151" t="str">
        <f>VLOOKUP(RANK(OV50,$OV$10:$OV$109),Sheet1!$A$381:$B$480,2,FALSE)</f>
        <v>14th</v>
      </c>
      <c r="OX50" s="151"/>
      <c r="OY50" s="186"/>
      <c r="OZ50" s="186"/>
      <c r="PA50" s="186"/>
      <c r="PB50" s="186"/>
    </row>
    <row r="51" spans="1:418" s="118" customFormat="1" ht="18.75">
      <c r="A51" s="131">
        <v>42</v>
      </c>
      <c r="B51" s="132" t="s">
        <v>139</v>
      </c>
      <c r="C51" s="133" t="s">
        <v>97</v>
      </c>
      <c r="D51" s="134">
        <v>30</v>
      </c>
      <c r="E51" s="134">
        <v>51</v>
      </c>
      <c r="F51" s="137">
        <f t="shared" si="0"/>
        <v>81</v>
      </c>
      <c r="G51" s="137">
        <f t="shared" si="1"/>
        <v>81</v>
      </c>
      <c r="H51" s="135" t="str">
        <f t="shared" si="265"/>
        <v>A</v>
      </c>
      <c r="I51" s="135" t="str">
        <f>VLOOKUP(RANK(G51,$G$10:$G$109),Sheet1!$A$381:$B$480,2,FALSE)</f>
        <v>5th</v>
      </c>
      <c r="J51" s="134">
        <v>30</v>
      </c>
      <c r="K51" s="134">
        <v>25</v>
      </c>
      <c r="L51" s="137">
        <f t="shared" si="2"/>
        <v>55</v>
      </c>
      <c r="M51" s="137">
        <f t="shared" si="3"/>
        <v>55</v>
      </c>
      <c r="N51" s="135" t="str">
        <f t="shared" si="4"/>
        <v>C</v>
      </c>
      <c r="O51" s="141" t="str">
        <f>VLOOKUP(RANK(M51,$M$10:$M$109),Sheet1!$A$381:$B$480,2,FALSE)</f>
        <v>36th</v>
      </c>
      <c r="P51" s="144">
        <v>30</v>
      </c>
      <c r="Q51" s="144">
        <v>20</v>
      </c>
      <c r="R51" s="147">
        <f t="shared" si="5"/>
        <v>50</v>
      </c>
      <c r="S51" s="137">
        <f t="shared" si="6"/>
        <v>50</v>
      </c>
      <c r="T51" s="135" t="str">
        <f t="shared" si="7"/>
        <v>C</v>
      </c>
      <c r="U51" s="135" t="str">
        <f>VLOOKUP(RANK(S51,$S$10:$S$109),Sheet1!$A$381:$B$480,2,FALSE)</f>
        <v>29th</v>
      </c>
      <c r="V51" s="134">
        <v>28</v>
      </c>
      <c r="W51" s="134">
        <v>32</v>
      </c>
      <c r="X51" s="137">
        <f t="shared" si="191"/>
        <v>60</v>
      </c>
      <c r="Y51" s="137">
        <f t="shared" si="244"/>
        <v>60</v>
      </c>
      <c r="Z51" s="135" t="str">
        <f t="shared" si="8"/>
        <v>B</v>
      </c>
      <c r="AA51" s="135" t="str">
        <f>VLOOKUP(RANK(Y51,$Y$10:$Y$109),Sheet1!$A$381:$B$480,2,FALSE)</f>
        <v>34th</v>
      </c>
      <c r="AB51" s="134">
        <v>33</v>
      </c>
      <c r="AC51" s="134">
        <v>48</v>
      </c>
      <c r="AD51" s="137">
        <f t="shared" si="9"/>
        <v>81</v>
      </c>
      <c r="AE51" s="137">
        <f t="shared" si="10"/>
        <v>81</v>
      </c>
      <c r="AF51" s="135" t="str">
        <f t="shared" si="11"/>
        <v>A</v>
      </c>
      <c r="AG51" s="135" t="str">
        <f>VLOOKUP(RANK(AE51,$AE$10:$AE$109),Sheet1!$A$381:$B$480,2,FALSE)</f>
        <v>12th</v>
      </c>
      <c r="AH51" s="137"/>
      <c r="AI51" s="137"/>
      <c r="AJ51" s="137">
        <f t="shared" si="12"/>
        <v>0</v>
      </c>
      <c r="AK51" s="137">
        <f t="shared" si="13"/>
        <v>0</v>
      </c>
      <c r="AL51" s="135" t="str">
        <f t="shared" si="14"/>
        <v>F</v>
      </c>
      <c r="AM51" s="135" t="str">
        <f>VLOOKUP(RANK(AK51,$AK$10:$AK$109),Sheet1!$A$381:$B$480,2,FALSE)</f>
        <v>1st</v>
      </c>
      <c r="AN51" s="134"/>
      <c r="AO51" s="134"/>
      <c r="AP51" s="137">
        <f t="shared" si="15"/>
        <v>0</v>
      </c>
      <c r="AQ51" s="137">
        <f t="shared" si="16"/>
        <v>0</v>
      </c>
      <c r="AR51" s="135" t="str">
        <f t="shared" si="17"/>
        <v>F</v>
      </c>
      <c r="AS51" s="135" t="str">
        <f>VLOOKUP(RANK(AQ51,$AQ$10:$AQ$109),Sheet1!$A$381:$B$480,2,FALSE)</f>
        <v>1st</v>
      </c>
      <c r="AT51" s="142">
        <v>25</v>
      </c>
      <c r="AU51" s="145">
        <v>25</v>
      </c>
      <c r="AV51" s="137">
        <f t="shared" si="18"/>
        <v>50</v>
      </c>
      <c r="AW51" s="137">
        <f t="shared" si="19"/>
        <v>50</v>
      </c>
      <c r="AX51" s="135" t="str">
        <f t="shared" si="20"/>
        <v>C</v>
      </c>
      <c r="AY51" s="141" t="str">
        <f>VLOOKUP(RANK(AW51,$AW$10:$AW$109),Sheet1!$A$381:$B$480,2,FALSE)</f>
        <v>58th</v>
      </c>
      <c r="AZ51" s="144">
        <v>32</v>
      </c>
      <c r="BA51" s="144">
        <v>16</v>
      </c>
      <c r="BB51" s="147">
        <f t="shared" si="21"/>
        <v>48</v>
      </c>
      <c r="BC51" s="137">
        <f t="shared" si="22"/>
        <v>48</v>
      </c>
      <c r="BD51" s="135" t="str">
        <f t="shared" si="23"/>
        <v>D</v>
      </c>
      <c r="BE51" s="135" t="str">
        <f>VLOOKUP(RANK(BC51,$BC$10:$BC$109),Sheet1!$A$381:$B$480,2,FALSE)</f>
        <v>63rd</v>
      </c>
      <c r="BF51" s="144">
        <v>11</v>
      </c>
      <c r="BG51" s="144">
        <v>17</v>
      </c>
      <c r="BH51" s="137">
        <f t="shared" si="24"/>
        <v>28</v>
      </c>
      <c r="BI51" s="137">
        <f t="shared" si="25"/>
        <v>28</v>
      </c>
      <c r="BJ51" s="135" t="str">
        <f t="shared" si="26"/>
        <v>F</v>
      </c>
      <c r="BK51" s="141" t="str">
        <f>VLOOKUP(RANK(BI51,$BI$10:$BI$109),Sheet1!$A$381:$B$480,2,FALSE)</f>
        <v>71st</v>
      </c>
      <c r="BL51" s="149">
        <v>26</v>
      </c>
      <c r="BM51" s="149">
        <v>28</v>
      </c>
      <c r="BN51" s="147">
        <f t="shared" si="27"/>
        <v>54</v>
      </c>
      <c r="BO51" s="137">
        <f t="shared" si="28"/>
        <v>54</v>
      </c>
      <c r="BP51" s="135" t="str">
        <f t="shared" si="29"/>
        <v>C</v>
      </c>
      <c r="BQ51" s="141" t="str">
        <f>VLOOKUP(RANK(BO51,$BO$10:$BO$109),Sheet1!$A$381:$B$480,2,FALSE)</f>
        <v>23rd</v>
      </c>
      <c r="BR51" s="149">
        <v>28</v>
      </c>
      <c r="BS51" s="149">
        <v>12</v>
      </c>
      <c r="BT51" s="147">
        <f t="shared" si="30"/>
        <v>40</v>
      </c>
      <c r="BU51" s="137">
        <f t="shared" si="31"/>
        <v>40</v>
      </c>
      <c r="BV51" s="135" t="str">
        <f t="shared" si="32"/>
        <v>D</v>
      </c>
      <c r="BW51" s="135" t="str">
        <f>VLOOKUP(RANK(BU51,$BU$10:$BU$109),Sheet1!$A$381:$B$480,2,FALSE)</f>
        <v>63rd</v>
      </c>
      <c r="BX51" s="149">
        <v>32</v>
      </c>
      <c r="BY51" s="149">
        <v>12</v>
      </c>
      <c r="BZ51" s="137">
        <f t="shared" si="33"/>
        <v>44</v>
      </c>
      <c r="CA51" s="137">
        <f t="shared" si="34"/>
        <v>44</v>
      </c>
      <c r="CB51" s="135" t="str">
        <f t="shared" si="35"/>
        <v>D</v>
      </c>
      <c r="CC51" s="135" t="str">
        <f>VLOOKUP(RANK(CA51,$CA$10:$CA$109),Sheet1!$A$381:$B$480,2,FALSE)</f>
        <v>20th</v>
      </c>
      <c r="CD51" s="149">
        <v>26</v>
      </c>
      <c r="CE51" s="149">
        <v>30</v>
      </c>
      <c r="CF51" s="137">
        <f t="shared" si="36"/>
        <v>56</v>
      </c>
      <c r="CG51" s="137">
        <f t="shared" si="37"/>
        <v>56</v>
      </c>
      <c r="CH51" s="135" t="str">
        <f t="shared" si="38"/>
        <v>C</v>
      </c>
      <c r="CI51" s="135" t="str">
        <f>VLOOKUP(RANK(CG51,$CG$10:$CG$109),Sheet1!$A$381:$B$480,2,FALSE)</f>
        <v>41st</v>
      </c>
      <c r="CJ51" s="137"/>
      <c r="CK51" s="137"/>
      <c r="CL51" s="137">
        <f t="shared" si="39"/>
        <v>0</v>
      </c>
      <c r="CM51" s="137">
        <f t="shared" si="40"/>
        <v>0</v>
      </c>
      <c r="CN51" s="135" t="str">
        <f t="shared" si="41"/>
        <v>F</v>
      </c>
      <c r="CO51" s="135" t="str">
        <f>VLOOKUP(RANK(CM51,$CM$10:$CM$109),Sheet1!$A$381:$B$480,2,FALSE)</f>
        <v>1st</v>
      </c>
      <c r="CP51" s="137"/>
      <c r="CQ51" s="137"/>
      <c r="CR51" s="137">
        <f t="shared" si="42"/>
        <v>0</v>
      </c>
      <c r="CS51" s="137">
        <f t="shared" si="43"/>
        <v>0</v>
      </c>
      <c r="CT51" s="135" t="str">
        <f t="shared" si="44"/>
        <v>F</v>
      </c>
      <c r="CU51" s="135" t="str">
        <f>VLOOKUP(RANK(CS51,$CS$10:$CS$109),Sheet1!$A$381:$B$480,2,FALSE)</f>
        <v>1st</v>
      </c>
      <c r="CV51" s="151"/>
      <c r="CW51" s="135"/>
      <c r="CX51" s="151">
        <f t="shared" si="266"/>
        <v>0</v>
      </c>
      <c r="CY51" s="151">
        <f t="shared" si="267"/>
        <v>0</v>
      </c>
      <c r="CZ51" s="135" t="str">
        <f t="shared" si="45"/>
        <v>F</v>
      </c>
      <c r="DA51" s="135" t="str">
        <f>VLOOKUP(RANK(CY51,$CY$10:$CY$109),Sheet1!$A$381:$B$480,2,FALSE)</f>
        <v>1st</v>
      </c>
      <c r="DB51" s="135"/>
      <c r="DC51" s="151">
        <f t="shared" si="268"/>
        <v>647</v>
      </c>
      <c r="DD51" s="151">
        <f t="shared" si="269"/>
        <v>38.058823529411796</v>
      </c>
      <c r="DE51" s="135" t="str">
        <f>VLOOKUP(RANK(DD51,$DD$10:$DD$109),Sheet1!$A$381:$B$480,2,FALSE)</f>
        <v>38th</v>
      </c>
      <c r="DF51" s="137"/>
      <c r="DG51" s="160">
        <f t="shared" si="46"/>
        <v>685.05882352941205</v>
      </c>
      <c r="DH51" s="119"/>
      <c r="DI51" s="162">
        <v>22</v>
      </c>
      <c r="DJ51" s="162">
        <v>49</v>
      </c>
      <c r="DK51" s="137">
        <f t="shared" si="47"/>
        <v>71</v>
      </c>
      <c r="DL51" s="137" t="str">
        <f t="shared" si="245"/>
        <v>81</v>
      </c>
      <c r="DM51" s="137">
        <f t="shared" si="49"/>
        <v>152</v>
      </c>
      <c r="DN51" s="137">
        <f t="shared" si="50"/>
        <v>76</v>
      </c>
      <c r="DO51" s="135" t="str">
        <f t="shared" si="51"/>
        <v>A</v>
      </c>
      <c r="DP51" s="135" t="str">
        <f>VLOOKUP(RANK(DN51,$DN$10:$DN$109),Sheet1!$A$381:$B$480,2,FALSE)</f>
        <v>14th</v>
      </c>
      <c r="DQ51" s="166">
        <v>30</v>
      </c>
      <c r="DR51" s="166">
        <v>19</v>
      </c>
      <c r="DS51" s="137">
        <f t="shared" si="52"/>
        <v>49</v>
      </c>
      <c r="DT51" s="137" t="str">
        <f t="shared" si="246"/>
        <v>55</v>
      </c>
      <c r="DU51" s="137">
        <f t="shared" si="54"/>
        <v>104</v>
      </c>
      <c r="DV51" s="137">
        <f t="shared" si="247"/>
        <v>52</v>
      </c>
      <c r="DW51" s="135" t="str">
        <f t="shared" si="56"/>
        <v>C</v>
      </c>
      <c r="DX51" s="135" t="str">
        <f>VLOOKUP(RANK(DV51,$DV$10:$DV$109),Sheet1!$A$381:$B$480,2,FALSE)</f>
        <v>35th</v>
      </c>
      <c r="DY51" s="168">
        <v>22</v>
      </c>
      <c r="DZ51" s="168">
        <v>25</v>
      </c>
      <c r="EA51" s="137">
        <f t="shared" si="57"/>
        <v>47</v>
      </c>
      <c r="EB51" s="137" t="str">
        <f t="shared" si="248"/>
        <v>50</v>
      </c>
      <c r="EC51" s="137">
        <f t="shared" si="59"/>
        <v>97</v>
      </c>
      <c r="ED51" s="137">
        <f t="shared" si="60"/>
        <v>48.5</v>
      </c>
      <c r="EE51" s="135" t="str">
        <f t="shared" si="61"/>
        <v>D</v>
      </c>
      <c r="EF51" s="135" t="str">
        <f>VLOOKUP(RANK(ED51,$ED$10:$ED$109),Sheet1!$A$381:$B$480,2,FALSE)</f>
        <v>42nd</v>
      </c>
      <c r="EG51" s="162">
        <v>20</v>
      </c>
      <c r="EH51" s="162">
        <v>38</v>
      </c>
      <c r="EI51" s="137">
        <f t="shared" si="62"/>
        <v>58</v>
      </c>
      <c r="EJ51" s="137" t="str">
        <f t="shared" si="249"/>
        <v>60</v>
      </c>
      <c r="EK51" s="137">
        <f t="shared" si="64"/>
        <v>118</v>
      </c>
      <c r="EL51" s="137">
        <f t="shared" si="65"/>
        <v>59</v>
      </c>
      <c r="EM51" s="135" t="str">
        <f t="shared" si="66"/>
        <v>C</v>
      </c>
      <c r="EN51" s="135" t="str">
        <f>VLOOKUP(RANK(EL51,$EL$10:$EL$109),Sheet1!$A$381:$B$480,2,FALSE)</f>
        <v>39th</v>
      </c>
      <c r="EO51" s="162">
        <v>27</v>
      </c>
      <c r="EP51" s="162">
        <v>17</v>
      </c>
      <c r="EQ51" s="137">
        <f t="shared" si="67"/>
        <v>44</v>
      </c>
      <c r="ER51" s="137" t="str">
        <f t="shared" si="250"/>
        <v>81</v>
      </c>
      <c r="ES51" s="137">
        <f t="shared" si="69"/>
        <v>125</v>
      </c>
      <c r="ET51" s="137">
        <f t="shared" si="70"/>
        <v>62.5</v>
      </c>
      <c r="EU51" s="135" t="str">
        <f t="shared" si="71"/>
        <v>B</v>
      </c>
      <c r="EV51" s="135" t="str">
        <f>VLOOKUP(RANK(ET51,$ET$10:$ET$109),Sheet1!$A$381:$B$480,2,FALSE)</f>
        <v>35th</v>
      </c>
      <c r="EW51" s="137"/>
      <c r="EX51" s="137"/>
      <c r="EY51" s="137">
        <f t="shared" si="72"/>
        <v>0</v>
      </c>
      <c r="EZ51" s="137" t="str">
        <f t="shared" si="251"/>
        <v>0</v>
      </c>
      <c r="FA51" s="137">
        <f t="shared" si="74"/>
        <v>0</v>
      </c>
      <c r="FB51" s="137">
        <f t="shared" si="75"/>
        <v>0</v>
      </c>
      <c r="FC51" s="135" t="str">
        <f t="shared" si="76"/>
        <v>F</v>
      </c>
      <c r="FD51" s="135" t="str">
        <f>VLOOKUP(RANK(FB51,$FB$10:$FB$109),Sheet1!$A$381:$B$480,2,FALSE)</f>
        <v>1st</v>
      </c>
      <c r="FE51" s="137"/>
      <c r="FF51" s="137"/>
      <c r="FG51" s="137">
        <f t="shared" si="77"/>
        <v>0</v>
      </c>
      <c r="FH51" s="137" t="str">
        <f t="shared" si="252"/>
        <v>0</v>
      </c>
      <c r="FI51" s="137">
        <f t="shared" si="79"/>
        <v>0</v>
      </c>
      <c r="FJ51" s="137">
        <f t="shared" si="80"/>
        <v>0</v>
      </c>
      <c r="FK51" s="135" t="str">
        <f t="shared" si="81"/>
        <v>F</v>
      </c>
      <c r="FL51" s="135" t="str">
        <f>VLOOKUP(RANK(FJ51,$FJ$10:$FJ$109),Sheet1!$A$381:$B$480,2,FALSE)</f>
        <v>1st</v>
      </c>
      <c r="FM51" s="164">
        <v>28</v>
      </c>
      <c r="FN51" s="165">
        <v>22</v>
      </c>
      <c r="FO51" s="137">
        <f t="shared" si="82"/>
        <v>50</v>
      </c>
      <c r="FP51" s="137" t="str">
        <f t="shared" si="253"/>
        <v>50</v>
      </c>
      <c r="FQ51" s="137">
        <f t="shared" si="84"/>
        <v>100</v>
      </c>
      <c r="FR51" s="137">
        <f t="shared" si="85"/>
        <v>50</v>
      </c>
      <c r="FS51" s="135" t="str">
        <f t="shared" si="86"/>
        <v>C</v>
      </c>
      <c r="FT51" s="135" t="str">
        <f>VLOOKUP(RANK(FR51,$FR$10:$FR$109),Sheet1!$A$381:$B$480,2,FALSE)</f>
        <v>77th</v>
      </c>
      <c r="FU51" s="149">
        <v>0</v>
      </c>
      <c r="FV51" s="149">
        <v>20</v>
      </c>
      <c r="FW51" s="137">
        <f t="shared" si="87"/>
        <v>20</v>
      </c>
      <c r="FX51" s="137" t="str">
        <f t="shared" si="254"/>
        <v>48</v>
      </c>
      <c r="FY51" s="137">
        <f t="shared" si="196"/>
        <v>20</v>
      </c>
      <c r="FZ51" s="137">
        <f t="shared" si="89"/>
        <v>10</v>
      </c>
      <c r="GA51" s="135" t="str">
        <f t="shared" si="90"/>
        <v>F</v>
      </c>
      <c r="GB51" s="135" t="str">
        <f>VLOOKUP(RANK(FZ51,$FZ$10:$FZ$109),Sheet1!$A$381:$B$480,2,FALSE)</f>
        <v>90th</v>
      </c>
      <c r="GC51" s="166">
        <v>2</v>
      </c>
      <c r="GD51" s="166">
        <v>24</v>
      </c>
      <c r="GE51" s="137">
        <f t="shared" si="91"/>
        <v>26</v>
      </c>
      <c r="GF51" s="137" t="str">
        <f t="shared" si="255"/>
        <v>28</v>
      </c>
      <c r="GG51" s="135">
        <f t="shared" si="270"/>
        <v>54</v>
      </c>
      <c r="GH51" s="137">
        <f t="shared" si="271"/>
        <v>27</v>
      </c>
      <c r="GI51" s="135" t="str">
        <f t="shared" si="93"/>
        <v>F</v>
      </c>
      <c r="GJ51" s="135" t="str">
        <f>VLOOKUP(RANK(GH51,$GH$10:$GH$109),Sheet1!$A$381:$B$480,2,FALSE)</f>
        <v>91st</v>
      </c>
      <c r="GK51" s="166">
        <v>27</v>
      </c>
      <c r="GL51" s="166">
        <v>15</v>
      </c>
      <c r="GM51" s="137">
        <f t="shared" si="94"/>
        <v>42</v>
      </c>
      <c r="GN51" s="137" t="str">
        <f t="shared" si="256"/>
        <v>54</v>
      </c>
      <c r="GO51" s="135">
        <f t="shared" si="272"/>
        <v>96</v>
      </c>
      <c r="GP51" s="137">
        <f t="shared" si="96"/>
        <v>48</v>
      </c>
      <c r="GQ51" s="135" t="str">
        <f t="shared" si="97"/>
        <v>D</v>
      </c>
      <c r="GR51" s="135" t="str">
        <f>VLOOKUP(RANK(GP51,$GP$10:$GP$109),Sheet1!$A$381:$B$480,2,FALSE)</f>
        <v>45th</v>
      </c>
      <c r="GS51" s="166">
        <v>12</v>
      </c>
      <c r="GT51" s="166">
        <v>47</v>
      </c>
      <c r="GU51" s="137">
        <f t="shared" si="98"/>
        <v>59</v>
      </c>
      <c r="GV51" s="137" t="str">
        <f t="shared" si="257"/>
        <v>40</v>
      </c>
      <c r="GW51" s="137">
        <f t="shared" si="100"/>
        <v>99</v>
      </c>
      <c r="GX51" s="137">
        <f t="shared" si="101"/>
        <v>49.5</v>
      </c>
      <c r="GY51" s="135" t="str">
        <f t="shared" si="102"/>
        <v>D</v>
      </c>
      <c r="GZ51" s="135" t="str">
        <f>VLOOKUP(RANK(GX51,$GX$10:$GX$109),Sheet1!$A$381:$B$480,2,FALSE)</f>
        <v>50th</v>
      </c>
      <c r="HA51" s="166">
        <v>30</v>
      </c>
      <c r="HB51" s="166">
        <v>15</v>
      </c>
      <c r="HC51" s="137">
        <f t="shared" si="103"/>
        <v>45</v>
      </c>
      <c r="HD51" s="137" t="str">
        <f t="shared" si="258"/>
        <v>44</v>
      </c>
      <c r="HE51" s="137">
        <f t="shared" si="105"/>
        <v>89</v>
      </c>
      <c r="HF51" s="137">
        <f t="shared" si="106"/>
        <v>44.5</v>
      </c>
      <c r="HG51" s="135" t="str">
        <f t="shared" si="107"/>
        <v>D</v>
      </c>
      <c r="HH51" s="135" t="str">
        <f>VLOOKUP(RANK(HF51,$HF$10:$HF$109),Sheet1!$A$381:$B$480,2,FALSE)</f>
        <v>26th</v>
      </c>
      <c r="HI51" s="149">
        <v>32</v>
      </c>
      <c r="HJ51" s="149">
        <v>42</v>
      </c>
      <c r="HK51" s="137">
        <f t="shared" si="108"/>
        <v>74</v>
      </c>
      <c r="HL51" s="137" t="str">
        <f t="shared" si="259"/>
        <v>56</v>
      </c>
      <c r="HM51" s="137">
        <f t="shared" si="110"/>
        <v>130</v>
      </c>
      <c r="HN51" s="137">
        <f t="shared" si="111"/>
        <v>65</v>
      </c>
      <c r="HO51" s="135" t="str">
        <f t="shared" si="112"/>
        <v>B</v>
      </c>
      <c r="HP51" s="135" t="str">
        <f>VLOOKUP(RANK(HN51,$HN$10:$HN$109),Sheet1!$A$381:$B$480,2,FALSE)</f>
        <v>48th</v>
      </c>
      <c r="HQ51" s="137"/>
      <c r="HR51" s="137"/>
      <c r="HS51" s="137">
        <f t="shared" si="113"/>
        <v>0</v>
      </c>
      <c r="HT51" s="137" t="str">
        <f t="shared" si="260"/>
        <v>0</v>
      </c>
      <c r="HU51" s="137">
        <f t="shared" si="115"/>
        <v>0</v>
      </c>
      <c r="HV51" s="137">
        <f t="shared" si="116"/>
        <v>0</v>
      </c>
      <c r="HW51" s="135" t="str">
        <f t="shared" si="117"/>
        <v>F</v>
      </c>
      <c r="HX51" s="135" t="str">
        <f>VLOOKUP(RANK(HV51,$HV$10:$HV$109),Sheet1!$A$381:$B$480,2,FALSE)</f>
        <v>1st</v>
      </c>
      <c r="HY51" s="137"/>
      <c r="HZ51" s="137"/>
      <c r="IA51" s="137">
        <f t="shared" si="261"/>
        <v>0</v>
      </c>
      <c r="IB51" s="137" t="str">
        <f t="shared" si="262"/>
        <v>0</v>
      </c>
      <c r="IC51" s="137">
        <f t="shared" si="120"/>
        <v>0</v>
      </c>
      <c r="ID51" s="137">
        <f t="shared" si="121"/>
        <v>0</v>
      </c>
      <c r="IE51" s="135" t="str">
        <f t="shared" si="122"/>
        <v>F</v>
      </c>
      <c r="IF51" s="135" t="str">
        <f>VLOOKUP(RANK(ID51,$ID$10:$ID$109),Sheet1!$A$381:$B$480,2,FALSE)</f>
        <v>1st</v>
      </c>
      <c r="IG51" s="135"/>
      <c r="IH51" s="135"/>
      <c r="II51" s="135">
        <f t="shared" si="273"/>
        <v>0</v>
      </c>
      <c r="IJ51" s="135" t="str">
        <f t="shared" si="274"/>
        <v>0</v>
      </c>
      <c r="IK51" s="135">
        <f t="shared" si="275"/>
        <v>0</v>
      </c>
      <c r="IL51" s="135">
        <f t="shared" si="276"/>
        <v>0</v>
      </c>
      <c r="IM51" s="135" t="str">
        <f t="shared" si="123"/>
        <v>F</v>
      </c>
      <c r="IN51" s="135" t="str">
        <f>VLOOKUP(RANK(IL51,$IL$10:$IL$109),Sheet1!$A$381:$B$480,2,FALSE)</f>
        <v>1st</v>
      </c>
      <c r="IO51" s="135">
        <f t="shared" si="277"/>
        <v>592</v>
      </c>
      <c r="IP51" s="177">
        <f t="shared" si="278"/>
        <v>34.823529411764703</v>
      </c>
      <c r="IQ51" s="135" t="str">
        <f>VLOOKUP(RANK(IP51,$IP$10:$IP$109),Sheet1!$A$381:$B$480,2,FALSE)</f>
        <v>50th</v>
      </c>
      <c r="IR51" s="178"/>
      <c r="IS51" s="137"/>
      <c r="IT51" s="137"/>
      <c r="IU51" s="137"/>
      <c r="IV51" s="137"/>
      <c r="IW51" s="181"/>
      <c r="IX51" s="184"/>
      <c r="IY51" s="186"/>
      <c r="IZ51" s="186">
        <f t="shared" si="206"/>
        <v>0</v>
      </c>
      <c r="JA51" s="186" t="str">
        <f t="shared" si="124"/>
        <v>81</v>
      </c>
      <c r="JB51" s="186" t="str">
        <f t="shared" si="125"/>
        <v>71</v>
      </c>
      <c r="JC51" s="186">
        <f t="shared" si="279"/>
        <v>152</v>
      </c>
      <c r="JD51" s="186">
        <f t="shared" si="280"/>
        <v>50.6666666666667</v>
      </c>
      <c r="JE51" s="135" t="str">
        <f t="shared" si="126"/>
        <v>C</v>
      </c>
      <c r="JF51" s="151" t="str">
        <f>VLOOKUP(RANK(JD51,$JD$10:$JD$109),Sheet1!$A$381:$B$480,2,FALSE)</f>
        <v>14th</v>
      </c>
      <c r="JG51" s="186"/>
      <c r="JH51" s="186"/>
      <c r="JI51" s="186">
        <f t="shared" si="127"/>
        <v>0</v>
      </c>
      <c r="JJ51" s="186" t="str">
        <f t="shared" si="128"/>
        <v>55</v>
      </c>
      <c r="JK51" s="186" t="str">
        <f t="shared" si="129"/>
        <v>49</v>
      </c>
      <c r="JL51" s="186">
        <f t="shared" si="281"/>
        <v>104</v>
      </c>
      <c r="JM51" s="186">
        <f t="shared" si="282"/>
        <v>34.6666666666667</v>
      </c>
      <c r="JN51" s="135" t="str">
        <f t="shared" si="130"/>
        <v>F</v>
      </c>
      <c r="JO51" s="151" t="str">
        <f>VLOOKUP(RANK(JM51,$JM$10:$JM$109),Sheet1!$A$381:$B$480,2,FALSE)</f>
        <v>35th</v>
      </c>
      <c r="JP51" s="186"/>
      <c r="JQ51" s="186"/>
      <c r="JR51" s="186">
        <f t="shared" si="131"/>
        <v>0</v>
      </c>
      <c r="JS51" s="186" t="str">
        <f t="shared" si="132"/>
        <v>50</v>
      </c>
      <c r="JT51" s="186" t="str">
        <f t="shared" si="133"/>
        <v>47</v>
      </c>
      <c r="JU51" s="186">
        <f t="shared" si="283"/>
        <v>97</v>
      </c>
      <c r="JV51" s="186">
        <f t="shared" si="284"/>
        <v>32.3333333333333</v>
      </c>
      <c r="JW51" s="135" t="str">
        <f t="shared" si="134"/>
        <v>F</v>
      </c>
      <c r="JX51" s="151" t="str">
        <f>VLOOKUP(RANK(JV51,$JV$10:$JV$109),Sheet1!$A$381:$B$480,2,FALSE)</f>
        <v>42nd</v>
      </c>
      <c r="JY51" s="186"/>
      <c r="JZ51" s="186"/>
      <c r="KA51" s="186">
        <f t="shared" si="135"/>
        <v>0</v>
      </c>
      <c r="KB51" s="186" t="str">
        <f t="shared" si="136"/>
        <v>60</v>
      </c>
      <c r="KC51" s="186" t="str">
        <f t="shared" si="137"/>
        <v>58</v>
      </c>
      <c r="KD51" s="186">
        <f t="shared" si="285"/>
        <v>118</v>
      </c>
      <c r="KE51" s="186">
        <f t="shared" si="286"/>
        <v>39.3333333333333</v>
      </c>
      <c r="KF51" s="135" t="str">
        <f t="shared" si="138"/>
        <v>E</v>
      </c>
      <c r="KG51" s="151" t="str">
        <f>VLOOKUP(RANK(KE51,$KE$10:$KE$109),Sheet1!$A$381:$B$480,2,FALSE)</f>
        <v>39th</v>
      </c>
      <c r="KH51" s="186"/>
      <c r="KI51" s="186"/>
      <c r="KJ51" s="186">
        <f t="shared" si="139"/>
        <v>0</v>
      </c>
      <c r="KK51" s="186" t="str">
        <f t="shared" si="140"/>
        <v>81</v>
      </c>
      <c r="KL51" s="186" t="str">
        <f t="shared" si="141"/>
        <v>44</v>
      </c>
      <c r="KM51" s="186">
        <f t="shared" si="287"/>
        <v>125</v>
      </c>
      <c r="KN51" s="186">
        <f t="shared" si="288"/>
        <v>41.6666666666667</v>
      </c>
      <c r="KO51" s="135" t="str">
        <f t="shared" si="142"/>
        <v>D</v>
      </c>
      <c r="KP51" s="151" t="str">
        <f>VLOOKUP(RANK(KN51,$KN$10:$KN$109),Sheet1!$A$381:$B$480,2,FALSE)</f>
        <v>35th</v>
      </c>
      <c r="KQ51" s="186"/>
      <c r="KR51" s="186"/>
      <c r="KS51" s="186">
        <f t="shared" si="143"/>
        <v>0</v>
      </c>
      <c r="KT51" s="186" t="str">
        <f t="shared" si="144"/>
        <v>0</v>
      </c>
      <c r="KU51" s="186" t="str">
        <f t="shared" si="145"/>
        <v>0</v>
      </c>
      <c r="KV51" s="186">
        <f t="shared" si="289"/>
        <v>0</v>
      </c>
      <c r="KW51" s="186">
        <f t="shared" si="290"/>
        <v>0</v>
      </c>
      <c r="KX51" s="135" t="str">
        <f t="shared" si="146"/>
        <v>F</v>
      </c>
      <c r="KY51" s="151" t="str">
        <f>VLOOKUP(RANK(KW51,$KW$10:$KW$109),Sheet1!$A$381:$B$480,2,FALSE)</f>
        <v>1st</v>
      </c>
      <c r="KZ51" s="186"/>
      <c r="LA51" s="186"/>
      <c r="LB51" s="186">
        <f t="shared" si="147"/>
        <v>0</v>
      </c>
      <c r="LC51" s="186" t="str">
        <f t="shared" si="148"/>
        <v>0</v>
      </c>
      <c r="LD51" s="186" t="str">
        <f t="shared" si="149"/>
        <v>0</v>
      </c>
      <c r="LE51" s="186">
        <f t="shared" si="291"/>
        <v>0</v>
      </c>
      <c r="LF51" s="186">
        <f t="shared" si="292"/>
        <v>0</v>
      </c>
      <c r="LG51" s="135" t="str">
        <f t="shared" si="150"/>
        <v>F</v>
      </c>
      <c r="LH51" s="151" t="str">
        <f>VLOOKUP(RANK(LF51,$LF$10:$LF$109),Sheet1!$A$381:$B$480,2,FALSE)</f>
        <v>1st</v>
      </c>
      <c r="LI51" s="186"/>
      <c r="LJ51" s="186"/>
      <c r="LK51" s="186">
        <f t="shared" si="151"/>
        <v>0</v>
      </c>
      <c r="LL51" s="186" t="str">
        <f t="shared" si="152"/>
        <v>50</v>
      </c>
      <c r="LM51" s="186" t="str">
        <f t="shared" si="153"/>
        <v>50</v>
      </c>
      <c r="LN51" s="186">
        <f t="shared" si="293"/>
        <v>100</v>
      </c>
      <c r="LO51" s="186">
        <f t="shared" si="294"/>
        <v>33.3333333333333</v>
      </c>
      <c r="LP51" s="135" t="str">
        <f t="shared" si="154"/>
        <v>F</v>
      </c>
      <c r="LQ51" s="151" t="str">
        <f>VLOOKUP(RANK(LO51,$LO$10:$LO$109),Sheet1!$A$381:$B$480,2,FALSE)</f>
        <v>77th</v>
      </c>
      <c r="LR51" s="186"/>
      <c r="LS51" s="186"/>
      <c r="LT51" s="186">
        <f t="shared" si="155"/>
        <v>0</v>
      </c>
      <c r="LU51" s="186" t="str">
        <f t="shared" si="156"/>
        <v>48</v>
      </c>
      <c r="LV51" s="186" t="str">
        <f t="shared" si="157"/>
        <v>20</v>
      </c>
      <c r="LW51" s="186">
        <f t="shared" si="295"/>
        <v>68</v>
      </c>
      <c r="LX51" s="186">
        <f t="shared" si="296"/>
        <v>22.6666666666667</v>
      </c>
      <c r="LY51" s="135" t="str">
        <f t="shared" si="158"/>
        <v>F</v>
      </c>
      <c r="LZ51" s="151" t="str">
        <f>VLOOKUP(RANK(LX51,$LX$10:$LX$109),Sheet1!$A$381:$B$480,2,FALSE)</f>
        <v>95th</v>
      </c>
      <c r="MA51" s="186"/>
      <c r="MB51" s="186"/>
      <c r="MC51" s="186">
        <f t="shared" si="159"/>
        <v>0</v>
      </c>
      <c r="MD51" s="186" t="str">
        <f t="shared" si="160"/>
        <v>28</v>
      </c>
      <c r="ME51" s="186" t="str">
        <f t="shared" si="161"/>
        <v>26</v>
      </c>
      <c r="MF51" s="183">
        <f t="shared" si="297"/>
        <v>54</v>
      </c>
      <c r="MG51" s="151">
        <f t="shared" si="298"/>
        <v>18</v>
      </c>
      <c r="MH51" s="135" t="str">
        <f t="shared" si="162"/>
        <v>F</v>
      </c>
      <c r="MI51" s="151" t="str">
        <f>VLOOKUP(RANK(MG51,$MG$10:$MG$109),Sheet1!$A$381:$B$480,2,FALSE)</f>
        <v>91st</v>
      </c>
      <c r="MJ51" s="186"/>
      <c r="MK51" s="186"/>
      <c r="ML51" s="186">
        <f t="shared" si="163"/>
        <v>0</v>
      </c>
      <c r="MM51" s="186" t="str">
        <f t="shared" si="164"/>
        <v>54</v>
      </c>
      <c r="MN51" s="186" t="str">
        <f t="shared" si="165"/>
        <v>42</v>
      </c>
      <c r="MO51" s="186">
        <f t="shared" si="299"/>
        <v>96</v>
      </c>
      <c r="MP51" s="186">
        <f t="shared" si="300"/>
        <v>32</v>
      </c>
      <c r="MQ51" s="135" t="str">
        <f t="shared" si="166"/>
        <v>F</v>
      </c>
      <c r="MR51" s="151" t="str">
        <f>VLOOKUP(RANK(MP51,$MP$10:$MP$109),Sheet1!$A$381:$B$480,2,FALSE)</f>
        <v>45th</v>
      </c>
      <c r="MS51" s="186"/>
      <c r="MT51" s="186"/>
      <c r="MU51" s="186">
        <f t="shared" si="167"/>
        <v>0</v>
      </c>
      <c r="MV51" s="186" t="str">
        <f t="shared" si="168"/>
        <v>40</v>
      </c>
      <c r="MW51" s="186" t="str">
        <f t="shared" si="169"/>
        <v>59</v>
      </c>
      <c r="MX51" s="186">
        <f t="shared" si="301"/>
        <v>99</v>
      </c>
      <c r="MY51" s="186">
        <f t="shared" si="302"/>
        <v>33</v>
      </c>
      <c r="MZ51" s="135" t="str">
        <f t="shared" si="170"/>
        <v>F</v>
      </c>
      <c r="NA51" s="151" t="str">
        <f>VLOOKUP(RANK(MY51,$MY$10:$MY$109),Sheet1!$A$381:$B$480,2,FALSE)</f>
        <v>50th</v>
      </c>
      <c r="NB51" s="186"/>
      <c r="NC51" s="186"/>
      <c r="ND51" s="186">
        <f t="shared" si="171"/>
        <v>0</v>
      </c>
      <c r="NE51" s="186" t="str">
        <f t="shared" si="172"/>
        <v>44</v>
      </c>
      <c r="NF51" s="186" t="str">
        <f t="shared" si="173"/>
        <v>45</v>
      </c>
      <c r="NG51" s="186">
        <f t="shared" si="303"/>
        <v>89</v>
      </c>
      <c r="NH51" s="186">
        <f t="shared" si="304"/>
        <v>29.6666666666667</v>
      </c>
      <c r="NI51" s="135" t="str">
        <f t="shared" si="174"/>
        <v>F</v>
      </c>
      <c r="NJ51" s="151" t="str">
        <f>VLOOKUP(RANK(NH51,$NH$10:$NH$109),Sheet1!$A$381:$B$480,2,FALSE)</f>
        <v>26th</v>
      </c>
      <c r="NK51" s="186"/>
      <c r="NL51" s="186"/>
      <c r="NM51" s="186">
        <f t="shared" si="175"/>
        <v>0</v>
      </c>
      <c r="NN51" s="186" t="str">
        <f t="shared" si="176"/>
        <v>56</v>
      </c>
      <c r="NO51" s="186" t="str">
        <f t="shared" si="177"/>
        <v>74</v>
      </c>
      <c r="NP51" s="186">
        <f t="shared" si="305"/>
        <v>130</v>
      </c>
      <c r="NQ51" s="186">
        <f t="shared" si="263"/>
        <v>43.3333333333333</v>
      </c>
      <c r="NR51" s="135" t="str">
        <f t="shared" si="179"/>
        <v>D</v>
      </c>
      <c r="NS51" s="151" t="str">
        <f>VLOOKUP(RANK(NQ51,$NQ$10:$NQ$109),Sheet1!$A$381:$B$480,2,FALSE)</f>
        <v>48th</v>
      </c>
      <c r="NT51" s="186"/>
      <c r="NU51" s="186"/>
      <c r="NV51" s="186">
        <f t="shared" si="180"/>
        <v>0</v>
      </c>
      <c r="NW51" s="186" t="str">
        <f t="shared" si="181"/>
        <v>0</v>
      </c>
      <c r="NX51" s="186" t="str">
        <f t="shared" si="182"/>
        <v>0</v>
      </c>
      <c r="NY51" s="186">
        <f t="shared" si="306"/>
        <v>0</v>
      </c>
      <c r="NZ51" s="186">
        <f t="shared" si="264"/>
        <v>0</v>
      </c>
      <c r="OA51" s="135" t="str">
        <f t="shared" si="184"/>
        <v>F</v>
      </c>
      <c r="OB51" s="151" t="str">
        <f>VLOOKUP(RANK(NZ51,$NZ$10:$NZ$109),Sheet1!$A$381:$B$480,2,FALSE)</f>
        <v>1st</v>
      </c>
      <c r="OC51" s="186"/>
      <c r="OD51" s="186"/>
      <c r="OE51" s="186">
        <f t="shared" si="185"/>
        <v>0</v>
      </c>
      <c r="OF51" s="186" t="str">
        <f t="shared" si="186"/>
        <v>0</v>
      </c>
      <c r="OG51" s="186" t="str">
        <f t="shared" si="187"/>
        <v>0</v>
      </c>
      <c r="OH51" s="186">
        <f t="shared" si="307"/>
        <v>0</v>
      </c>
      <c r="OI51" s="186">
        <f t="shared" si="236"/>
        <v>0</v>
      </c>
      <c r="OJ51" s="135" t="str">
        <f t="shared" si="188"/>
        <v>F</v>
      </c>
      <c r="OK51" s="151" t="str">
        <f>VLOOKUP(RANK(OI51,$OI$10:$OI$109),Sheet1!$A$381:$B$480,2,FALSE)</f>
        <v>1st</v>
      </c>
      <c r="OL51" s="151"/>
      <c r="OM51" s="151"/>
      <c r="ON51" s="151">
        <f t="shared" si="308"/>
        <v>0</v>
      </c>
      <c r="OO51" s="151" t="str">
        <f t="shared" si="309"/>
        <v>0</v>
      </c>
      <c r="OP51" s="151" t="str">
        <f t="shared" si="310"/>
        <v>0</v>
      </c>
      <c r="OQ51" s="151">
        <f t="shared" si="311"/>
        <v>0</v>
      </c>
      <c r="OR51" s="151">
        <f t="shared" si="312"/>
        <v>0</v>
      </c>
      <c r="OS51" s="135" t="str">
        <f t="shared" si="189"/>
        <v>F</v>
      </c>
      <c r="OT51" s="151" t="str">
        <f>VLOOKUP(RANK(OR51,$OI$10:$OI$109),Sheet1!$A$381:$B$480,2,FALSE)</f>
        <v>1st</v>
      </c>
      <c r="OU51" s="151">
        <f t="shared" si="313"/>
        <v>410.66666666666703</v>
      </c>
      <c r="OV51" s="151">
        <f t="shared" si="314"/>
        <v>24.156862745098</v>
      </c>
      <c r="OW51" s="151" t="str">
        <f>VLOOKUP(RANK(OV51,$OV$10:$OV$109),Sheet1!$A$381:$B$480,2,FALSE)</f>
        <v>50th</v>
      </c>
      <c r="OX51" s="151"/>
      <c r="OY51" s="186"/>
      <c r="OZ51" s="186"/>
      <c r="PA51" s="186"/>
      <c r="PB51" s="186"/>
    </row>
    <row r="52" spans="1:418" s="118" customFormat="1" ht="18.75">
      <c r="A52" s="131">
        <v>43</v>
      </c>
      <c r="B52" s="132" t="s">
        <v>140</v>
      </c>
      <c r="C52" s="133" t="s">
        <v>97</v>
      </c>
      <c r="D52" s="134">
        <v>25</v>
      </c>
      <c r="E52" s="134">
        <v>43</v>
      </c>
      <c r="F52" s="137">
        <f t="shared" si="0"/>
        <v>68</v>
      </c>
      <c r="G52" s="137">
        <f t="shared" si="1"/>
        <v>68</v>
      </c>
      <c r="H52" s="135" t="str">
        <f t="shared" si="265"/>
        <v>B</v>
      </c>
      <c r="I52" s="135" t="str">
        <f>VLOOKUP(RANK(G52,$G$10:$G$109),Sheet1!$A$381:$B$480,2,FALSE)</f>
        <v>50th</v>
      </c>
      <c r="J52" s="134">
        <v>29</v>
      </c>
      <c r="K52" s="134">
        <v>30</v>
      </c>
      <c r="L52" s="137">
        <f t="shared" si="2"/>
        <v>59</v>
      </c>
      <c r="M52" s="137">
        <f t="shared" si="3"/>
        <v>59</v>
      </c>
      <c r="N52" s="135" t="str">
        <f t="shared" si="4"/>
        <v>C</v>
      </c>
      <c r="O52" s="141" t="str">
        <f>VLOOKUP(RANK(M52,$M$10:$M$109),Sheet1!$A$381:$B$480,2,FALSE)</f>
        <v>29th</v>
      </c>
      <c r="P52" s="144">
        <v>25</v>
      </c>
      <c r="Q52" s="144">
        <v>15</v>
      </c>
      <c r="R52" s="147">
        <f t="shared" si="5"/>
        <v>40</v>
      </c>
      <c r="S52" s="137">
        <f t="shared" si="6"/>
        <v>40</v>
      </c>
      <c r="T52" s="135" t="str">
        <f t="shared" si="7"/>
        <v>D</v>
      </c>
      <c r="U52" s="135" t="str">
        <f>VLOOKUP(RANK(S52,$S$10:$S$109),Sheet1!$A$381:$B$480,2,FALSE)</f>
        <v>57th</v>
      </c>
      <c r="V52" s="134">
        <v>33</v>
      </c>
      <c r="W52" s="134">
        <v>47</v>
      </c>
      <c r="X52" s="137">
        <f t="shared" si="191"/>
        <v>80</v>
      </c>
      <c r="Y52" s="137">
        <f t="shared" si="244"/>
        <v>80</v>
      </c>
      <c r="Z52" s="135" t="str">
        <f t="shared" si="8"/>
        <v>A</v>
      </c>
      <c r="AA52" s="135" t="str">
        <f>VLOOKUP(RANK(Y52,$Y$10:$Y$109),Sheet1!$A$381:$B$480,2,FALSE)</f>
        <v>11th</v>
      </c>
      <c r="AB52" s="134">
        <v>35</v>
      </c>
      <c r="AC52" s="134">
        <v>50</v>
      </c>
      <c r="AD52" s="137">
        <f t="shared" si="9"/>
        <v>85</v>
      </c>
      <c r="AE52" s="137">
        <f t="shared" si="10"/>
        <v>85</v>
      </c>
      <c r="AF52" s="135" t="str">
        <f t="shared" si="11"/>
        <v>A</v>
      </c>
      <c r="AG52" s="135" t="str">
        <f>VLOOKUP(RANK(AE52,$AE$10:$AE$109),Sheet1!$A$381:$B$480,2,FALSE)</f>
        <v>9th</v>
      </c>
      <c r="AH52" s="137"/>
      <c r="AI52" s="137"/>
      <c r="AJ52" s="137">
        <f t="shared" si="12"/>
        <v>0</v>
      </c>
      <c r="AK52" s="137">
        <f t="shared" si="13"/>
        <v>0</v>
      </c>
      <c r="AL52" s="135" t="str">
        <f t="shared" si="14"/>
        <v>F</v>
      </c>
      <c r="AM52" s="135" t="str">
        <f>VLOOKUP(RANK(AK52,$AK$10:$AK$109),Sheet1!$A$381:$B$480,2,FALSE)</f>
        <v>1st</v>
      </c>
      <c r="AN52" s="139"/>
      <c r="AO52" s="139"/>
      <c r="AP52" s="137">
        <f t="shared" si="15"/>
        <v>0</v>
      </c>
      <c r="AQ52" s="137">
        <f t="shared" si="16"/>
        <v>0</v>
      </c>
      <c r="AR52" s="135" t="str">
        <f t="shared" si="17"/>
        <v>F</v>
      </c>
      <c r="AS52" s="135" t="str">
        <f>VLOOKUP(RANK(AQ52,$AQ$10:$AQ$109),Sheet1!$A$381:$B$480,2,FALSE)</f>
        <v>1st</v>
      </c>
      <c r="AT52" s="142">
        <v>25</v>
      </c>
      <c r="AU52" s="145">
        <v>25</v>
      </c>
      <c r="AV52" s="137">
        <f t="shared" si="18"/>
        <v>50</v>
      </c>
      <c r="AW52" s="137">
        <f t="shared" si="19"/>
        <v>50</v>
      </c>
      <c r="AX52" s="135" t="str">
        <f t="shared" si="20"/>
        <v>C</v>
      </c>
      <c r="AY52" s="141" t="str">
        <f>VLOOKUP(RANK(AW52,$AW$10:$AW$109),Sheet1!$A$381:$B$480,2,FALSE)</f>
        <v>58th</v>
      </c>
      <c r="AZ52" s="144">
        <v>32</v>
      </c>
      <c r="BA52" s="144">
        <v>16</v>
      </c>
      <c r="BB52" s="147">
        <f t="shared" si="21"/>
        <v>48</v>
      </c>
      <c r="BC52" s="137">
        <f t="shared" si="22"/>
        <v>48</v>
      </c>
      <c r="BD52" s="135" t="str">
        <f t="shared" si="23"/>
        <v>D</v>
      </c>
      <c r="BE52" s="135" t="str">
        <f>VLOOKUP(RANK(BC52,$BC$10:$BC$109),Sheet1!$A$381:$B$480,2,FALSE)</f>
        <v>63rd</v>
      </c>
      <c r="BF52" s="144">
        <v>22</v>
      </c>
      <c r="BG52" s="144">
        <v>24</v>
      </c>
      <c r="BH52" s="137">
        <f t="shared" si="24"/>
        <v>46</v>
      </c>
      <c r="BI52" s="137">
        <f t="shared" si="25"/>
        <v>46</v>
      </c>
      <c r="BJ52" s="135" t="str">
        <f t="shared" si="26"/>
        <v>D</v>
      </c>
      <c r="BK52" s="141" t="str">
        <f>VLOOKUP(RANK(BI52,$BI$10:$BI$109),Sheet1!$A$381:$B$480,2,FALSE)</f>
        <v>22nd</v>
      </c>
      <c r="BL52" s="149">
        <v>27</v>
      </c>
      <c r="BM52" s="149">
        <v>26</v>
      </c>
      <c r="BN52" s="147">
        <f t="shared" si="27"/>
        <v>53</v>
      </c>
      <c r="BO52" s="137">
        <f t="shared" si="28"/>
        <v>53</v>
      </c>
      <c r="BP52" s="135" t="str">
        <f t="shared" si="29"/>
        <v>C</v>
      </c>
      <c r="BQ52" s="141" t="str">
        <f>VLOOKUP(RANK(BO52,$BO$10:$BO$109),Sheet1!$A$381:$B$480,2,FALSE)</f>
        <v>36th</v>
      </c>
      <c r="BR52" s="149">
        <v>26</v>
      </c>
      <c r="BS52" s="149">
        <v>17</v>
      </c>
      <c r="BT52" s="147">
        <f t="shared" si="30"/>
        <v>43</v>
      </c>
      <c r="BU52" s="137">
        <f t="shared" si="31"/>
        <v>43</v>
      </c>
      <c r="BV52" s="135" t="str">
        <f t="shared" si="32"/>
        <v>D</v>
      </c>
      <c r="BW52" s="135" t="str">
        <f>VLOOKUP(RANK(BU52,$BU$10:$BU$109),Sheet1!$A$381:$B$480,2,FALSE)</f>
        <v>51st</v>
      </c>
      <c r="BX52" s="149">
        <v>27</v>
      </c>
      <c r="BY52" s="149">
        <v>13</v>
      </c>
      <c r="BZ52" s="137">
        <f t="shared" si="33"/>
        <v>40</v>
      </c>
      <c r="CA52" s="137">
        <f t="shared" si="34"/>
        <v>40</v>
      </c>
      <c r="CB52" s="135" t="str">
        <f t="shared" si="35"/>
        <v>D</v>
      </c>
      <c r="CC52" s="135" t="str">
        <f>VLOOKUP(RANK(CA52,$CA$10:$CA$109),Sheet1!$A$381:$B$480,2,FALSE)</f>
        <v>43rd</v>
      </c>
      <c r="CD52" s="149">
        <v>27</v>
      </c>
      <c r="CE52" s="149">
        <v>30</v>
      </c>
      <c r="CF52" s="137">
        <f t="shared" si="36"/>
        <v>57</v>
      </c>
      <c r="CG52" s="137">
        <f t="shared" si="37"/>
        <v>57</v>
      </c>
      <c r="CH52" s="135" t="str">
        <f t="shared" si="38"/>
        <v>C</v>
      </c>
      <c r="CI52" s="135" t="str">
        <f>VLOOKUP(RANK(CG52,$CG$10:$CG$109),Sheet1!$A$381:$B$480,2,FALSE)</f>
        <v>38th</v>
      </c>
      <c r="CJ52" s="137"/>
      <c r="CK52" s="137"/>
      <c r="CL52" s="137">
        <f t="shared" si="39"/>
        <v>0</v>
      </c>
      <c r="CM52" s="137">
        <f t="shared" si="40"/>
        <v>0</v>
      </c>
      <c r="CN52" s="135" t="str">
        <f t="shared" si="41"/>
        <v>F</v>
      </c>
      <c r="CO52" s="135" t="str">
        <f>VLOOKUP(RANK(CM52,$CM$10:$CM$109),Sheet1!$A$381:$B$480,2,FALSE)</f>
        <v>1st</v>
      </c>
      <c r="CP52" s="137"/>
      <c r="CQ52" s="137"/>
      <c r="CR52" s="137">
        <f t="shared" si="42"/>
        <v>0</v>
      </c>
      <c r="CS52" s="137">
        <f t="shared" si="43"/>
        <v>0</v>
      </c>
      <c r="CT52" s="135" t="str">
        <f t="shared" si="44"/>
        <v>F</v>
      </c>
      <c r="CU52" s="135" t="str">
        <f>VLOOKUP(RANK(CS52,$CS$10:$CS$109),Sheet1!$A$381:$B$480,2,FALSE)</f>
        <v>1st</v>
      </c>
      <c r="CV52" s="151"/>
      <c r="CW52" s="135"/>
      <c r="CX52" s="151">
        <f t="shared" si="266"/>
        <v>0</v>
      </c>
      <c r="CY52" s="151">
        <f t="shared" si="267"/>
        <v>0</v>
      </c>
      <c r="CZ52" s="135" t="str">
        <f t="shared" si="45"/>
        <v>F</v>
      </c>
      <c r="DA52" s="135" t="str">
        <f>VLOOKUP(RANK(CY52,$CY$10:$CY$109),Sheet1!$A$381:$B$480,2,FALSE)</f>
        <v>1st</v>
      </c>
      <c r="DB52" s="135"/>
      <c r="DC52" s="151">
        <f t="shared" si="268"/>
        <v>669</v>
      </c>
      <c r="DD52" s="151">
        <f t="shared" si="269"/>
        <v>39.352941176470601</v>
      </c>
      <c r="DE52" s="135" t="str">
        <f>VLOOKUP(RANK(DD52,$DD$10:$DD$109),Sheet1!$A$381:$B$480,2,FALSE)</f>
        <v>30th</v>
      </c>
      <c r="DF52" s="137"/>
      <c r="DG52" s="160">
        <f t="shared" si="46"/>
        <v>708.35294117647095</v>
      </c>
      <c r="DH52" s="119"/>
      <c r="DI52" s="162">
        <v>22</v>
      </c>
      <c r="DJ52" s="162">
        <v>54</v>
      </c>
      <c r="DK52" s="137">
        <f t="shared" si="47"/>
        <v>76</v>
      </c>
      <c r="DL52" s="137" t="str">
        <f t="shared" si="245"/>
        <v>68</v>
      </c>
      <c r="DM52" s="137">
        <f t="shared" si="49"/>
        <v>144</v>
      </c>
      <c r="DN52" s="137">
        <f t="shared" si="50"/>
        <v>72</v>
      </c>
      <c r="DO52" s="135" t="str">
        <f t="shared" si="51"/>
        <v>B</v>
      </c>
      <c r="DP52" s="135" t="str">
        <f>VLOOKUP(RANK(DN52,$DN$10:$DN$109),Sheet1!$A$381:$B$480,2,FALSE)</f>
        <v>29th</v>
      </c>
      <c r="DQ52" s="166">
        <v>32</v>
      </c>
      <c r="DR52" s="166">
        <v>25</v>
      </c>
      <c r="DS52" s="137">
        <f t="shared" si="52"/>
        <v>57</v>
      </c>
      <c r="DT52" s="137" t="str">
        <f t="shared" si="246"/>
        <v>59</v>
      </c>
      <c r="DU52" s="137">
        <f t="shared" si="54"/>
        <v>116</v>
      </c>
      <c r="DV52" s="137">
        <f t="shared" si="247"/>
        <v>58</v>
      </c>
      <c r="DW52" s="135" t="str">
        <f t="shared" si="56"/>
        <v>C</v>
      </c>
      <c r="DX52" s="135" t="str">
        <f>VLOOKUP(RANK(DV52,$DV$10:$DV$109),Sheet1!$A$381:$B$480,2,FALSE)</f>
        <v>17th</v>
      </c>
      <c r="DY52" s="168">
        <v>36</v>
      </c>
      <c r="DZ52" s="168">
        <v>18</v>
      </c>
      <c r="EA52" s="137">
        <f t="shared" si="57"/>
        <v>54</v>
      </c>
      <c r="EB52" s="137" t="str">
        <f t="shared" si="248"/>
        <v>40</v>
      </c>
      <c r="EC52" s="137">
        <f t="shared" si="59"/>
        <v>94</v>
      </c>
      <c r="ED52" s="137">
        <f t="shared" si="60"/>
        <v>47</v>
      </c>
      <c r="EE52" s="135" t="str">
        <f t="shared" si="61"/>
        <v>D</v>
      </c>
      <c r="EF52" s="135" t="str">
        <f>VLOOKUP(RANK(ED52,$ED$10:$ED$109),Sheet1!$A$381:$B$480,2,FALSE)</f>
        <v>45th</v>
      </c>
      <c r="EG52" s="162">
        <v>28</v>
      </c>
      <c r="EH52" s="162">
        <v>30</v>
      </c>
      <c r="EI52" s="137">
        <f t="shared" si="62"/>
        <v>58</v>
      </c>
      <c r="EJ52" s="137" t="str">
        <f t="shared" si="249"/>
        <v>80</v>
      </c>
      <c r="EK52" s="137">
        <f t="shared" si="64"/>
        <v>138</v>
      </c>
      <c r="EL52" s="137">
        <f t="shared" si="65"/>
        <v>69</v>
      </c>
      <c r="EM52" s="135" t="str">
        <f t="shared" si="66"/>
        <v>B</v>
      </c>
      <c r="EN52" s="135" t="str">
        <f>VLOOKUP(RANK(EL52,$EL$10:$EL$109),Sheet1!$A$381:$B$480,2,FALSE)</f>
        <v>11th</v>
      </c>
      <c r="EO52" s="162">
        <v>30</v>
      </c>
      <c r="EP52" s="162">
        <v>28</v>
      </c>
      <c r="EQ52" s="137">
        <f t="shared" si="67"/>
        <v>58</v>
      </c>
      <c r="ER52" s="137" t="str">
        <f t="shared" si="250"/>
        <v>85</v>
      </c>
      <c r="ES52" s="137">
        <f t="shared" si="69"/>
        <v>143</v>
      </c>
      <c r="ET52" s="137">
        <f t="shared" si="70"/>
        <v>71.5</v>
      </c>
      <c r="EU52" s="135" t="str">
        <f t="shared" si="71"/>
        <v>B</v>
      </c>
      <c r="EV52" s="135" t="str">
        <f>VLOOKUP(RANK(ET52,$ET$10:$ET$109),Sheet1!$A$381:$B$480,2,FALSE)</f>
        <v>15th</v>
      </c>
      <c r="EW52" s="137"/>
      <c r="EX52" s="137"/>
      <c r="EY52" s="137">
        <f t="shared" si="72"/>
        <v>0</v>
      </c>
      <c r="EZ52" s="137" t="str">
        <f t="shared" si="251"/>
        <v>0</v>
      </c>
      <c r="FA52" s="137">
        <f t="shared" si="74"/>
        <v>0</v>
      </c>
      <c r="FB52" s="137">
        <f t="shared" si="75"/>
        <v>0</v>
      </c>
      <c r="FC52" s="135" t="str">
        <f t="shared" si="76"/>
        <v>F</v>
      </c>
      <c r="FD52" s="135" t="str">
        <f>VLOOKUP(RANK(FB52,$FB$10:$FB$109),Sheet1!$A$381:$B$480,2,FALSE)</f>
        <v>1st</v>
      </c>
      <c r="FE52" s="137"/>
      <c r="FF52" s="137"/>
      <c r="FG52" s="137">
        <f t="shared" si="77"/>
        <v>0</v>
      </c>
      <c r="FH52" s="137" t="str">
        <f t="shared" si="252"/>
        <v>0</v>
      </c>
      <c r="FI52" s="137">
        <f t="shared" si="79"/>
        <v>0</v>
      </c>
      <c r="FJ52" s="137">
        <f t="shared" si="80"/>
        <v>0</v>
      </c>
      <c r="FK52" s="135" t="str">
        <f t="shared" si="81"/>
        <v>F</v>
      </c>
      <c r="FL52" s="135" t="str">
        <f>VLOOKUP(RANK(FJ52,$FJ$10:$FJ$109),Sheet1!$A$381:$B$480,2,FALSE)</f>
        <v>1st</v>
      </c>
      <c r="FM52" s="164">
        <v>27</v>
      </c>
      <c r="FN52" s="165">
        <v>23</v>
      </c>
      <c r="FO52" s="137">
        <f t="shared" si="82"/>
        <v>50</v>
      </c>
      <c r="FP52" s="137" t="str">
        <f t="shared" si="253"/>
        <v>50</v>
      </c>
      <c r="FQ52" s="137">
        <f t="shared" si="84"/>
        <v>100</v>
      </c>
      <c r="FR52" s="137">
        <f t="shared" si="85"/>
        <v>50</v>
      </c>
      <c r="FS52" s="135" t="str">
        <f t="shared" si="86"/>
        <v>C</v>
      </c>
      <c r="FT52" s="135" t="str">
        <f>VLOOKUP(RANK(FR52,$FR$10:$FR$109),Sheet1!$A$381:$B$480,2,FALSE)</f>
        <v>77th</v>
      </c>
      <c r="FU52" s="149">
        <v>28</v>
      </c>
      <c r="FV52" s="149">
        <v>15</v>
      </c>
      <c r="FW52" s="137">
        <f t="shared" si="87"/>
        <v>43</v>
      </c>
      <c r="FX52" s="137" t="str">
        <f t="shared" si="254"/>
        <v>48</v>
      </c>
      <c r="FY52" s="137">
        <f t="shared" si="196"/>
        <v>43</v>
      </c>
      <c r="FZ52" s="137">
        <f t="shared" si="89"/>
        <v>21.5</v>
      </c>
      <c r="GA52" s="135" t="str">
        <f t="shared" si="90"/>
        <v>F</v>
      </c>
      <c r="GB52" s="135" t="str">
        <f>VLOOKUP(RANK(FZ52,$FZ$10:$FZ$109),Sheet1!$A$381:$B$480,2,FALSE)</f>
        <v>68th</v>
      </c>
      <c r="GC52" s="166">
        <v>24</v>
      </c>
      <c r="GD52" s="166">
        <v>27</v>
      </c>
      <c r="GE52" s="137">
        <f t="shared" si="91"/>
        <v>51</v>
      </c>
      <c r="GF52" s="137" t="str">
        <f t="shared" si="255"/>
        <v>46</v>
      </c>
      <c r="GG52" s="135">
        <f t="shared" si="270"/>
        <v>97</v>
      </c>
      <c r="GH52" s="137">
        <f t="shared" si="271"/>
        <v>48.5</v>
      </c>
      <c r="GI52" s="135" t="str">
        <f t="shared" si="93"/>
        <v>D</v>
      </c>
      <c r="GJ52" s="135" t="str">
        <f>VLOOKUP(RANK(GH52,$GH$10:$GH$109),Sheet1!$A$381:$B$480,2,FALSE)</f>
        <v>17th</v>
      </c>
      <c r="GK52" s="166">
        <v>26</v>
      </c>
      <c r="GL52" s="166">
        <v>17</v>
      </c>
      <c r="GM52" s="137">
        <f t="shared" si="94"/>
        <v>43</v>
      </c>
      <c r="GN52" s="137" t="str">
        <f t="shared" si="256"/>
        <v>53</v>
      </c>
      <c r="GO52" s="135">
        <f t="shared" si="272"/>
        <v>96</v>
      </c>
      <c r="GP52" s="137">
        <f t="shared" si="96"/>
        <v>48</v>
      </c>
      <c r="GQ52" s="135" t="str">
        <f t="shared" si="97"/>
        <v>D</v>
      </c>
      <c r="GR52" s="135" t="str">
        <f>VLOOKUP(RANK(GP52,$GP$10:$GP$109),Sheet1!$A$381:$B$480,2,FALSE)</f>
        <v>45th</v>
      </c>
      <c r="GS52" s="166">
        <v>27</v>
      </c>
      <c r="GT52" s="166">
        <v>38</v>
      </c>
      <c r="GU52" s="137">
        <f t="shared" si="98"/>
        <v>65</v>
      </c>
      <c r="GV52" s="137" t="str">
        <f t="shared" si="257"/>
        <v>43</v>
      </c>
      <c r="GW52" s="137">
        <f t="shared" si="100"/>
        <v>108</v>
      </c>
      <c r="GX52" s="137">
        <f t="shared" si="101"/>
        <v>54</v>
      </c>
      <c r="GY52" s="135" t="str">
        <f t="shared" si="102"/>
        <v>C</v>
      </c>
      <c r="GZ52" s="135" t="str">
        <f>VLOOKUP(RANK(GX52,$GX$10:$GX$109),Sheet1!$A$381:$B$480,2,FALSE)</f>
        <v>41st</v>
      </c>
      <c r="HA52" s="166">
        <v>30</v>
      </c>
      <c r="HB52" s="166">
        <v>12</v>
      </c>
      <c r="HC52" s="137">
        <f t="shared" si="103"/>
        <v>42</v>
      </c>
      <c r="HD52" s="137" t="str">
        <f t="shared" si="258"/>
        <v>40</v>
      </c>
      <c r="HE52" s="137">
        <f t="shared" si="105"/>
        <v>82</v>
      </c>
      <c r="HF52" s="137">
        <f t="shared" si="106"/>
        <v>41</v>
      </c>
      <c r="HG52" s="135" t="str">
        <f t="shared" si="107"/>
        <v>D</v>
      </c>
      <c r="HH52" s="135" t="str">
        <f>VLOOKUP(RANK(HF52,$HF$10:$HF$109),Sheet1!$A$381:$B$480,2,FALSE)</f>
        <v>53rd</v>
      </c>
      <c r="HI52" s="149">
        <v>30</v>
      </c>
      <c r="HJ52" s="149">
        <v>48</v>
      </c>
      <c r="HK52" s="137">
        <f t="shared" si="108"/>
        <v>78</v>
      </c>
      <c r="HL52" s="137" t="str">
        <f t="shared" si="259"/>
        <v>57</v>
      </c>
      <c r="HM52" s="137">
        <f t="shared" si="110"/>
        <v>135</v>
      </c>
      <c r="HN52" s="137">
        <f t="shared" si="111"/>
        <v>67.5</v>
      </c>
      <c r="HO52" s="135" t="str">
        <f t="shared" si="112"/>
        <v>B</v>
      </c>
      <c r="HP52" s="135" t="str">
        <f>VLOOKUP(RANK(HN52,$HN$10:$HN$109),Sheet1!$A$381:$B$480,2,FALSE)</f>
        <v>32nd</v>
      </c>
      <c r="HQ52" s="137"/>
      <c r="HR52" s="137"/>
      <c r="HS52" s="137">
        <f t="shared" si="113"/>
        <v>0</v>
      </c>
      <c r="HT52" s="137" t="str">
        <f t="shared" si="260"/>
        <v>0</v>
      </c>
      <c r="HU52" s="137">
        <f t="shared" si="115"/>
        <v>0</v>
      </c>
      <c r="HV52" s="137">
        <f t="shared" si="116"/>
        <v>0</v>
      </c>
      <c r="HW52" s="135" t="str">
        <f t="shared" si="117"/>
        <v>F</v>
      </c>
      <c r="HX52" s="135" t="str">
        <f>VLOOKUP(RANK(HV52,$HV$10:$HV$109),Sheet1!$A$381:$B$480,2,FALSE)</f>
        <v>1st</v>
      </c>
      <c r="HY52" s="137"/>
      <c r="HZ52" s="137"/>
      <c r="IA52" s="137">
        <f t="shared" si="261"/>
        <v>0</v>
      </c>
      <c r="IB52" s="137" t="str">
        <f t="shared" si="262"/>
        <v>0</v>
      </c>
      <c r="IC52" s="137">
        <f t="shared" si="120"/>
        <v>0</v>
      </c>
      <c r="ID52" s="137">
        <f t="shared" si="121"/>
        <v>0</v>
      </c>
      <c r="IE52" s="135" t="str">
        <f t="shared" si="122"/>
        <v>F</v>
      </c>
      <c r="IF52" s="135" t="str">
        <f>VLOOKUP(RANK(ID52,$ID$10:$ID$109),Sheet1!$A$381:$B$480,2,FALSE)</f>
        <v>1st</v>
      </c>
      <c r="IG52" s="135"/>
      <c r="IH52" s="135"/>
      <c r="II52" s="135">
        <f t="shared" si="273"/>
        <v>0</v>
      </c>
      <c r="IJ52" s="135" t="str">
        <f t="shared" si="274"/>
        <v>0</v>
      </c>
      <c r="IK52" s="135">
        <f t="shared" si="275"/>
        <v>0</v>
      </c>
      <c r="IL52" s="135">
        <f t="shared" si="276"/>
        <v>0</v>
      </c>
      <c r="IM52" s="135" t="str">
        <f t="shared" si="123"/>
        <v>F</v>
      </c>
      <c r="IN52" s="135" t="str">
        <f>VLOOKUP(RANK(IL52,$IL$10:$IL$109),Sheet1!$A$381:$B$480,2,FALSE)</f>
        <v>1st</v>
      </c>
      <c r="IO52" s="135">
        <f t="shared" si="277"/>
        <v>648</v>
      </c>
      <c r="IP52" s="177">
        <f t="shared" si="278"/>
        <v>38.117647058823501</v>
      </c>
      <c r="IQ52" s="135" t="str">
        <f>VLOOKUP(RANK(IP52,$IP$10:$IP$109),Sheet1!$A$381:$B$480,2,FALSE)</f>
        <v>28th</v>
      </c>
      <c r="IR52" s="178"/>
      <c r="IS52" s="137"/>
      <c r="IT52" s="137"/>
      <c r="IU52" s="137"/>
      <c r="IV52" s="137"/>
      <c r="IW52" s="181"/>
      <c r="IX52" s="184"/>
      <c r="IY52" s="186"/>
      <c r="IZ52" s="186">
        <f t="shared" si="206"/>
        <v>0</v>
      </c>
      <c r="JA52" s="186" t="str">
        <f t="shared" si="124"/>
        <v>68</v>
      </c>
      <c r="JB52" s="186" t="str">
        <f t="shared" si="125"/>
        <v>76</v>
      </c>
      <c r="JC52" s="186">
        <f t="shared" si="279"/>
        <v>144</v>
      </c>
      <c r="JD52" s="186">
        <f t="shared" si="280"/>
        <v>48</v>
      </c>
      <c r="JE52" s="135" t="str">
        <f t="shared" si="126"/>
        <v>D</v>
      </c>
      <c r="JF52" s="151" t="str">
        <f>VLOOKUP(RANK(JD52,$JD$10:$JD$109),Sheet1!$A$381:$B$480,2,FALSE)</f>
        <v>29th</v>
      </c>
      <c r="JG52" s="186"/>
      <c r="JH52" s="186"/>
      <c r="JI52" s="186">
        <f t="shared" si="127"/>
        <v>0</v>
      </c>
      <c r="JJ52" s="186" t="str">
        <f t="shared" si="128"/>
        <v>59</v>
      </c>
      <c r="JK52" s="186" t="str">
        <f t="shared" si="129"/>
        <v>57</v>
      </c>
      <c r="JL52" s="186">
        <f t="shared" si="281"/>
        <v>116</v>
      </c>
      <c r="JM52" s="186">
        <f t="shared" si="282"/>
        <v>38.6666666666667</v>
      </c>
      <c r="JN52" s="135" t="str">
        <f t="shared" si="130"/>
        <v>E</v>
      </c>
      <c r="JO52" s="151" t="str">
        <f>VLOOKUP(RANK(JM52,$JM$10:$JM$109),Sheet1!$A$381:$B$480,2,FALSE)</f>
        <v>17th</v>
      </c>
      <c r="JP52" s="186"/>
      <c r="JQ52" s="186"/>
      <c r="JR52" s="186">
        <f t="shared" si="131"/>
        <v>0</v>
      </c>
      <c r="JS52" s="186" t="str">
        <f t="shared" si="132"/>
        <v>40</v>
      </c>
      <c r="JT52" s="186" t="str">
        <f t="shared" si="133"/>
        <v>54</v>
      </c>
      <c r="JU52" s="186">
        <f t="shared" si="283"/>
        <v>94</v>
      </c>
      <c r="JV52" s="186">
        <f t="shared" si="284"/>
        <v>31.3333333333333</v>
      </c>
      <c r="JW52" s="135" t="str">
        <f t="shared" si="134"/>
        <v>F</v>
      </c>
      <c r="JX52" s="151" t="str">
        <f>VLOOKUP(RANK(JV52,$JV$10:$JV$109),Sheet1!$A$381:$B$480,2,FALSE)</f>
        <v>45th</v>
      </c>
      <c r="JY52" s="186"/>
      <c r="JZ52" s="186"/>
      <c r="KA52" s="186">
        <f t="shared" si="135"/>
        <v>0</v>
      </c>
      <c r="KB52" s="186" t="str">
        <f t="shared" si="136"/>
        <v>80</v>
      </c>
      <c r="KC52" s="186" t="str">
        <f t="shared" si="137"/>
        <v>58</v>
      </c>
      <c r="KD52" s="186">
        <f t="shared" si="285"/>
        <v>138</v>
      </c>
      <c r="KE52" s="186">
        <f t="shared" si="286"/>
        <v>46</v>
      </c>
      <c r="KF52" s="135" t="str">
        <f t="shared" si="138"/>
        <v>D</v>
      </c>
      <c r="KG52" s="151" t="str">
        <f>VLOOKUP(RANK(KE52,$KE$10:$KE$109),Sheet1!$A$381:$B$480,2,FALSE)</f>
        <v>11th</v>
      </c>
      <c r="KH52" s="186"/>
      <c r="KI52" s="186"/>
      <c r="KJ52" s="186">
        <f t="shared" si="139"/>
        <v>0</v>
      </c>
      <c r="KK52" s="186" t="str">
        <f t="shared" si="140"/>
        <v>85</v>
      </c>
      <c r="KL52" s="186" t="str">
        <f t="shared" si="141"/>
        <v>58</v>
      </c>
      <c r="KM52" s="186">
        <f t="shared" si="287"/>
        <v>143</v>
      </c>
      <c r="KN52" s="186">
        <f t="shared" si="288"/>
        <v>47.6666666666667</v>
      </c>
      <c r="KO52" s="135" t="str">
        <f t="shared" si="142"/>
        <v>D</v>
      </c>
      <c r="KP52" s="151" t="str">
        <f>VLOOKUP(RANK(KN52,$KN$10:$KN$109),Sheet1!$A$381:$B$480,2,FALSE)</f>
        <v>15th</v>
      </c>
      <c r="KQ52" s="186"/>
      <c r="KR52" s="186"/>
      <c r="KS52" s="186">
        <f t="shared" si="143"/>
        <v>0</v>
      </c>
      <c r="KT52" s="186" t="str">
        <f t="shared" si="144"/>
        <v>0</v>
      </c>
      <c r="KU52" s="186" t="str">
        <f t="shared" si="145"/>
        <v>0</v>
      </c>
      <c r="KV52" s="186">
        <f t="shared" si="289"/>
        <v>0</v>
      </c>
      <c r="KW52" s="186">
        <f t="shared" si="290"/>
        <v>0</v>
      </c>
      <c r="KX52" s="135" t="str">
        <f t="shared" si="146"/>
        <v>F</v>
      </c>
      <c r="KY52" s="151" t="str">
        <f>VLOOKUP(RANK(KW52,$KW$10:$KW$109),Sheet1!$A$381:$B$480,2,FALSE)</f>
        <v>1st</v>
      </c>
      <c r="KZ52" s="186"/>
      <c r="LA52" s="186"/>
      <c r="LB52" s="186">
        <f t="shared" si="147"/>
        <v>0</v>
      </c>
      <c r="LC52" s="186" t="str">
        <f t="shared" si="148"/>
        <v>0</v>
      </c>
      <c r="LD52" s="186" t="str">
        <f t="shared" si="149"/>
        <v>0</v>
      </c>
      <c r="LE52" s="186">
        <f t="shared" si="291"/>
        <v>0</v>
      </c>
      <c r="LF52" s="186">
        <f t="shared" si="292"/>
        <v>0</v>
      </c>
      <c r="LG52" s="135" t="str">
        <f t="shared" si="150"/>
        <v>F</v>
      </c>
      <c r="LH52" s="151" t="str">
        <f>VLOOKUP(RANK(LF52,$LF$10:$LF$109),Sheet1!$A$381:$B$480,2,FALSE)</f>
        <v>1st</v>
      </c>
      <c r="LI52" s="186"/>
      <c r="LJ52" s="186"/>
      <c r="LK52" s="186">
        <f t="shared" si="151"/>
        <v>0</v>
      </c>
      <c r="LL52" s="186" t="str">
        <f t="shared" si="152"/>
        <v>50</v>
      </c>
      <c r="LM52" s="186" t="str">
        <f t="shared" si="153"/>
        <v>50</v>
      </c>
      <c r="LN52" s="186">
        <f t="shared" si="293"/>
        <v>100</v>
      </c>
      <c r="LO52" s="186">
        <f t="shared" si="294"/>
        <v>33.3333333333333</v>
      </c>
      <c r="LP52" s="135" t="str">
        <f t="shared" si="154"/>
        <v>F</v>
      </c>
      <c r="LQ52" s="151" t="str">
        <f>VLOOKUP(RANK(LO52,$LO$10:$LO$109),Sheet1!$A$381:$B$480,2,FALSE)</f>
        <v>77th</v>
      </c>
      <c r="LR52" s="186"/>
      <c r="LS52" s="186"/>
      <c r="LT52" s="186">
        <f t="shared" si="155"/>
        <v>0</v>
      </c>
      <c r="LU52" s="186" t="str">
        <f t="shared" si="156"/>
        <v>48</v>
      </c>
      <c r="LV52" s="186" t="str">
        <f t="shared" si="157"/>
        <v>43</v>
      </c>
      <c r="LW52" s="186">
        <f t="shared" si="295"/>
        <v>91</v>
      </c>
      <c r="LX52" s="186">
        <f t="shared" si="296"/>
        <v>30.3333333333333</v>
      </c>
      <c r="LY52" s="135" t="str">
        <f t="shared" si="158"/>
        <v>F</v>
      </c>
      <c r="LZ52" s="151" t="str">
        <f>VLOOKUP(RANK(LX52,$LX$10:$LX$109),Sheet1!$A$381:$B$480,2,FALSE)</f>
        <v>76th</v>
      </c>
      <c r="MA52" s="186"/>
      <c r="MB52" s="186"/>
      <c r="MC52" s="186">
        <f t="shared" si="159"/>
        <v>0</v>
      </c>
      <c r="MD52" s="186" t="str">
        <f t="shared" si="160"/>
        <v>46</v>
      </c>
      <c r="ME52" s="186" t="str">
        <f t="shared" si="161"/>
        <v>51</v>
      </c>
      <c r="MF52" s="183">
        <f t="shared" si="297"/>
        <v>97</v>
      </c>
      <c r="MG52" s="151">
        <f t="shared" si="298"/>
        <v>32.3333333333333</v>
      </c>
      <c r="MH52" s="135" t="str">
        <f t="shared" si="162"/>
        <v>F</v>
      </c>
      <c r="MI52" s="151" t="str">
        <f>VLOOKUP(RANK(MG52,$MG$10:$MG$109),Sheet1!$A$381:$B$480,2,FALSE)</f>
        <v>17th</v>
      </c>
      <c r="MJ52" s="186"/>
      <c r="MK52" s="186"/>
      <c r="ML52" s="186">
        <f t="shared" si="163"/>
        <v>0</v>
      </c>
      <c r="MM52" s="186" t="str">
        <f t="shared" si="164"/>
        <v>53</v>
      </c>
      <c r="MN52" s="186" t="str">
        <f t="shared" si="165"/>
        <v>43</v>
      </c>
      <c r="MO52" s="186">
        <f t="shared" si="299"/>
        <v>96</v>
      </c>
      <c r="MP52" s="186">
        <f t="shared" si="300"/>
        <v>32</v>
      </c>
      <c r="MQ52" s="135" t="str">
        <f t="shared" si="166"/>
        <v>F</v>
      </c>
      <c r="MR52" s="151" t="str">
        <f>VLOOKUP(RANK(MP52,$MP$10:$MP$109),Sheet1!$A$381:$B$480,2,FALSE)</f>
        <v>45th</v>
      </c>
      <c r="MS52" s="186"/>
      <c r="MT52" s="186"/>
      <c r="MU52" s="186">
        <f t="shared" si="167"/>
        <v>0</v>
      </c>
      <c r="MV52" s="186" t="str">
        <f t="shared" si="168"/>
        <v>43</v>
      </c>
      <c r="MW52" s="186" t="str">
        <f t="shared" si="169"/>
        <v>65</v>
      </c>
      <c r="MX52" s="186">
        <f t="shared" si="301"/>
        <v>108</v>
      </c>
      <c r="MY52" s="186">
        <f t="shared" si="302"/>
        <v>36</v>
      </c>
      <c r="MZ52" s="135" t="str">
        <f t="shared" si="170"/>
        <v>E</v>
      </c>
      <c r="NA52" s="151" t="str">
        <f>VLOOKUP(RANK(MY52,$MY$10:$MY$109),Sheet1!$A$381:$B$480,2,FALSE)</f>
        <v>41st</v>
      </c>
      <c r="NB52" s="186"/>
      <c r="NC52" s="186"/>
      <c r="ND52" s="186">
        <f t="shared" si="171"/>
        <v>0</v>
      </c>
      <c r="NE52" s="186" t="str">
        <f t="shared" si="172"/>
        <v>40</v>
      </c>
      <c r="NF52" s="186" t="str">
        <f t="shared" si="173"/>
        <v>42</v>
      </c>
      <c r="NG52" s="186">
        <f t="shared" si="303"/>
        <v>82</v>
      </c>
      <c r="NH52" s="186">
        <f t="shared" si="304"/>
        <v>27.3333333333333</v>
      </c>
      <c r="NI52" s="135" t="str">
        <f t="shared" si="174"/>
        <v>F</v>
      </c>
      <c r="NJ52" s="151" t="str">
        <f>VLOOKUP(RANK(NH52,$NH$10:$NH$109),Sheet1!$A$381:$B$480,2,FALSE)</f>
        <v>53rd</v>
      </c>
      <c r="NK52" s="186"/>
      <c r="NL52" s="186"/>
      <c r="NM52" s="186">
        <f t="shared" si="175"/>
        <v>0</v>
      </c>
      <c r="NN52" s="186" t="str">
        <f t="shared" si="176"/>
        <v>57</v>
      </c>
      <c r="NO52" s="186" t="str">
        <f t="shared" si="177"/>
        <v>78</v>
      </c>
      <c r="NP52" s="186">
        <f t="shared" si="305"/>
        <v>135</v>
      </c>
      <c r="NQ52" s="186">
        <f t="shared" si="263"/>
        <v>45</v>
      </c>
      <c r="NR52" s="135" t="str">
        <f t="shared" si="179"/>
        <v>D</v>
      </c>
      <c r="NS52" s="151" t="str">
        <f>VLOOKUP(RANK(NQ52,$NQ$10:$NQ$109),Sheet1!$A$381:$B$480,2,FALSE)</f>
        <v>32nd</v>
      </c>
      <c r="NT52" s="186"/>
      <c r="NU52" s="186"/>
      <c r="NV52" s="186">
        <f t="shared" si="180"/>
        <v>0</v>
      </c>
      <c r="NW52" s="186" t="str">
        <f t="shared" si="181"/>
        <v>0</v>
      </c>
      <c r="NX52" s="186" t="str">
        <f t="shared" si="182"/>
        <v>0</v>
      </c>
      <c r="NY52" s="186">
        <f t="shared" si="306"/>
        <v>0</v>
      </c>
      <c r="NZ52" s="186">
        <f t="shared" si="264"/>
        <v>0</v>
      </c>
      <c r="OA52" s="135" t="str">
        <f t="shared" si="184"/>
        <v>F</v>
      </c>
      <c r="OB52" s="151" t="str">
        <f>VLOOKUP(RANK(NZ52,$NZ$10:$NZ$109),Sheet1!$A$381:$B$480,2,FALSE)</f>
        <v>1st</v>
      </c>
      <c r="OC52" s="186"/>
      <c r="OD52" s="186"/>
      <c r="OE52" s="186">
        <f t="shared" si="185"/>
        <v>0</v>
      </c>
      <c r="OF52" s="186" t="str">
        <f t="shared" si="186"/>
        <v>0</v>
      </c>
      <c r="OG52" s="186" t="str">
        <f t="shared" si="187"/>
        <v>0</v>
      </c>
      <c r="OH52" s="186">
        <f t="shared" si="307"/>
        <v>0</v>
      </c>
      <c r="OI52" s="186">
        <f t="shared" si="236"/>
        <v>0</v>
      </c>
      <c r="OJ52" s="135" t="str">
        <f t="shared" si="188"/>
        <v>F</v>
      </c>
      <c r="OK52" s="151" t="str">
        <f>VLOOKUP(RANK(OI52,$OI$10:$OI$109),Sheet1!$A$381:$B$480,2,FALSE)</f>
        <v>1st</v>
      </c>
      <c r="OL52" s="151"/>
      <c r="OM52" s="151"/>
      <c r="ON52" s="151">
        <f t="shared" si="308"/>
        <v>0</v>
      </c>
      <c r="OO52" s="151" t="str">
        <f t="shared" si="309"/>
        <v>0</v>
      </c>
      <c r="OP52" s="151" t="str">
        <f t="shared" si="310"/>
        <v>0</v>
      </c>
      <c r="OQ52" s="151">
        <f t="shared" si="311"/>
        <v>0</v>
      </c>
      <c r="OR52" s="151">
        <f t="shared" si="312"/>
        <v>0</v>
      </c>
      <c r="OS52" s="135" t="str">
        <f t="shared" si="189"/>
        <v>F</v>
      </c>
      <c r="OT52" s="151" t="str">
        <f>VLOOKUP(RANK(OR52,$OI$10:$OI$109),Sheet1!$A$381:$B$480,2,FALSE)</f>
        <v>1st</v>
      </c>
      <c r="OU52" s="151">
        <f t="shared" si="313"/>
        <v>448</v>
      </c>
      <c r="OV52" s="151">
        <f t="shared" si="314"/>
        <v>26.352941176470601</v>
      </c>
      <c r="OW52" s="151" t="str">
        <f>VLOOKUP(RANK(OV52,$OV$10:$OV$109),Sheet1!$A$381:$B$480,2,FALSE)</f>
        <v>30th</v>
      </c>
      <c r="OX52" s="151"/>
      <c r="OY52" s="186"/>
      <c r="OZ52" s="186"/>
      <c r="PA52" s="186"/>
      <c r="PB52" s="186"/>
    </row>
    <row r="53" spans="1:418" s="118" customFormat="1" ht="18.75">
      <c r="A53" s="131">
        <v>44</v>
      </c>
      <c r="B53" s="132" t="s">
        <v>141</v>
      </c>
      <c r="C53" s="133" t="s">
        <v>97</v>
      </c>
      <c r="D53" s="134">
        <v>21</v>
      </c>
      <c r="E53" s="134">
        <v>49</v>
      </c>
      <c r="F53" s="137">
        <f t="shared" si="0"/>
        <v>70</v>
      </c>
      <c r="G53" s="137">
        <f t="shared" si="1"/>
        <v>70</v>
      </c>
      <c r="H53" s="135" t="str">
        <f t="shared" si="265"/>
        <v>B</v>
      </c>
      <c r="I53" s="135" t="str">
        <f>VLOOKUP(RANK(G53,$G$10:$G$109),Sheet1!$A$381:$B$480,2,FALSE)</f>
        <v>36th</v>
      </c>
      <c r="J53" s="134">
        <v>31</v>
      </c>
      <c r="K53" s="134">
        <v>25</v>
      </c>
      <c r="L53" s="137">
        <f t="shared" si="2"/>
        <v>56</v>
      </c>
      <c r="M53" s="137">
        <f t="shared" si="3"/>
        <v>56</v>
      </c>
      <c r="N53" s="135" t="str">
        <f t="shared" si="4"/>
        <v>C</v>
      </c>
      <c r="O53" s="141" t="str">
        <f>VLOOKUP(RANK(M53,$M$10:$M$109),Sheet1!$A$381:$B$480,2,FALSE)</f>
        <v>32nd</v>
      </c>
      <c r="P53" s="144">
        <v>28</v>
      </c>
      <c r="Q53" s="144">
        <v>15</v>
      </c>
      <c r="R53" s="147">
        <f t="shared" si="5"/>
        <v>43</v>
      </c>
      <c r="S53" s="137">
        <f t="shared" si="6"/>
        <v>43</v>
      </c>
      <c r="T53" s="135" t="str">
        <f t="shared" si="7"/>
        <v>D</v>
      </c>
      <c r="U53" s="135" t="str">
        <f>VLOOKUP(RANK(S53,$S$10:$S$109),Sheet1!$A$381:$B$480,2,FALSE)</f>
        <v>50th</v>
      </c>
      <c r="V53" s="134">
        <v>31</v>
      </c>
      <c r="W53" s="134">
        <v>20</v>
      </c>
      <c r="X53" s="137">
        <f t="shared" si="191"/>
        <v>51</v>
      </c>
      <c r="Y53" s="137">
        <f t="shared" si="244"/>
        <v>51</v>
      </c>
      <c r="Z53" s="135" t="str">
        <f t="shared" si="8"/>
        <v>C</v>
      </c>
      <c r="AA53" s="135" t="str">
        <f>VLOOKUP(RANK(Y53,$Y$10:$Y$109),Sheet1!$A$381:$B$480,2,FALSE)</f>
        <v>54th</v>
      </c>
      <c r="AB53" s="134">
        <v>29</v>
      </c>
      <c r="AC53" s="134">
        <v>23</v>
      </c>
      <c r="AD53" s="137">
        <f t="shared" si="9"/>
        <v>52</v>
      </c>
      <c r="AE53" s="137">
        <f t="shared" si="10"/>
        <v>52</v>
      </c>
      <c r="AF53" s="135" t="str">
        <f t="shared" si="11"/>
        <v>C</v>
      </c>
      <c r="AG53" s="135" t="str">
        <f>VLOOKUP(RANK(AE53,$AE$10:$AE$109),Sheet1!$A$381:$B$480,2,FALSE)</f>
        <v>64th</v>
      </c>
      <c r="AH53" s="137"/>
      <c r="AI53" s="137"/>
      <c r="AJ53" s="137">
        <f t="shared" si="12"/>
        <v>0</v>
      </c>
      <c r="AK53" s="137">
        <f t="shared" si="13"/>
        <v>0</v>
      </c>
      <c r="AL53" s="135" t="str">
        <f t="shared" si="14"/>
        <v>F</v>
      </c>
      <c r="AM53" s="135" t="str">
        <f>VLOOKUP(RANK(AK53,$AK$10:$AK$109),Sheet1!$A$381:$B$480,2,FALSE)</f>
        <v>1st</v>
      </c>
      <c r="AN53" s="134"/>
      <c r="AO53" s="134"/>
      <c r="AP53" s="137">
        <f t="shared" si="15"/>
        <v>0</v>
      </c>
      <c r="AQ53" s="137">
        <f t="shared" si="16"/>
        <v>0</v>
      </c>
      <c r="AR53" s="135" t="str">
        <f t="shared" si="17"/>
        <v>F</v>
      </c>
      <c r="AS53" s="135" t="str">
        <f>VLOOKUP(RANK(AQ53,$AQ$10:$AQ$109),Sheet1!$A$381:$B$480,2,FALSE)</f>
        <v>1st</v>
      </c>
      <c r="AT53" s="142">
        <v>25</v>
      </c>
      <c r="AU53" s="145">
        <v>25</v>
      </c>
      <c r="AV53" s="137">
        <f t="shared" si="18"/>
        <v>50</v>
      </c>
      <c r="AW53" s="137">
        <f t="shared" si="19"/>
        <v>50</v>
      </c>
      <c r="AX53" s="135" t="str">
        <f t="shared" si="20"/>
        <v>C</v>
      </c>
      <c r="AY53" s="141" t="str">
        <f>VLOOKUP(RANK(AW53,$AW$10:$AW$109),Sheet1!$A$381:$B$480,2,FALSE)</f>
        <v>58th</v>
      </c>
      <c r="AZ53" s="144">
        <v>33</v>
      </c>
      <c r="BA53" s="144">
        <v>22</v>
      </c>
      <c r="BB53" s="147">
        <f t="shared" si="21"/>
        <v>55</v>
      </c>
      <c r="BC53" s="137">
        <f t="shared" si="22"/>
        <v>55</v>
      </c>
      <c r="BD53" s="135" t="str">
        <f t="shared" si="23"/>
        <v>C</v>
      </c>
      <c r="BE53" s="135" t="str">
        <f>VLOOKUP(RANK(BC53,$BC$10:$BC$109),Sheet1!$A$381:$B$480,2,FALSE)</f>
        <v>43rd</v>
      </c>
      <c r="BF53" s="144">
        <v>10</v>
      </c>
      <c r="BG53" s="144">
        <v>12</v>
      </c>
      <c r="BH53" s="137">
        <f t="shared" si="24"/>
        <v>22</v>
      </c>
      <c r="BI53" s="137">
        <f t="shared" si="25"/>
        <v>22</v>
      </c>
      <c r="BJ53" s="135" t="str">
        <f t="shared" si="26"/>
        <v>F</v>
      </c>
      <c r="BK53" s="141" t="str">
        <f>VLOOKUP(RANK(BI53,$BI$10:$BI$109),Sheet1!$A$381:$B$480,2,FALSE)</f>
        <v>95th</v>
      </c>
      <c r="BL53" s="149">
        <v>25</v>
      </c>
      <c r="BM53" s="149">
        <v>29</v>
      </c>
      <c r="BN53" s="147">
        <f t="shared" si="27"/>
        <v>54</v>
      </c>
      <c r="BO53" s="137">
        <f t="shared" si="28"/>
        <v>54</v>
      </c>
      <c r="BP53" s="135" t="str">
        <f t="shared" si="29"/>
        <v>C</v>
      </c>
      <c r="BQ53" s="141" t="str">
        <f>VLOOKUP(RANK(BO53,$BO$10:$BO$109),Sheet1!$A$381:$B$480,2,FALSE)</f>
        <v>23rd</v>
      </c>
      <c r="BR53" s="149">
        <v>29</v>
      </c>
      <c r="BS53" s="149">
        <v>2</v>
      </c>
      <c r="BT53" s="147">
        <f t="shared" si="30"/>
        <v>31</v>
      </c>
      <c r="BU53" s="137">
        <f t="shared" si="31"/>
        <v>31</v>
      </c>
      <c r="BV53" s="135" t="str">
        <f t="shared" si="32"/>
        <v>F</v>
      </c>
      <c r="BW53" s="135" t="str">
        <f>VLOOKUP(RANK(BU53,$BU$10:$BU$109),Sheet1!$A$381:$B$480,2,FALSE)</f>
        <v>92nd</v>
      </c>
      <c r="BX53" s="149">
        <v>26</v>
      </c>
      <c r="BY53" s="149">
        <v>10</v>
      </c>
      <c r="BZ53" s="137">
        <f t="shared" si="33"/>
        <v>36</v>
      </c>
      <c r="CA53" s="137">
        <f t="shared" si="34"/>
        <v>36</v>
      </c>
      <c r="CB53" s="135" t="str">
        <f t="shared" si="35"/>
        <v>E</v>
      </c>
      <c r="CC53" s="135" t="str">
        <f>VLOOKUP(RANK(CA53,$CA$10:$CA$109),Sheet1!$A$381:$B$480,2,FALSE)</f>
        <v>91st</v>
      </c>
      <c r="CD53" s="149">
        <v>22</v>
      </c>
      <c r="CE53" s="149">
        <v>20</v>
      </c>
      <c r="CF53" s="137">
        <f t="shared" si="36"/>
        <v>42</v>
      </c>
      <c r="CG53" s="137">
        <f t="shared" si="37"/>
        <v>42</v>
      </c>
      <c r="CH53" s="135" t="str">
        <f t="shared" si="38"/>
        <v>D</v>
      </c>
      <c r="CI53" s="135" t="str">
        <f>VLOOKUP(RANK(CG53,$CG$10:$CG$109),Sheet1!$A$381:$B$480,2,FALSE)</f>
        <v>87th</v>
      </c>
      <c r="CJ53" s="137"/>
      <c r="CK53" s="137"/>
      <c r="CL53" s="137">
        <f t="shared" si="39"/>
        <v>0</v>
      </c>
      <c r="CM53" s="137">
        <f t="shared" si="40"/>
        <v>0</v>
      </c>
      <c r="CN53" s="135" t="str">
        <f t="shared" si="41"/>
        <v>F</v>
      </c>
      <c r="CO53" s="135" t="str">
        <f>VLOOKUP(RANK(CM53,$CM$10:$CM$109),Sheet1!$A$381:$B$480,2,FALSE)</f>
        <v>1st</v>
      </c>
      <c r="CP53" s="137"/>
      <c r="CQ53" s="137"/>
      <c r="CR53" s="137">
        <f t="shared" si="42"/>
        <v>0</v>
      </c>
      <c r="CS53" s="137">
        <f t="shared" si="43"/>
        <v>0</v>
      </c>
      <c r="CT53" s="135" t="str">
        <f t="shared" si="44"/>
        <v>F</v>
      </c>
      <c r="CU53" s="135" t="str">
        <f>VLOOKUP(RANK(CS53,$CS$10:$CS$109),Sheet1!$A$381:$B$480,2,FALSE)</f>
        <v>1st</v>
      </c>
      <c r="CV53" s="151"/>
      <c r="CW53" s="135"/>
      <c r="CX53" s="151">
        <f t="shared" si="266"/>
        <v>0</v>
      </c>
      <c r="CY53" s="151">
        <f t="shared" si="267"/>
        <v>0</v>
      </c>
      <c r="CZ53" s="135" t="str">
        <f t="shared" si="45"/>
        <v>F</v>
      </c>
      <c r="DA53" s="135" t="str">
        <f>VLOOKUP(RANK(CY53,$CY$10:$CY$109),Sheet1!$A$381:$B$480,2,FALSE)</f>
        <v>1st</v>
      </c>
      <c r="DB53" s="135"/>
      <c r="DC53" s="151">
        <f t="shared" si="268"/>
        <v>562</v>
      </c>
      <c r="DD53" s="151">
        <f t="shared" si="269"/>
        <v>33.058823529411796</v>
      </c>
      <c r="DE53" s="135" t="str">
        <f>VLOOKUP(RANK(DD53,$DD$10:$DD$109),Sheet1!$A$381:$B$480,2,FALSE)</f>
        <v>69th</v>
      </c>
      <c r="DF53" s="137"/>
      <c r="DG53" s="160">
        <f t="shared" si="46"/>
        <v>595.05882352941205</v>
      </c>
      <c r="DH53" s="119"/>
      <c r="DI53" s="162">
        <v>25</v>
      </c>
      <c r="DJ53" s="162">
        <v>46</v>
      </c>
      <c r="DK53" s="137">
        <f t="shared" si="47"/>
        <v>71</v>
      </c>
      <c r="DL53" s="137" t="str">
        <f t="shared" si="245"/>
        <v>70</v>
      </c>
      <c r="DM53" s="137">
        <f t="shared" si="49"/>
        <v>141</v>
      </c>
      <c r="DN53" s="137">
        <f t="shared" si="50"/>
        <v>70.5</v>
      </c>
      <c r="DO53" s="135" t="str">
        <f t="shared" si="51"/>
        <v>B</v>
      </c>
      <c r="DP53" s="135" t="str">
        <f>VLOOKUP(RANK(DN53,$DN$10:$DN$109),Sheet1!$A$381:$B$480,2,FALSE)</f>
        <v>35th</v>
      </c>
      <c r="DQ53" s="166">
        <v>26</v>
      </c>
      <c r="DR53" s="166">
        <v>24</v>
      </c>
      <c r="DS53" s="137">
        <f t="shared" si="52"/>
        <v>50</v>
      </c>
      <c r="DT53" s="137" t="str">
        <f t="shared" si="246"/>
        <v>56</v>
      </c>
      <c r="DU53" s="137">
        <f t="shared" si="54"/>
        <v>106</v>
      </c>
      <c r="DV53" s="137">
        <f t="shared" si="247"/>
        <v>53</v>
      </c>
      <c r="DW53" s="135" t="str">
        <f t="shared" si="56"/>
        <v>C</v>
      </c>
      <c r="DX53" s="135" t="str">
        <f>VLOOKUP(RANK(DV53,$DV$10:$DV$109),Sheet1!$A$381:$B$480,2,FALSE)</f>
        <v>31st</v>
      </c>
      <c r="DY53" s="168">
        <v>26</v>
      </c>
      <c r="DZ53" s="168">
        <v>9</v>
      </c>
      <c r="EA53" s="137">
        <f t="shared" si="57"/>
        <v>35</v>
      </c>
      <c r="EB53" s="137" t="str">
        <f t="shared" si="248"/>
        <v>43</v>
      </c>
      <c r="EC53" s="137">
        <f t="shared" si="59"/>
        <v>78</v>
      </c>
      <c r="ED53" s="137">
        <f t="shared" si="60"/>
        <v>39</v>
      </c>
      <c r="EE53" s="135" t="str">
        <f t="shared" si="61"/>
        <v>E</v>
      </c>
      <c r="EF53" s="135" t="str">
        <f>VLOOKUP(RANK(ED53,$ED$10:$ED$109),Sheet1!$A$381:$B$480,2,FALSE)</f>
        <v>71st</v>
      </c>
      <c r="EG53" s="162">
        <v>24</v>
      </c>
      <c r="EH53" s="162">
        <v>29</v>
      </c>
      <c r="EI53" s="137">
        <f t="shared" si="62"/>
        <v>53</v>
      </c>
      <c r="EJ53" s="137" t="str">
        <f t="shared" si="249"/>
        <v>51</v>
      </c>
      <c r="EK53" s="137">
        <f t="shared" si="64"/>
        <v>104</v>
      </c>
      <c r="EL53" s="137">
        <f t="shared" si="65"/>
        <v>52</v>
      </c>
      <c r="EM53" s="135" t="str">
        <f t="shared" si="66"/>
        <v>C</v>
      </c>
      <c r="EN53" s="135" t="str">
        <f>VLOOKUP(RANK(EL53,$EL$10:$EL$109),Sheet1!$A$381:$B$480,2,FALSE)</f>
        <v>55th</v>
      </c>
      <c r="EO53" s="162">
        <v>24</v>
      </c>
      <c r="EP53" s="162">
        <v>8</v>
      </c>
      <c r="EQ53" s="137">
        <f t="shared" si="67"/>
        <v>32</v>
      </c>
      <c r="ER53" s="137" t="str">
        <f t="shared" si="250"/>
        <v>52</v>
      </c>
      <c r="ES53" s="137">
        <f t="shared" si="69"/>
        <v>84</v>
      </c>
      <c r="ET53" s="137">
        <f t="shared" si="70"/>
        <v>42</v>
      </c>
      <c r="EU53" s="135" t="str">
        <f t="shared" si="71"/>
        <v>D</v>
      </c>
      <c r="EV53" s="135" t="str">
        <f>VLOOKUP(RANK(ET53,$ET$10:$ET$109),Sheet1!$A$381:$B$480,2,FALSE)</f>
        <v>72nd</v>
      </c>
      <c r="EW53" s="137"/>
      <c r="EX53" s="137"/>
      <c r="EY53" s="137">
        <f t="shared" si="72"/>
        <v>0</v>
      </c>
      <c r="EZ53" s="137" t="str">
        <f t="shared" si="251"/>
        <v>0</v>
      </c>
      <c r="FA53" s="137">
        <f t="shared" si="74"/>
        <v>0</v>
      </c>
      <c r="FB53" s="137">
        <f t="shared" si="75"/>
        <v>0</v>
      </c>
      <c r="FC53" s="135" t="str">
        <f t="shared" si="76"/>
        <v>F</v>
      </c>
      <c r="FD53" s="135" t="str">
        <f>VLOOKUP(RANK(FB53,$FB$10:$FB$109),Sheet1!$A$381:$B$480,2,FALSE)</f>
        <v>1st</v>
      </c>
      <c r="FE53" s="137"/>
      <c r="FF53" s="137"/>
      <c r="FG53" s="137">
        <f t="shared" si="77"/>
        <v>0</v>
      </c>
      <c r="FH53" s="137" t="str">
        <f t="shared" si="252"/>
        <v>0</v>
      </c>
      <c r="FI53" s="137">
        <f t="shared" si="79"/>
        <v>0</v>
      </c>
      <c r="FJ53" s="137">
        <f t="shared" si="80"/>
        <v>0</v>
      </c>
      <c r="FK53" s="135" t="str">
        <f t="shared" si="81"/>
        <v>F</v>
      </c>
      <c r="FL53" s="135" t="str">
        <f>VLOOKUP(RANK(FJ53,$FJ$10:$FJ$109),Sheet1!$A$381:$B$480,2,FALSE)</f>
        <v>1st</v>
      </c>
      <c r="FM53" s="164">
        <v>29</v>
      </c>
      <c r="FN53" s="165">
        <v>28</v>
      </c>
      <c r="FO53" s="137">
        <f t="shared" si="82"/>
        <v>57</v>
      </c>
      <c r="FP53" s="137" t="str">
        <f t="shared" si="253"/>
        <v>50</v>
      </c>
      <c r="FQ53" s="137">
        <f t="shared" si="84"/>
        <v>107</v>
      </c>
      <c r="FR53" s="137">
        <f t="shared" si="85"/>
        <v>53.5</v>
      </c>
      <c r="FS53" s="135" t="str">
        <f t="shared" si="86"/>
        <v>C</v>
      </c>
      <c r="FT53" s="135" t="str">
        <f>VLOOKUP(RANK(FR53,$FR$10:$FR$109),Sheet1!$A$381:$B$480,2,FALSE)</f>
        <v>33rd</v>
      </c>
      <c r="FU53" s="149">
        <v>38</v>
      </c>
      <c r="FV53" s="149">
        <v>15</v>
      </c>
      <c r="FW53" s="137">
        <f t="shared" si="87"/>
        <v>53</v>
      </c>
      <c r="FX53" s="137" t="str">
        <f t="shared" si="254"/>
        <v>55</v>
      </c>
      <c r="FY53" s="137">
        <f t="shared" si="196"/>
        <v>53</v>
      </c>
      <c r="FZ53" s="137">
        <f t="shared" si="89"/>
        <v>26.5</v>
      </c>
      <c r="GA53" s="135" t="str">
        <f t="shared" si="90"/>
        <v>F</v>
      </c>
      <c r="GB53" s="135" t="str">
        <f>VLOOKUP(RANK(FZ53,$FZ$10:$FZ$109),Sheet1!$A$381:$B$480,2,FALSE)</f>
        <v>43rd</v>
      </c>
      <c r="GC53" s="166">
        <v>28</v>
      </c>
      <c r="GD53" s="166">
        <v>22</v>
      </c>
      <c r="GE53" s="137">
        <f t="shared" si="91"/>
        <v>50</v>
      </c>
      <c r="GF53" s="137" t="str">
        <f t="shared" si="255"/>
        <v>22</v>
      </c>
      <c r="GG53" s="135">
        <f t="shared" si="270"/>
        <v>72</v>
      </c>
      <c r="GH53" s="137">
        <f t="shared" si="271"/>
        <v>36</v>
      </c>
      <c r="GI53" s="135" t="str">
        <f t="shared" si="93"/>
        <v>E</v>
      </c>
      <c r="GJ53" s="135" t="str">
        <f>VLOOKUP(RANK(GH53,$GH$10:$GH$109),Sheet1!$A$381:$B$480,2,FALSE)</f>
        <v>57th</v>
      </c>
      <c r="GK53" s="166">
        <v>29</v>
      </c>
      <c r="GL53" s="166">
        <v>13</v>
      </c>
      <c r="GM53" s="137">
        <f t="shared" si="94"/>
        <v>42</v>
      </c>
      <c r="GN53" s="137" t="str">
        <f t="shared" si="256"/>
        <v>54</v>
      </c>
      <c r="GO53" s="135">
        <f t="shared" si="272"/>
        <v>96</v>
      </c>
      <c r="GP53" s="137">
        <f t="shared" si="96"/>
        <v>48</v>
      </c>
      <c r="GQ53" s="135" t="str">
        <f t="shared" si="97"/>
        <v>D</v>
      </c>
      <c r="GR53" s="135" t="str">
        <f>VLOOKUP(RANK(GP53,$GP$10:$GP$109),Sheet1!$A$381:$B$480,2,FALSE)</f>
        <v>45th</v>
      </c>
      <c r="GS53" s="166">
        <v>32</v>
      </c>
      <c r="GT53" s="166">
        <v>15</v>
      </c>
      <c r="GU53" s="137">
        <f t="shared" si="98"/>
        <v>47</v>
      </c>
      <c r="GV53" s="137" t="str">
        <f t="shared" si="257"/>
        <v>31</v>
      </c>
      <c r="GW53" s="137">
        <f t="shared" si="100"/>
        <v>78</v>
      </c>
      <c r="GX53" s="137">
        <f t="shared" si="101"/>
        <v>39</v>
      </c>
      <c r="GY53" s="135" t="str">
        <f t="shared" si="102"/>
        <v>E</v>
      </c>
      <c r="GZ53" s="135" t="str">
        <f>VLOOKUP(RANK(GX53,$GX$10:$GX$109),Sheet1!$A$381:$B$480,2,FALSE)</f>
        <v>73rd</v>
      </c>
      <c r="HA53" s="166">
        <v>29</v>
      </c>
      <c r="HB53" s="166">
        <v>16</v>
      </c>
      <c r="HC53" s="137">
        <f t="shared" si="103"/>
        <v>45</v>
      </c>
      <c r="HD53" s="137" t="str">
        <f t="shared" si="258"/>
        <v>36</v>
      </c>
      <c r="HE53" s="137">
        <f t="shared" si="105"/>
        <v>81</v>
      </c>
      <c r="HF53" s="137">
        <f t="shared" si="106"/>
        <v>40.5</v>
      </c>
      <c r="HG53" s="135" t="str">
        <f t="shared" si="107"/>
        <v>D</v>
      </c>
      <c r="HH53" s="135" t="str">
        <f>VLOOKUP(RANK(HF53,$HF$10:$HF$109),Sheet1!$A$381:$B$480,2,FALSE)</f>
        <v>57th</v>
      </c>
      <c r="HI53" s="149">
        <v>32</v>
      </c>
      <c r="HJ53" s="149">
        <v>50</v>
      </c>
      <c r="HK53" s="137">
        <f t="shared" si="108"/>
        <v>82</v>
      </c>
      <c r="HL53" s="137" t="str">
        <f t="shared" si="259"/>
        <v>42</v>
      </c>
      <c r="HM53" s="137">
        <f t="shared" si="110"/>
        <v>124</v>
      </c>
      <c r="HN53" s="137">
        <f t="shared" si="111"/>
        <v>62</v>
      </c>
      <c r="HO53" s="135" t="str">
        <f t="shared" si="112"/>
        <v>B</v>
      </c>
      <c r="HP53" s="135" t="str">
        <f>VLOOKUP(RANK(HN53,$HN$10:$HN$109),Sheet1!$A$381:$B$480,2,FALSE)</f>
        <v>60th</v>
      </c>
      <c r="HQ53" s="137"/>
      <c r="HR53" s="137"/>
      <c r="HS53" s="137">
        <f t="shared" si="113"/>
        <v>0</v>
      </c>
      <c r="HT53" s="137" t="str">
        <f t="shared" si="260"/>
        <v>0</v>
      </c>
      <c r="HU53" s="137">
        <f t="shared" si="115"/>
        <v>0</v>
      </c>
      <c r="HV53" s="137">
        <f t="shared" si="116"/>
        <v>0</v>
      </c>
      <c r="HW53" s="135" t="str">
        <f t="shared" si="117"/>
        <v>F</v>
      </c>
      <c r="HX53" s="135" t="str">
        <f>VLOOKUP(RANK(HV53,$HV$10:$HV$109),Sheet1!$A$381:$B$480,2,FALSE)</f>
        <v>1st</v>
      </c>
      <c r="HY53" s="137"/>
      <c r="HZ53" s="137"/>
      <c r="IA53" s="137">
        <f t="shared" si="261"/>
        <v>0</v>
      </c>
      <c r="IB53" s="137" t="str">
        <f t="shared" si="262"/>
        <v>0</v>
      </c>
      <c r="IC53" s="137">
        <f t="shared" si="120"/>
        <v>0</v>
      </c>
      <c r="ID53" s="137">
        <f t="shared" si="121"/>
        <v>0</v>
      </c>
      <c r="IE53" s="135" t="str">
        <f t="shared" si="122"/>
        <v>F</v>
      </c>
      <c r="IF53" s="135" t="str">
        <f>VLOOKUP(RANK(ID53,$ID$10:$ID$109),Sheet1!$A$381:$B$480,2,FALSE)</f>
        <v>1st</v>
      </c>
      <c r="IG53" s="135"/>
      <c r="IH53" s="135"/>
      <c r="II53" s="135">
        <f t="shared" si="273"/>
        <v>0</v>
      </c>
      <c r="IJ53" s="135" t="str">
        <f t="shared" si="274"/>
        <v>0</v>
      </c>
      <c r="IK53" s="135">
        <f t="shared" si="275"/>
        <v>0</v>
      </c>
      <c r="IL53" s="135">
        <f t="shared" si="276"/>
        <v>0</v>
      </c>
      <c r="IM53" s="135" t="str">
        <f t="shared" si="123"/>
        <v>F</v>
      </c>
      <c r="IN53" s="135" t="str">
        <f>VLOOKUP(RANK(IL53,$IL$10:$IL$109),Sheet1!$A$381:$B$480,2,FALSE)</f>
        <v>1st</v>
      </c>
      <c r="IO53" s="135">
        <f t="shared" si="277"/>
        <v>562</v>
      </c>
      <c r="IP53" s="177">
        <f t="shared" si="278"/>
        <v>33.058823529411796</v>
      </c>
      <c r="IQ53" s="135" t="str">
        <f>VLOOKUP(RANK(IP53,$IP$10:$IP$109),Sheet1!$A$381:$B$480,2,FALSE)</f>
        <v>57th</v>
      </c>
      <c r="IR53" s="178"/>
      <c r="IS53" s="137"/>
      <c r="IT53" s="137"/>
      <c r="IU53" s="137"/>
      <c r="IV53" s="137"/>
      <c r="IW53" s="181"/>
      <c r="IX53" s="184"/>
      <c r="IY53" s="186"/>
      <c r="IZ53" s="186">
        <f t="shared" si="206"/>
        <v>0</v>
      </c>
      <c r="JA53" s="186" t="str">
        <f t="shared" si="124"/>
        <v>70</v>
      </c>
      <c r="JB53" s="186" t="str">
        <f t="shared" si="125"/>
        <v>71</v>
      </c>
      <c r="JC53" s="186">
        <f t="shared" si="279"/>
        <v>141</v>
      </c>
      <c r="JD53" s="186">
        <f t="shared" si="280"/>
        <v>47</v>
      </c>
      <c r="JE53" s="135" t="str">
        <f t="shared" si="126"/>
        <v>D</v>
      </c>
      <c r="JF53" s="151" t="str">
        <f>VLOOKUP(RANK(JD53,$JD$10:$JD$109),Sheet1!$A$381:$B$480,2,FALSE)</f>
        <v>35th</v>
      </c>
      <c r="JG53" s="186"/>
      <c r="JH53" s="186"/>
      <c r="JI53" s="186">
        <f t="shared" si="127"/>
        <v>0</v>
      </c>
      <c r="JJ53" s="186" t="str">
        <f t="shared" si="128"/>
        <v>56</v>
      </c>
      <c r="JK53" s="186" t="str">
        <f t="shared" si="129"/>
        <v>50</v>
      </c>
      <c r="JL53" s="186">
        <f t="shared" si="281"/>
        <v>106</v>
      </c>
      <c r="JM53" s="186">
        <f t="shared" si="282"/>
        <v>35.3333333333333</v>
      </c>
      <c r="JN53" s="135" t="str">
        <f t="shared" si="130"/>
        <v>E</v>
      </c>
      <c r="JO53" s="151" t="str">
        <f>VLOOKUP(RANK(JM53,$JM$10:$JM$109),Sheet1!$A$381:$B$480,2,FALSE)</f>
        <v>31st</v>
      </c>
      <c r="JP53" s="186"/>
      <c r="JQ53" s="186"/>
      <c r="JR53" s="186">
        <f t="shared" si="131"/>
        <v>0</v>
      </c>
      <c r="JS53" s="186" t="str">
        <f t="shared" si="132"/>
        <v>43</v>
      </c>
      <c r="JT53" s="186" t="str">
        <f t="shared" si="133"/>
        <v>35</v>
      </c>
      <c r="JU53" s="186">
        <f t="shared" si="283"/>
        <v>78</v>
      </c>
      <c r="JV53" s="186">
        <f t="shared" si="284"/>
        <v>26</v>
      </c>
      <c r="JW53" s="135" t="str">
        <f t="shared" si="134"/>
        <v>F</v>
      </c>
      <c r="JX53" s="151" t="str">
        <f>VLOOKUP(RANK(JV53,$JV$10:$JV$109),Sheet1!$A$381:$B$480,2,FALSE)</f>
        <v>71st</v>
      </c>
      <c r="JY53" s="186"/>
      <c r="JZ53" s="186"/>
      <c r="KA53" s="186">
        <f t="shared" si="135"/>
        <v>0</v>
      </c>
      <c r="KB53" s="186" t="str">
        <f t="shared" si="136"/>
        <v>51</v>
      </c>
      <c r="KC53" s="186" t="str">
        <f t="shared" si="137"/>
        <v>53</v>
      </c>
      <c r="KD53" s="186">
        <f t="shared" si="285"/>
        <v>104</v>
      </c>
      <c r="KE53" s="186">
        <f t="shared" si="286"/>
        <v>34.6666666666667</v>
      </c>
      <c r="KF53" s="135" t="str">
        <f t="shared" si="138"/>
        <v>F</v>
      </c>
      <c r="KG53" s="151" t="str">
        <f>VLOOKUP(RANK(KE53,$KE$10:$KE$109),Sheet1!$A$381:$B$480,2,FALSE)</f>
        <v>55th</v>
      </c>
      <c r="KH53" s="186"/>
      <c r="KI53" s="186"/>
      <c r="KJ53" s="186">
        <f t="shared" si="139"/>
        <v>0</v>
      </c>
      <c r="KK53" s="186" t="str">
        <f t="shared" si="140"/>
        <v>52</v>
      </c>
      <c r="KL53" s="186" t="str">
        <f t="shared" si="141"/>
        <v>32</v>
      </c>
      <c r="KM53" s="186">
        <f t="shared" si="287"/>
        <v>84</v>
      </c>
      <c r="KN53" s="186">
        <f t="shared" si="288"/>
        <v>28</v>
      </c>
      <c r="KO53" s="135" t="str">
        <f t="shared" si="142"/>
        <v>F</v>
      </c>
      <c r="KP53" s="151" t="str">
        <f>VLOOKUP(RANK(KN53,$KN$10:$KN$109),Sheet1!$A$381:$B$480,2,FALSE)</f>
        <v>72nd</v>
      </c>
      <c r="KQ53" s="186"/>
      <c r="KR53" s="186"/>
      <c r="KS53" s="186">
        <f t="shared" si="143"/>
        <v>0</v>
      </c>
      <c r="KT53" s="186" t="str">
        <f t="shared" si="144"/>
        <v>0</v>
      </c>
      <c r="KU53" s="186" t="str">
        <f t="shared" si="145"/>
        <v>0</v>
      </c>
      <c r="KV53" s="186">
        <f t="shared" si="289"/>
        <v>0</v>
      </c>
      <c r="KW53" s="186">
        <f t="shared" si="290"/>
        <v>0</v>
      </c>
      <c r="KX53" s="135" t="str">
        <f t="shared" si="146"/>
        <v>F</v>
      </c>
      <c r="KY53" s="151" t="str">
        <f>VLOOKUP(RANK(KW53,$KW$10:$KW$109),Sheet1!$A$381:$B$480,2,FALSE)</f>
        <v>1st</v>
      </c>
      <c r="KZ53" s="186"/>
      <c r="LA53" s="186"/>
      <c r="LB53" s="186">
        <f t="shared" si="147"/>
        <v>0</v>
      </c>
      <c r="LC53" s="186" t="str">
        <f t="shared" si="148"/>
        <v>0</v>
      </c>
      <c r="LD53" s="186" t="str">
        <f t="shared" si="149"/>
        <v>0</v>
      </c>
      <c r="LE53" s="186">
        <f t="shared" si="291"/>
        <v>0</v>
      </c>
      <c r="LF53" s="186">
        <f t="shared" si="292"/>
        <v>0</v>
      </c>
      <c r="LG53" s="135" t="str">
        <f t="shared" si="150"/>
        <v>F</v>
      </c>
      <c r="LH53" s="151" t="str">
        <f>VLOOKUP(RANK(LF53,$LF$10:$LF$109),Sheet1!$A$381:$B$480,2,FALSE)</f>
        <v>1st</v>
      </c>
      <c r="LI53" s="186"/>
      <c r="LJ53" s="186"/>
      <c r="LK53" s="186">
        <f t="shared" si="151"/>
        <v>0</v>
      </c>
      <c r="LL53" s="186" t="str">
        <f t="shared" si="152"/>
        <v>50</v>
      </c>
      <c r="LM53" s="186" t="str">
        <f t="shared" si="153"/>
        <v>57</v>
      </c>
      <c r="LN53" s="186">
        <f t="shared" si="293"/>
        <v>107</v>
      </c>
      <c r="LO53" s="186">
        <f t="shared" si="294"/>
        <v>35.6666666666667</v>
      </c>
      <c r="LP53" s="135" t="str">
        <f t="shared" si="154"/>
        <v>E</v>
      </c>
      <c r="LQ53" s="151" t="str">
        <f>VLOOKUP(RANK(LO53,$LO$10:$LO$109),Sheet1!$A$381:$B$480,2,FALSE)</f>
        <v>33rd</v>
      </c>
      <c r="LR53" s="186"/>
      <c r="LS53" s="186"/>
      <c r="LT53" s="186">
        <f t="shared" si="155"/>
        <v>0</v>
      </c>
      <c r="LU53" s="186" t="str">
        <f t="shared" si="156"/>
        <v>55</v>
      </c>
      <c r="LV53" s="186" t="str">
        <f t="shared" si="157"/>
        <v>53</v>
      </c>
      <c r="LW53" s="186">
        <f t="shared" si="295"/>
        <v>108</v>
      </c>
      <c r="LX53" s="186">
        <f t="shared" si="296"/>
        <v>36</v>
      </c>
      <c r="LY53" s="135" t="str">
        <f t="shared" si="158"/>
        <v>E</v>
      </c>
      <c r="LZ53" s="151" t="str">
        <f>VLOOKUP(RANK(LX53,$LX$10:$LX$109),Sheet1!$A$381:$B$480,2,FALSE)</f>
        <v>40th</v>
      </c>
      <c r="MA53" s="186"/>
      <c r="MB53" s="186"/>
      <c r="MC53" s="186">
        <f t="shared" si="159"/>
        <v>0</v>
      </c>
      <c r="MD53" s="186" t="str">
        <f t="shared" si="160"/>
        <v>22</v>
      </c>
      <c r="ME53" s="186" t="str">
        <f t="shared" si="161"/>
        <v>50</v>
      </c>
      <c r="MF53" s="183">
        <f t="shared" si="297"/>
        <v>72</v>
      </c>
      <c r="MG53" s="151">
        <f t="shared" si="298"/>
        <v>24</v>
      </c>
      <c r="MH53" s="135" t="str">
        <f t="shared" si="162"/>
        <v>F</v>
      </c>
      <c r="MI53" s="151" t="str">
        <f>VLOOKUP(RANK(MG53,$MG$10:$MG$109),Sheet1!$A$381:$B$480,2,FALSE)</f>
        <v>57th</v>
      </c>
      <c r="MJ53" s="186"/>
      <c r="MK53" s="186"/>
      <c r="ML53" s="186">
        <f t="shared" si="163"/>
        <v>0</v>
      </c>
      <c r="MM53" s="186" t="str">
        <f t="shared" si="164"/>
        <v>54</v>
      </c>
      <c r="MN53" s="186" t="str">
        <f t="shared" si="165"/>
        <v>42</v>
      </c>
      <c r="MO53" s="186">
        <f t="shared" si="299"/>
        <v>96</v>
      </c>
      <c r="MP53" s="186">
        <f t="shared" si="300"/>
        <v>32</v>
      </c>
      <c r="MQ53" s="135" t="str">
        <f t="shared" si="166"/>
        <v>F</v>
      </c>
      <c r="MR53" s="151" t="str">
        <f>VLOOKUP(RANK(MP53,$MP$10:$MP$109),Sheet1!$A$381:$B$480,2,FALSE)</f>
        <v>45th</v>
      </c>
      <c r="MS53" s="186"/>
      <c r="MT53" s="186"/>
      <c r="MU53" s="186">
        <f t="shared" si="167"/>
        <v>0</v>
      </c>
      <c r="MV53" s="186" t="str">
        <f t="shared" si="168"/>
        <v>31</v>
      </c>
      <c r="MW53" s="186" t="str">
        <f t="shared" si="169"/>
        <v>47</v>
      </c>
      <c r="MX53" s="186">
        <f t="shared" si="301"/>
        <v>78</v>
      </c>
      <c r="MY53" s="186">
        <f t="shared" si="302"/>
        <v>26</v>
      </c>
      <c r="MZ53" s="135" t="str">
        <f t="shared" si="170"/>
        <v>F</v>
      </c>
      <c r="NA53" s="151" t="str">
        <f>VLOOKUP(RANK(MY53,$MY$10:$MY$109),Sheet1!$A$381:$B$480,2,FALSE)</f>
        <v>73rd</v>
      </c>
      <c r="NB53" s="186"/>
      <c r="NC53" s="186"/>
      <c r="ND53" s="186">
        <f t="shared" si="171"/>
        <v>0</v>
      </c>
      <c r="NE53" s="186" t="str">
        <f t="shared" si="172"/>
        <v>36</v>
      </c>
      <c r="NF53" s="186" t="str">
        <f t="shared" si="173"/>
        <v>45</v>
      </c>
      <c r="NG53" s="186">
        <f t="shared" si="303"/>
        <v>81</v>
      </c>
      <c r="NH53" s="186">
        <f t="shared" si="304"/>
        <v>27</v>
      </c>
      <c r="NI53" s="135" t="str">
        <f t="shared" si="174"/>
        <v>F</v>
      </c>
      <c r="NJ53" s="151" t="str">
        <f>VLOOKUP(RANK(NH53,$NH$10:$NH$109),Sheet1!$A$381:$B$480,2,FALSE)</f>
        <v>57th</v>
      </c>
      <c r="NK53" s="186"/>
      <c r="NL53" s="186"/>
      <c r="NM53" s="186">
        <f t="shared" si="175"/>
        <v>0</v>
      </c>
      <c r="NN53" s="186" t="str">
        <f t="shared" si="176"/>
        <v>42</v>
      </c>
      <c r="NO53" s="186" t="str">
        <f t="shared" si="177"/>
        <v>82</v>
      </c>
      <c r="NP53" s="186">
        <f t="shared" si="305"/>
        <v>124</v>
      </c>
      <c r="NQ53" s="186">
        <f t="shared" si="263"/>
        <v>41.3333333333333</v>
      </c>
      <c r="NR53" s="135" t="str">
        <f t="shared" si="179"/>
        <v>D</v>
      </c>
      <c r="NS53" s="151" t="str">
        <f>VLOOKUP(RANK(NQ53,$NQ$10:$NQ$109),Sheet1!$A$381:$B$480,2,FALSE)</f>
        <v>60th</v>
      </c>
      <c r="NT53" s="186"/>
      <c r="NU53" s="186"/>
      <c r="NV53" s="186">
        <f t="shared" si="180"/>
        <v>0</v>
      </c>
      <c r="NW53" s="186" t="str">
        <f t="shared" si="181"/>
        <v>0</v>
      </c>
      <c r="NX53" s="186" t="str">
        <f t="shared" si="182"/>
        <v>0</v>
      </c>
      <c r="NY53" s="186">
        <f t="shared" si="306"/>
        <v>0</v>
      </c>
      <c r="NZ53" s="186">
        <f t="shared" si="264"/>
        <v>0</v>
      </c>
      <c r="OA53" s="135" t="str">
        <f t="shared" si="184"/>
        <v>F</v>
      </c>
      <c r="OB53" s="151" t="str">
        <f>VLOOKUP(RANK(NZ53,$NZ$10:$NZ$109),Sheet1!$A$381:$B$480,2,FALSE)</f>
        <v>1st</v>
      </c>
      <c r="OC53" s="186"/>
      <c r="OD53" s="186"/>
      <c r="OE53" s="186">
        <f t="shared" si="185"/>
        <v>0</v>
      </c>
      <c r="OF53" s="186" t="str">
        <f t="shared" si="186"/>
        <v>0</v>
      </c>
      <c r="OG53" s="186" t="str">
        <f t="shared" si="187"/>
        <v>0</v>
      </c>
      <c r="OH53" s="186">
        <f t="shared" si="307"/>
        <v>0</v>
      </c>
      <c r="OI53" s="186">
        <f t="shared" si="236"/>
        <v>0</v>
      </c>
      <c r="OJ53" s="135" t="str">
        <f t="shared" si="188"/>
        <v>F</v>
      </c>
      <c r="OK53" s="151" t="str">
        <f>VLOOKUP(RANK(OI53,$OI$10:$OI$109),Sheet1!$A$381:$B$480,2,FALSE)</f>
        <v>1st</v>
      </c>
      <c r="OL53" s="151"/>
      <c r="OM53" s="151"/>
      <c r="ON53" s="151">
        <f t="shared" si="308"/>
        <v>0</v>
      </c>
      <c r="OO53" s="151" t="str">
        <f t="shared" si="309"/>
        <v>0</v>
      </c>
      <c r="OP53" s="151" t="str">
        <f t="shared" si="310"/>
        <v>0</v>
      </c>
      <c r="OQ53" s="151">
        <f t="shared" si="311"/>
        <v>0</v>
      </c>
      <c r="OR53" s="151">
        <f t="shared" si="312"/>
        <v>0</v>
      </c>
      <c r="OS53" s="135" t="str">
        <f t="shared" si="189"/>
        <v>F</v>
      </c>
      <c r="OT53" s="151" t="str">
        <f>VLOOKUP(RANK(OR53,$OI$10:$OI$109),Sheet1!$A$381:$B$480,2,FALSE)</f>
        <v>1st</v>
      </c>
      <c r="OU53" s="151">
        <f t="shared" si="313"/>
        <v>393</v>
      </c>
      <c r="OV53" s="151">
        <f t="shared" si="314"/>
        <v>23.117647058823501</v>
      </c>
      <c r="OW53" s="151" t="str">
        <f>VLOOKUP(RANK(OV53,$OV$10:$OV$109),Sheet1!$A$381:$B$480,2,FALSE)</f>
        <v>57th</v>
      </c>
      <c r="OX53" s="151"/>
      <c r="OY53" s="186"/>
      <c r="OZ53" s="186"/>
      <c r="PA53" s="186"/>
      <c r="PB53" s="186"/>
    </row>
    <row r="54" spans="1:418" s="118" customFormat="1" ht="18.75">
      <c r="A54" s="131">
        <v>45</v>
      </c>
      <c r="B54" s="132" t="s">
        <v>142</v>
      </c>
      <c r="C54" s="133" t="s">
        <v>97</v>
      </c>
      <c r="D54" s="134">
        <v>25</v>
      </c>
      <c r="E54" s="134">
        <v>55</v>
      </c>
      <c r="F54" s="137">
        <f t="shared" si="0"/>
        <v>80</v>
      </c>
      <c r="G54" s="137">
        <f t="shared" si="1"/>
        <v>80</v>
      </c>
      <c r="H54" s="135" t="str">
        <f t="shared" si="265"/>
        <v>A</v>
      </c>
      <c r="I54" s="135" t="str">
        <f>VLOOKUP(RANK(G54,$G$10:$G$109),Sheet1!$A$381:$B$480,2,FALSE)</f>
        <v>7th</v>
      </c>
      <c r="J54" s="134">
        <v>26</v>
      </c>
      <c r="K54" s="134">
        <v>25</v>
      </c>
      <c r="L54" s="137">
        <f t="shared" si="2"/>
        <v>51</v>
      </c>
      <c r="M54" s="137">
        <f t="shared" si="3"/>
        <v>51</v>
      </c>
      <c r="N54" s="135" t="str">
        <f t="shared" si="4"/>
        <v>C</v>
      </c>
      <c r="O54" s="141" t="str">
        <f>VLOOKUP(RANK(M54,$M$10:$M$109),Sheet1!$A$381:$B$480,2,FALSE)</f>
        <v>56th</v>
      </c>
      <c r="P54" s="144">
        <v>30</v>
      </c>
      <c r="Q54" s="144">
        <v>20</v>
      </c>
      <c r="R54" s="147">
        <f t="shared" si="5"/>
        <v>50</v>
      </c>
      <c r="S54" s="137">
        <f t="shared" si="6"/>
        <v>50</v>
      </c>
      <c r="T54" s="135" t="str">
        <f t="shared" si="7"/>
        <v>C</v>
      </c>
      <c r="U54" s="135" t="str">
        <f>VLOOKUP(RANK(S54,$S$10:$S$109),Sheet1!$A$381:$B$480,2,FALSE)</f>
        <v>29th</v>
      </c>
      <c r="V54" s="134">
        <v>35</v>
      </c>
      <c r="W54" s="134">
        <v>46</v>
      </c>
      <c r="X54" s="137">
        <f t="shared" si="191"/>
        <v>81</v>
      </c>
      <c r="Y54" s="137">
        <f t="shared" si="244"/>
        <v>81</v>
      </c>
      <c r="Z54" s="135" t="str">
        <f t="shared" si="8"/>
        <v>A</v>
      </c>
      <c r="AA54" s="135" t="str">
        <f>VLOOKUP(RANK(Y54,$Y$10:$Y$109),Sheet1!$A$381:$B$480,2,FALSE)</f>
        <v>9th</v>
      </c>
      <c r="AB54" s="134">
        <v>30</v>
      </c>
      <c r="AC54" s="134">
        <v>20</v>
      </c>
      <c r="AD54" s="137">
        <f t="shared" si="9"/>
        <v>50</v>
      </c>
      <c r="AE54" s="137">
        <f t="shared" si="10"/>
        <v>50</v>
      </c>
      <c r="AF54" s="135" t="str">
        <f t="shared" si="11"/>
        <v>C</v>
      </c>
      <c r="AG54" s="135" t="str">
        <f>VLOOKUP(RANK(AE54,$AE$10:$AE$109),Sheet1!$A$381:$B$480,2,FALSE)</f>
        <v>68th</v>
      </c>
      <c r="AH54" s="137"/>
      <c r="AI54" s="137"/>
      <c r="AJ54" s="137">
        <f t="shared" si="12"/>
        <v>0</v>
      </c>
      <c r="AK54" s="137">
        <f t="shared" si="13"/>
        <v>0</v>
      </c>
      <c r="AL54" s="135" t="str">
        <f t="shared" si="14"/>
        <v>F</v>
      </c>
      <c r="AM54" s="135" t="str">
        <f>VLOOKUP(RANK(AK54,$AK$10:$AK$109),Sheet1!$A$381:$B$480,2,FALSE)</f>
        <v>1st</v>
      </c>
      <c r="AN54" s="134"/>
      <c r="AO54" s="134"/>
      <c r="AP54" s="137">
        <f t="shared" si="15"/>
        <v>0</v>
      </c>
      <c r="AQ54" s="137">
        <f t="shared" si="16"/>
        <v>0</v>
      </c>
      <c r="AR54" s="135" t="str">
        <f t="shared" si="17"/>
        <v>F</v>
      </c>
      <c r="AS54" s="135" t="str">
        <f>VLOOKUP(RANK(AQ54,$AQ$10:$AQ$109),Sheet1!$A$381:$B$480,2,FALSE)</f>
        <v>1st</v>
      </c>
      <c r="AT54" s="144">
        <v>22</v>
      </c>
      <c r="AU54" s="144">
        <v>28</v>
      </c>
      <c r="AV54" s="137">
        <f t="shared" si="18"/>
        <v>50</v>
      </c>
      <c r="AW54" s="137">
        <f t="shared" si="19"/>
        <v>50</v>
      </c>
      <c r="AX54" s="135" t="str">
        <f t="shared" si="20"/>
        <v>C</v>
      </c>
      <c r="AY54" s="141" t="str">
        <f>VLOOKUP(RANK(AW54,$AW$10:$AW$109),Sheet1!$A$381:$B$480,2,FALSE)</f>
        <v>58th</v>
      </c>
      <c r="AZ54" s="144">
        <v>36</v>
      </c>
      <c r="BA54" s="144">
        <v>34</v>
      </c>
      <c r="BB54" s="147">
        <f t="shared" si="21"/>
        <v>70</v>
      </c>
      <c r="BC54" s="137">
        <f t="shared" si="22"/>
        <v>70</v>
      </c>
      <c r="BD54" s="135" t="str">
        <f t="shared" si="23"/>
        <v>B</v>
      </c>
      <c r="BE54" s="135" t="str">
        <f>VLOOKUP(RANK(BC54,$BC$10:$BC$109),Sheet1!$A$381:$B$480,2,FALSE)</f>
        <v>10th</v>
      </c>
      <c r="BF54" s="144">
        <v>29</v>
      </c>
      <c r="BG54" s="144">
        <v>15</v>
      </c>
      <c r="BH54" s="137">
        <f t="shared" si="24"/>
        <v>44</v>
      </c>
      <c r="BI54" s="137">
        <f t="shared" si="25"/>
        <v>44</v>
      </c>
      <c r="BJ54" s="135" t="str">
        <f t="shared" si="26"/>
        <v>D</v>
      </c>
      <c r="BK54" s="141" t="str">
        <f>VLOOKUP(RANK(BI54,$BI$10:$BI$109),Sheet1!$A$381:$B$480,2,FALSE)</f>
        <v>23rd</v>
      </c>
      <c r="BL54" s="149">
        <v>25</v>
      </c>
      <c r="BM54" s="149">
        <v>26</v>
      </c>
      <c r="BN54" s="147">
        <f t="shared" si="27"/>
        <v>51</v>
      </c>
      <c r="BO54" s="137">
        <f t="shared" si="28"/>
        <v>51</v>
      </c>
      <c r="BP54" s="135" t="str">
        <f t="shared" si="29"/>
        <v>C</v>
      </c>
      <c r="BQ54" s="141" t="str">
        <f>VLOOKUP(RANK(BO54,$BO$10:$BO$109),Sheet1!$A$381:$B$480,2,FALSE)</f>
        <v>69th</v>
      </c>
      <c r="BR54" s="149">
        <v>28</v>
      </c>
      <c r="BS54" s="149">
        <v>10</v>
      </c>
      <c r="BT54" s="147">
        <f t="shared" si="30"/>
        <v>38</v>
      </c>
      <c r="BU54" s="137">
        <f t="shared" si="31"/>
        <v>38</v>
      </c>
      <c r="BV54" s="135" t="str">
        <f t="shared" si="32"/>
        <v>E</v>
      </c>
      <c r="BW54" s="135" t="str">
        <f>VLOOKUP(RANK(BU54,$BU$10:$BU$109),Sheet1!$A$381:$B$480,2,FALSE)</f>
        <v>69th</v>
      </c>
      <c r="BX54" s="149">
        <v>34</v>
      </c>
      <c r="BY54" s="149">
        <v>22</v>
      </c>
      <c r="BZ54" s="137">
        <f t="shared" si="33"/>
        <v>56</v>
      </c>
      <c r="CA54" s="137">
        <f t="shared" si="34"/>
        <v>56</v>
      </c>
      <c r="CB54" s="135" t="str">
        <f t="shared" si="35"/>
        <v>C</v>
      </c>
      <c r="CC54" s="135" t="str">
        <f>VLOOKUP(RANK(CA54,$CA$10:$CA$109),Sheet1!$A$381:$B$480,2,FALSE)</f>
        <v>6th</v>
      </c>
      <c r="CD54" s="149">
        <v>30</v>
      </c>
      <c r="CE54" s="149">
        <v>35</v>
      </c>
      <c r="CF54" s="137">
        <f t="shared" si="36"/>
        <v>65</v>
      </c>
      <c r="CG54" s="137">
        <f t="shared" si="37"/>
        <v>65</v>
      </c>
      <c r="CH54" s="135" t="str">
        <f t="shared" si="38"/>
        <v>B</v>
      </c>
      <c r="CI54" s="135" t="str">
        <f>VLOOKUP(RANK(CG54,$CG$10:$CG$109),Sheet1!$A$381:$B$480,2,FALSE)</f>
        <v>31st</v>
      </c>
      <c r="CJ54" s="137"/>
      <c r="CK54" s="137"/>
      <c r="CL54" s="137">
        <f t="shared" si="39"/>
        <v>0</v>
      </c>
      <c r="CM54" s="137">
        <f t="shared" si="40"/>
        <v>0</v>
      </c>
      <c r="CN54" s="135" t="str">
        <f t="shared" si="41"/>
        <v>F</v>
      </c>
      <c r="CO54" s="135" t="str">
        <f>VLOOKUP(RANK(CM54,$CM$10:$CM$109),Sheet1!$A$381:$B$480,2,FALSE)</f>
        <v>1st</v>
      </c>
      <c r="CP54" s="137"/>
      <c r="CQ54" s="137"/>
      <c r="CR54" s="137">
        <f t="shared" si="42"/>
        <v>0</v>
      </c>
      <c r="CS54" s="137">
        <f t="shared" si="43"/>
        <v>0</v>
      </c>
      <c r="CT54" s="135" t="str">
        <f t="shared" si="44"/>
        <v>F</v>
      </c>
      <c r="CU54" s="135" t="str">
        <f>VLOOKUP(RANK(CS54,$CS$10:$CS$109),Sheet1!$A$381:$B$480,2,FALSE)</f>
        <v>1st</v>
      </c>
      <c r="CV54" s="151"/>
      <c r="CW54" s="135"/>
      <c r="CX54" s="151">
        <f t="shared" si="266"/>
        <v>0</v>
      </c>
      <c r="CY54" s="151">
        <f t="shared" si="267"/>
        <v>0</v>
      </c>
      <c r="CZ54" s="135" t="str">
        <f t="shared" si="45"/>
        <v>F</v>
      </c>
      <c r="DA54" s="135" t="str">
        <f>VLOOKUP(RANK(CY54,$CY$10:$CY$109),Sheet1!$A$381:$B$480,2,FALSE)</f>
        <v>1st</v>
      </c>
      <c r="DB54" s="135"/>
      <c r="DC54" s="151">
        <f t="shared" si="268"/>
        <v>686</v>
      </c>
      <c r="DD54" s="151">
        <f t="shared" si="269"/>
        <v>40.352941176470601</v>
      </c>
      <c r="DE54" s="135" t="str">
        <f>VLOOKUP(RANK(DD54,$DD$10:$DD$109),Sheet1!$A$381:$B$480,2,FALSE)</f>
        <v>25th</v>
      </c>
      <c r="DF54" s="137"/>
      <c r="DG54" s="160">
        <f t="shared" si="46"/>
        <v>726.35294117647095</v>
      </c>
      <c r="DH54" s="119"/>
      <c r="DI54" s="162">
        <v>18</v>
      </c>
      <c r="DJ54" s="162" t="s">
        <v>105</v>
      </c>
      <c r="DK54" s="137">
        <f t="shared" si="47"/>
        <v>18</v>
      </c>
      <c r="DL54" s="137" t="str">
        <f t="shared" si="245"/>
        <v>80</v>
      </c>
      <c r="DM54" s="137">
        <f t="shared" si="49"/>
        <v>98</v>
      </c>
      <c r="DN54" s="137">
        <f t="shared" si="50"/>
        <v>49</v>
      </c>
      <c r="DO54" s="135" t="str">
        <f t="shared" si="51"/>
        <v>D</v>
      </c>
      <c r="DP54" s="135" t="str">
        <f>VLOOKUP(RANK(DN54,$DN$10:$DN$109),Sheet1!$A$381:$B$480,2,FALSE)</f>
        <v>88th</v>
      </c>
      <c r="DQ54" s="166">
        <v>27</v>
      </c>
      <c r="DR54" s="166">
        <v>0</v>
      </c>
      <c r="DS54" s="137">
        <f t="shared" si="52"/>
        <v>27</v>
      </c>
      <c r="DT54" s="137" t="str">
        <f t="shared" si="246"/>
        <v>51</v>
      </c>
      <c r="DU54" s="137">
        <f t="shared" si="54"/>
        <v>78</v>
      </c>
      <c r="DV54" s="137">
        <f t="shared" si="247"/>
        <v>39</v>
      </c>
      <c r="DW54" s="135" t="str">
        <f t="shared" si="56"/>
        <v>E</v>
      </c>
      <c r="DX54" s="135" t="str">
        <f>VLOOKUP(RANK(DV54,$DV$10:$DV$109),Sheet1!$A$381:$B$480,2,FALSE)</f>
        <v>87th</v>
      </c>
      <c r="DY54" s="168">
        <v>0</v>
      </c>
      <c r="DZ54" s="168">
        <v>0</v>
      </c>
      <c r="EA54" s="137">
        <f t="shared" si="57"/>
        <v>0</v>
      </c>
      <c r="EB54" s="137" t="str">
        <f t="shared" si="248"/>
        <v>50</v>
      </c>
      <c r="EC54" s="137">
        <f t="shared" si="59"/>
        <v>50</v>
      </c>
      <c r="ED54" s="137">
        <f t="shared" si="60"/>
        <v>25</v>
      </c>
      <c r="EE54" s="135" t="str">
        <f t="shared" si="61"/>
        <v>F</v>
      </c>
      <c r="EF54" s="135" t="str">
        <f>VLOOKUP(RANK(ED54,$ED$10:$ED$109),Sheet1!$A$381:$B$480,2,FALSE)</f>
        <v>99th</v>
      </c>
      <c r="EG54" s="162" t="s">
        <v>105</v>
      </c>
      <c r="EH54" s="162" t="s">
        <v>105</v>
      </c>
      <c r="EI54" s="137">
        <f t="shared" si="62"/>
        <v>0</v>
      </c>
      <c r="EJ54" s="137" t="str">
        <f t="shared" si="249"/>
        <v>81</v>
      </c>
      <c r="EK54" s="137">
        <f t="shared" si="64"/>
        <v>81</v>
      </c>
      <c r="EL54" s="137">
        <f t="shared" si="65"/>
        <v>40.5</v>
      </c>
      <c r="EM54" s="135" t="str">
        <f t="shared" si="66"/>
        <v>D</v>
      </c>
      <c r="EN54" s="135" t="str">
        <f>VLOOKUP(RANK(EL54,$EL$10:$EL$109),Sheet1!$A$381:$B$480,2,FALSE)</f>
        <v>84th</v>
      </c>
      <c r="EO54" s="162">
        <v>0</v>
      </c>
      <c r="EP54" s="162"/>
      <c r="EQ54" s="137">
        <f t="shared" si="67"/>
        <v>0</v>
      </c>
      <c r="ER54" s="137" t="str">
        <f t="shared" si="250"/>
        <v>50</v>
      </c>
      <c r="ES54" s="137">
        <f t="shared" si="69"/>
        <v>50</v>
      </c>
      <c r="ET54" s="137">
        <f t="shared" si="70"/>
        <v>25</v>
      </c>
      <c r="EU54" s="135" t="str">
        <f t="shared" si="71"/>
        <v>F</v>
      </c>
      <c r="EV54" s="135" t="str">
        <f>VLOOKUP(RANK(ET54,$ET$10:$ET$109),Sheet1!$A$381:$B$480,2,FALSE)</f>
        <v>99th</v>
      </c>
      <c r="EW54" s="137"/>
      <c r="EX54" s="137"/>
      <c r="EY54" s="137">
        <f t="shared" si="72"/>
        <v>0</v>
      </c>
      <c r="EZ54" s="137" t="str">
        <f t="shared" si="251"/>
        <v>0</v>
      </c>
      <c r="FA54" s="137">
        <f t="shared" si="74"/>
        <v>0</v>
      </c>
      <c r="FB54" s="137">
        <f t="shared" si="75"/>
        <v>0</v>
      </c>
      <c r="FC54" s="135" t="str">
        <f t="shared" si="76"/>
        <v>F</v>
      </c>
      <c r="FD54" s="135" t="str">
        <f>VLOOKUP(RANK(FB54,$FB$10:$FB$109),Sheet1!$A$381:$B$480,2,FALSE)</f>
        <v>1st</v>
      </c>
      <c r="FE54" s="137"/>
      <c r="FF54" s="137"/>
      <c r="FG54" s="137">
        <f t="shared" si="77"/>
        <v>0</v>
      </c>
      <c r="FH54" s="137" t="str">
        <f t="shared" si="252"/>
        <v>0</v>
      </c>
      <c r="FI54" s="137">
        <f t="shared" si="79"/>
        <v>0</v>
      </c>
      <c r="FJ54" s="137">
        <f t="shared" si="80"/>
        <v>0</v>
      </c>
      <c r="FK54" s="135" t="str">
        <f t="shared" si="81"/>
        <v>F</v>
      </c>
      <c r="FL54" s="135" t="str">
        <f>VLOOKUP(RANK(FJ54,$FJ$10:$FJ$109),Sheet1!$A$381:$B$480,2,FALSE)</f>
        <v>1st</v>
      </c>
      <c r="FM54" s="166"/>
      <c r="FN54" s="166"/>
      <c r="FO54" s="137">
        <f t="shared" si="82"/>
        <v>0</v>
      </c>
      <c r="FP54" s="137" t="str">
        <f t="shared" si="253"/>
        <v>50</v>
      </c>
      <c r="FQ54" s="137">
        <f t="shared" si="84"/>
        <v>50</v>
      </c>
      <c r="FR54" s="137">
        <f t="shared" si="85"/>
        <v>25</v>
      </c>
      <c r="FS54" s="135" t="str">
        <f t="shared" si="86"/>
        <v>F</v>
      </c>
      <c r="FT54" s="135" t="str">
        <f>VLOOKUP(RANK(FR54,$FR$10:$FR$109),Sheet1!$A$381:$B$480,2,FALSE)</f>
        <v>98th</v>
      </c>
      <c r="FU54" s="149">
        <v>0</v>
      </c>
      <c r="FV54" s="149">
        <v>0</v>
      </c>
      <c r="FW54" s="137">
        <f t="shared" si="87"/>
        <v>0</v>
      </c>
      <c r="FX54" s="137" t="str">
        <f t="shared" si="254"/>
        <v>70</v>
      </c>
      <c r="FY54" s="137">
        <f t="shared" si="196"/>
        <v>0</v>
      </c>
      <c r="FZ54" s="137">
        <f t="shared" si="89"/>
        <v>0</v>
      </c>
      <c r="GA54" s="135" t="str">
        <f t="shared" si="90"/>
        <v>F</v>
      </c>
      <c r="GB54" s="135" t="str">
        <f>VLOOKUP(RANK(FZ54,$FZ$10:$FZ$109),Sheet1!$A$381:$B$480,2,FALSE)</f>
        <v>99th</v>
      </c>
      <c r="GC54" s="166">
        <v>2</v>
      </c>
      <c r="GD54" s="166">
        <v>0</v>
      </c>
      <c r="GE54" s="137">
        <f t="shared" si="91"/>
        <v>2</v>
      </c>
      <c r="GF54" s="137" t="str">
        <f t="shared" si="255"/>
        <v>44</v>
      </c>
      <c r="GG54" s="135">
        <f t="shared" si="270"/>
        <v>46</v>
      </c>
      <c r="GH54" s="137">
        <f t="shared" si="271"/>
        <v>23</v>
      </c>
      <c r="GI54" s="135" t="str">
        <f t="shared" si="93"/>
        <v>F</v>
      </c>
      <c r="GJ54" s="135" t="str">
        <f>VLOOKUP(RANK(GH54,$GH$10:$GH$109),Sheet1!$A$381:$B$480,2,FALSE)</f>
        <v>95th</v>
      </c>
      <c r="GK54" s="166" t="s">
        <v>105</v>
      </c>
      <c r="GL54" s="166" t="s">
        <v>105</v>
      </c>
      <c r="GM54" s="137">
        <f t="shared" si="94"/>
        <v>0</v>
      </c>
      <c r="GN54" s="137" t="str">
        <f t="shared" si="256"/>
        <v>51</v>
      </c>
      <c r="GO54" s="135">
        <f t="shared" si="272"/>
        <v>51</v>
      </c>
      <c r="GP54" s="137">
        <f t="shared" si="96"/>
        <v>25.5</v>
      </c>
      <c r="GQ54" s="135" t="str">
        <f t="shared" si="97"/>
        <v>F</v>
      </c>
      <c r="GR54" s="135" t="str">
        <f>VLOOKUP(RANK(GP54,$GP$10:$GP$109),Sheet1!$A$381:$B$480,2,FALSE)</f>
        <v>97th</v>
      </c>
      <c r="GS54" s="166">
        <v>0</v>
      </c>
      <c r="GT54" s="166">
        <v>0</v>
      </c>
      <c r="GU54" s="137">
        <f t="shared" si="98"/>
        <v>0</v>
      </c>
      <c r="GV54" s="137" t="str">
        <f t="shared" si="257"/>
        <v>38</v>
      </c>
      <c r="GW54" s="137">
        <f t="shared" si="100"/>
        <v>38</v>
      </c>
      <c r="GX54" s="137">
        <f t="shared" si="101"/>
        <v>19</v>
      </c>
      <c r="GY54" s="135" t="str">
        <f t="shared" si="102"/>
        <v>F</v>
      </c>
      <c r="GZ54" s="135" t="str">
        <f>VLOOKUP(RANK(GX54,$GX$10:$GX$109),Sheet1!$A$381:$B$480,2,FALSE)</f>
        <v>99th</v>
      </c>
      <c r="HA54" s="166">
        <v>28</v>
      </c>
      <c r="HB54" s="166">
        <v>0</v>
      </c>
      <c r="HC54" s="137">
        <f t="shared" si="103"/>
        <v>28</v>
      </c>
      <c r="HD54" s="137" t="str">
        <f t="shared" si="258"/>
        <v>56</v>
      </c>
      <c r="HE54" s="137">
        <f t="shared" si="105"/>
        <v>84</v>
      </c>
      <c r="HF54" s="137">
        <f t="shared" si="106"/>
        <v>42</v>
      </c>
      <c r="HG54" s="135" t="str">
        <f t="shared" si="107"/>
        <v>D</v>
      </c>
      <c r="HH54" s="135" t="str">
        <f>VLOOKUP(RANK(HF54,$HF$10:$HF$109),Sheet1!$A$381:$B$480,2,FALSE)</f>
        <v>42nd</v>
      </c>
      <c r="HI54" s="149">
        <v>30</v>
      </c>
      <c r="HJ54" s="138" t="s">
        <v>143</v>
      </c>
      <c r="HK54" s="137">
        <f t="shared" si="108"/>
        <v>30</v>
      </c>
      <c r="HL54" s="137" t="str">
        <f t="shared" si="259"/>
        <v>65</v>
      </c>
      <c r="HM54" s="137">
        <f t="shared" si="110"/>
        <v>95</v>
      </c>
      <c r="HN54" s="137">
        <f t="shared" si="111"/>
        <v>47.5</v>
      </c>
      <c r="HO54" s="135" t="str">
        <f t="shared" si="112"/>
        <v>D</v>
      </c>
      <c r="HP54" s="135" t="str">
        <f>VLOOKUP(RANK(HN54,$HN$10:$HN$109),Sheet1!$A$381:$B$480,2,FALSE)</f>
        <v>96th</v>
      </c>
      <c r="HQ54" s="137"/>
      <c r="HR54" s="137"/>
      <c r="HS54" s="137">
        <f t="shared" si="113"/>
        <v>0</v>
      </c>
      <c r="HT54" s="137" t="str">
        <f t="shared" si="260"/>
        <v>0</v>
      </c>
      <c r="HU54" s="137">
        <f t="shared" si="115"/>
        <v>0</v>
      </c>
      <c r="HV54" s="137">
        <f t="shared" si="116"/>
        <v>0</v>
      </c>
      <c r="HW54" s="135" t="str">
        <f t="shared" si="117"/>
        <v>F</v>
      </c>
      <c r="HX54" s="135" t="str">
        <f>VLOOKUP(RANK(HV54,$HV$10:$HV$109),Sheet1!$A$381:$B$480,2,FALSE)</f>
        <v>1st</v>
      </c>
      <c r="HY54" s="137"/>
      <c r="HZ54" s="137"/>
      <c r="IA54" s="137">
        <f t="shared" si="261"/>
        <v>0</v>
      </c>
      <c r="IB54" s="137" t="str">
        <f t="shared" si="262"/>
        <v>0</v>
      </c>
      <c r="IC54" s="137">
        <f t="shared" si="120"/>
        <v>0</v>
      </c>
      <c r="ID54" s="137">
        <f t="shared" si="121"/>
        <v>0</v>
      </c>
      <c r="IE54" s="135" t="str">
        <f t="shared" si="122"/>
        <v>F</v>
      </c>
      <c r="IF54" s="135" t="str">
        <f>VLOOKUP(RANK(ID54,$ID$10:$ID$109),Sheet1!$A$381:$B$480,2,FALSE)</f>
        <v>1st</v>
      </c>
      <c r="IG54" s="135"/>
      <c r="IH54" s="135"/>
      <c r="II54" s="135">
        <f t="shared" si="273"/>
        <v>0</v>
      </c>
      <c r="IJ54" s="135" t="str">
        <f t="shared" si="274"/>
        <v>0</v>
      </c>
      <c r="IK54" s="135">
        <f t="shared" si="275"/>
        <v>0</v>
      </c>
      <c r="IL54" s="135">
        <f t="shared" si="276"/>
        <v>0</v>
      </c>
      <c r="IM54" s="135" t="str">
        <f t="shared" si="123"/>
        <v>F</v>
      </c>
      <c r="IN54" s="135" t="str">
        <f>VLOOKUP(RANK(IL54,$IL$10:$IL$109),Sheet1!$A$381:$B$480,2,FALSE)</f>
        <v>1st</v>
      </c>
      <c r="IO54" s="135">
        <f t="shared" si="277"/>
        <v>360.5</v>
      </c>
      <c r="IP54" s="177">
        <f t="shared" si="278"/>
        <v>21.205882352941199</v>
      </c>
      <c r="IQ54" s="135" t="str">
        <f>VLOOKUP(RANK(IP54,$IP$10:$IP$109),Sheet1!$A$381:$B$480,2,FALSE)</f>
        <v>96th</v>
      </c>
      <c r="IR54" s="178"/>
      <c r="IS54" s="137"/>
      <c r="IT54" s="137"/>
      <c r="IU54" s="137"/>
      <c r="IV54" s="137"/>
      <c r="IW54" s="181"/>
      <c r="IX54" s="184"/>
      <c r="IY54" s="186"/>
      <c r="IZ54" s="186">
        <f t="shared" si="206"/>
        <v>0</v>
      </c>
      <c r="JA54" s="186" t="str">
        <f t="shared" si="124"/>
        <v>80</v>
      </c>
      <c r="JB54" s="186" t="str">
        <f t="shared" si="125"/>
        <v>18</v>
      </c>
      <c r="JC54" s="186">
        <f t="shared" si="279"/>
        <v>98</v>
      </c>
      <c r="JD54" s="186">
        <f t="shared" si="280"/>
        <v>32.6666666666667</v>
      </c>
      <c r="JE54" s="135" t="str">
        <f t="shared" si="126"/>
        <v>F</v>
      </c>
      <c r="JF54" s="151" t="str">
        <f>VLOOKUP(RANK(JD54,$JD$10:$JD$109),Sheet1!$A$381:$B$480,2,FALSE)</f>
        <v>88th</v>
      </c>
      <c r="JG54" s="186"/>
      <c r="JH54" s="186"/>
      <c r="JI54" s="186">
        <f t="shared" si="127"/>
        <v>0</v>
      </c>
      <c r="JJ54" s="186" t="str">
        <f t="shared" si="128"/>
        <v>51</v>
      </c>
      <c r="JK54" s="186" t="str">
        <f t="shared" si="129"/>
        <v>27</v>
      </c>
      <c r="JL54" s="186">
        <f t="shared" si="281"/>
        <v>78</v>
      </c>
      <c r="JM54" s="186">
        <f t="shared" si="282"/>
        <v>26</v>
      </c>
      <c r="JN54" s="135" t="str">
        <f t="shared" si="130"/>
        <v>F</v>
      </c>
      <c r="JO54" s="151" t="str">
        <f>VLOOKUP(RANK(JM54,$JM$10:$JM$109),Sheet1!$A$381:$B$480,2,FALSE)</f>
        <v>87th</v>
      </c>
      <c r="JP54" s="186"/>
      <c r="JQ54" s="186"/>
      <c r="JR54" s="186">
        <f t="shared" si="131"/>
        <v>0</v>
      </c>
      <c r="JS54" s="186" t="str">
        <f t="shared" si="132"/>
        <v>50</v>
      </c>
      <c r="JT54" s="186" t="str">
        <f t="shared" si="133"/>
        <v>0</v>
      </c>
      <c r="JU54" s="186">
        <f t="shared" si="283"/>
        <v>50</v>
      </c>
      <c r="JV54" s="186">
        <f t="shared" si="284"/>
        <v>16.6666666666667</v>
      </c>
      <c r="JW54" s="135" t="str">
        <f t="shared" si="134"/>
        <v>F</v>
      </c>
      <c r="JX54" s="151" t="str">
        <f>VLOOKUP(RANK(JV54,$JV$10:$JV$109),Sheet1!$A$381:$B$480,2,FALSE)</f>
        <v>99th</v>
      </c>
      <c r="JY54" s="186"/>
      <c r="JZ54" s="186"/>
      <c r="KA54" s="186">
        <f t="shared" si="135"/>
        <v>0</v>
      </c>
      <c r="KB54" s="186" t="str">
        <f t="shared" si="136"/>
        <v>81</v>
      </c>
      <c r="KC54" s="186" t="str">
        <f t="shared" si="137"/>
        <v>0</v>
      </c>
      <c r="KD54" s="186">
        <f t="shared" si="285"/>
        <v>81</v>
      </c>
      <c r="KE54" s="186">
        <f t="shared" si="286"/>
        <v>27</v>
      </c>
      <c r="KF54" s="135" t="str">
        <f t="shared" si="138"/>
        <v>F</v>
      </c>
      <c r="KG54" s="151" t="str">
        <f>VLOOKUP(RANK(KE54,$KE$10:$KE$109),Sheet1!$A$381:$B$480,2,FALSE)</f>
        <v>84th</v>
      </c>
      <c r="KH54" s="186"/>
      <c r="KI54" s="186"/>
      <c r="KJ54" s="186">
        <f t="shared" si="139"/>
        <v>0</v>
      </c>
      <c r="KK54" s="186" t="str">
        <f t="shared" si="140"/>
        <v>50</v>
      </c>
      <c r="KL54" s="186" t="str">
        <f t="shared" si="141"/>
        <v>0</v>
      </c>
      <c r="KM54" s="186">
        <f t="shared" si="287"/>
        <v>50</v>
      </c>
      <c r="KN54" s="186">
        <f t="shared" si="288"/>
        <v>16.6666666666667</v>
      </c>
      <c r="KO54" s="135" t="str">
        <f t="shared" si="142"/>
        <v>F</v>
      </c>
      <c r="KP54" s="151" t="str">
        <f>VLOOKUP(RANK(KN54,$KN$10:$KN$109),Sheet1!$A$381:$B$480,2,FALSE)</f>
        <v>99th</v>
      </c>
      <c r="KQ54" s="186"/>
      <c r="KR54" s="186"/>
      <c r="KS54" s="186">
        <f t="shared" si="143"/>
        <v>0</v>
      </c>
      <c r="KT54" s="186" t="str">
        <f t="shared" si="144"/>
        <v>0</v>
      </c>
      <c r="KU54" s="186" t="str">
        <f t="shared" si="145"/>
        <v>0</v>
      </c>
      <c r="KV54" s="186">
        <f t="shared" si="289"/>
        <v>0</v>
      </c>
      <c r="KW54" s="186">
        <f t="shared" si="290"/>
        <v>0</v>
      </c>
      <c r="KX54" s="135" t="str">
        <f t="shared" si="146"/>
        <v>F</v>
      </c>
      <c r="KY54" s="151" t="str">
        <f>VLOOKUP(RANK(KW54,$KW$10:$KW$109),Sheet1!$A$381:$B$480,2,FALSE)</f>
        <v>1st</v>
      </c>
      <c r="KZ54" s="186"/>
      <c r="LA54" s="186"/>
      <c r="LB54" s="186">
        <f t="shared" si="147"/>
        <v>0</v>
      </c>
      <c r="LC54" s="186" t="str">
        <f t="shared" si="148"/>
        <v>0</v>
      </c>
      <c r="LD54" s="186" t="str">
        <f t="shared" si="149"/>
        <v>0</v>
      </c>
      <c r="LE54" s="186">
        <f t="shared" si="291"/>
        <v>0</v>
      </c>
      <c r="LF54" s="186">
        <f t="shared" si="292"/>
        <v>0</v>
      </c>
      <c r="LG54" s="135" t="str">
        <f t="shared" si="150"/>
        <v>F</v>
      </c>
      <c r="LH54" s="151" t="str">
        <f>VLOOKUP(RANK(LF54,$LF$10:$LF$109),Sheet1!$A$381:$B$480,2,FALSE)</f>
        <v>1st</v>
      </c>
      <c r="LI54" s="186"/>
      <c r="LJ54" s="186"/>
      <c r="LK54" s="186">
        <f t="shared" si="151"/>
        <v>0</v>
      </c>
      <c r="LL54" s="186" t="str">
        <f t="shared" si="152"/>
        <v>50</v>
      </c>
      <c r="LM54" s="186" t="str">
        <f t="shared" si="153"/>
        <v>0</v>
      </c>
      <c r="LN54" s="186">
        <f t="shared" si="293"/>
        <v>50</v>
      </c>
      <c r="LO54" s="186">
        <f t="shared" si="294"/>
        <v>16.6666666666667</v>
      </c>
      <c r="LP54" s="135" t="str">
        <f t="shared" si="154"/>
        <v>F</v>
      </c>
      <c r="LQ54" s="151" t="str">
        <f>VLOOKUP(RANK(LO54,$LO$10:$LO$109),Sheet1!$A$381:$B$480,2,FALSE)</f>
        <v>98th</v>
      </c>
      <c r="LR54" s="186"/>
      <c r="LS54" s="186"/>
      <c r="LT54" s="186">
        <f t="shared" si="155"/>
        <v>0</v>
      </c>
      <c r="LU54" s="186" t="str">
        <f t="shared" si="156"/>
        <v>70</v>
      </c>
      <c r="LV54" s="186" t="str">
        <f t="shared" si="157"/>
        <v>0</v>
      </c>
      <c r="LW54" s="186">
        <f t="shared" si="295"/>
        <v>70</v>
      </c>
      <c r="LX54" s="186">
        <f t="shared" si="296"/>
        <v>23.3333333333333</v>
      </c>
      <c r="LY54" s="135" t="str">
        <f t="shared" si="158"/>
        <v>F</v>
      </c>
      <c r="LZ54" s="151" t="str">
        <f>VLOOKUP(RANK(LX54,$LX$10:$LX$109),Sheet1!$A$381:$B$480,2,FALSE)</f>
        <v>90th</v>
      </c>
      <c r="MA54" s="186"/>
      <c r="MB54" s="186"/>
      <c r="MC54" s="186">
        <f t="shared" si="159"/>
        <v>0</v>
      </c>
      <c r="MD54" s="186" t="str">
        <f t="shared" si="160"/>
        <v>44</v>
      </c>
      <c r="ME54" s="186" t="str">
        <f t="shared" si="161"/>
        <v>2</v>
      </c>
      <c r="MF54" s="183">
        <f t="shared" si="297"/>
        <v>46</v>
      </c>
      <c r="MG54" s="151">
        <f t="shared" si="298"/>
        <v>15.3333333333333</v>
      </c>
      <c r="MH54" s="135" t="str">
        <f t="shared" si="162"/>
        <v>F</v>
      </c>
      <c r="MI54" s="151" t="str">
        <f>VLOOKUP(RANK(MG54,$MG$10:$MG$109),Sheet1!$A$381:$B$480,2,FALSE)</f>
        <v>95th</v>
      </c>
      <c r="MJ54" s="186"/>
      <c r="MK54" s="186"/>
      <c r="ML54" s="186">
        <f t="shared" si="163"/>
        <v>0</v>
      </c>
      <c r="MM54" s="186" t="str">
        <f t="shared" si="164"/>
        <v>51</v>
      </c>
      <c r="MN54" s="186" t="str">
        <f t="shared" si="165"/>
        <v>0</v>
      </c>
      <c r="MO54" s="186">
        <f t="shared" si="299"/>
        <v>51</v>
      </c>
      <c r="MP54" s="186">
        <f t="shared" si="300"/>
        <v>17</v>
      </c>
      <c r="MQ54" s="135" t="str">
        <f t="shared" si="166"/>
        <v>F</v>
      </c>
      <c r="MR54" s="151" t="str">
        <f>VLOOKUP(RANK(MP54,$MP$10:$MP$109),Sheet1!$A$381:$B$480,2,FALSE)</f>
        <v>97th</v>
      </c>
      <c r="MS54" s="186"/>
      <c r="MT54" s="186"/>
      <c r="MU54" s="186">
        <f t="shared" si="167"/>
        <v>0</v>
      </c>
      <c r="MV54" s="186" t="str">
        <f t="shared" si="168"/>
        <v>38</v>
      </c>
      <c r="MW54" s="186" t="str">
        <f t="shared" si="169"/>
        <v>0</v>
      </c>
      <c r="MX54" s="186">
        <f t="shared" si="301"/>
        <v>38</v>
      </c>
      <c r="MY54" s="186">
        <f t="shared" si="302"/>
        <v>12.6666666666667</v>
      </c>
      <c r="MZ54" s="135" t="str">
        <f t="shared" si="170"/>
        <v>F</v>
      </c>
      <c r="NA54" s="151" t="str">
        <f>VLOOKUP(RANK(MY54,$MY$10:$MY$109),Sheet1!$A$381:$B$480,2,FALSE)</f>
        <v>99th</v>
      </c>
      <c r="NB54" s="186"/>
      <c r="NC54" s="186"/>
      <c r="ND54" s="186">
        <f t="shared" si="171"/>
        <v>0</v>
      </c>
      <c r="NE54" s="186" t="str">
        <f t="shared" si="172"/>
        <v>56</v>
      </c>
      <c r="NF54" s="186" t="str">
        <f t="shared" si="173"/>
        <v>28</v>
      </c>
      <c r="NG54" s="186">
        <f t="shared" si="303"/>
        <v>84</v>
      </c>
      <c r="NH54" s="186">
        <f t="shared" si="304"/>
        <v>28</v>
      </c>
      <c r="NI54" s="135" t="str">
        <f t="shared" si="174"/>
        <v>F</v>
      </c>
      <c r="NJ54" s="151" t="str">
        <f>VLOOKUP(RANK(NH54,$NH$10:$NH$109),Sheet1!$A$381:$B$480,2,FALSE)</f>
        <v>42nd</v>
      </c>
      <c r="NK54" s="186"/>
      <c r="NL54" s="186"/>
      <c r="NM54" s="186">
        <f t="shared" si="175"/>
        <v>0</v>
      </c>
      <c r="NN54" s="186" t="str">
        <f t="shared" si="176"/>
        <v>65</v>
      </c>
      <c r="NO54" s="186" t="str">
        <f t="shared" si="177"/>
        <v>30</v>
      </c>
      <c r="NP54" s="186">
        <f t="shared" si="305"/>
        <v>95</v>
      </c>
      <c r="NQ54" s="186">
        <f t="shared" si="263"/>
        <v>31.6666666666667</v>
      </c>
      <c r="NR54" s="135" t="str">
        <f t="shared" si="179"/>
        <v>F</v>
      </c>
      <c r="NS54" s="151" t="str">
        <f>VLOOKUP(RANK(NQ54,$NQ$10:$NQ$109),Sheet1!$A$381:$B$480,2,FALSE)</f>
        <v>96th</v>
      </c>
      <c r="NT54" s="186"/>
      <c r="NU54" s="186"/>
      <c r="NV54" s="186">
        <f t="shared" si="180"/>
        <v>0</v>
      </c>
      <c r="NW54" s="186" t="str">
        <f t="shared" si="181"/>
        <v>0</v>
      </c>
      <c r="NX54" s="186" t="str">
        <f t="shared" si="182"/>
        <v>0</v>
      </c>
      <c r="NY54" s="186">
        <f t="shared" si="306"/>
        <v>0</v>
      </c>
      <c r="NZ54" s="186">
        <f t="shared" si="264"/>
        <v>0</v>
      </c>
      <c r="OA54" s="135" t="str">
        <f t="shared" si="184"/>
        <v>F</v>
      </c>
      <c r="OB54" s="151" t="str">
        <f>VLOOKUP(RANK(NZ54,$NZ$10:$NZ$109),Sheet1!$A$381:$B$480,2,FALSE)</f>
        <v>1st</v>
      </c>
      <c r="OC54" s="186"/>
      <c r="OD54" s="186"/>
      <c r="OE54" s="186">
        <f t="shared" si="185"/>
        <v>0</v>
      </c>
      <c r="OF54" s="186" t="str">
        <f t="shared" si="186"/>
        <v>0</v>
      </c>
      <c r="OG54" s="186" t="str">
        <f t="shared" si="187"/>
        <v>0</v>
      </c>
      <c r="OH54" s="186">
        <f t="shared" si="307"/>
        <v>0</v>
      </c>
      <c r="OI54" s="186">
        <f t="shared" si="236"/>
        <v>0</v>
      </c>
      <c r="OJ54" s="135" t="str">
        <f t="shared" si="188"/>
        <v>F</v>
      </c>
      <c r="OK54" s="151" t="str">
        <f>VLOOKUP(RANK(OI54,$OI$10:$OI$109),Sheet1!$A$381:$B$480,2,FALSE)</f>
        <v>1st</v>
      </c>
      <c r="OL54" s="151"/>
      <c r="OM54" s="151"/>
      <c r="ON54" s="151">
        <f t="shared" si="308"/>
        <v>0</v>
      </c>
      <c r="OO54" s="151" t="str">
        <f t="shared" si="309"/>
        <v>0</v>
      </c>
      <c r="OP54" s="151" t="str">
        <f t="shared" si="310"/>
        <v>0</v>
      </c>
      <c r="OQ54" s="151">
        <f t="shared" si="311"/>
        <v>0</v>
      </c>
      <c r="OR54" s="151">
        <f t="shared" si="312"/>
        <v>0</v>
      </c>
      <c r="OS54" s="135" t="str">
        <f t="shared" si="189"/>
        <v>F</v>
      </c>
      <c r="OT54" s="151" t="str">
        <f>VLOOKUP(RANK(OR54,$OI$10:$OI$109),Sheet1!$A$381:$B$480,2,FALSE)</f>
        <v>1st</v>
      </c>
      <c r="OU54" s="151">
        <f t="shared" si="313"/>
        <v>263.66666666666703</v>
      </c>
      <c r="OV54" s="151">
        <f t="shared" si="314"/>
        <v>15.509803921568601</v>
      </c>
      <c r="OW54" s="151" t="str">
        <f>VLOOKUP(RANK(OV54,$OV$10:$OV$109),Sheet1!$A$381:$B$480,2,FALSE)</f>
        <v>96th</v>
      </c>
      <c r="OX54" s="151"/>
      <c r="OY54" s="186"/>
      <c r="OZ54" s="186"/>
      <c r="PA54" s="186"/>
      <c r="PB54" s="186"/>
    </row>
    <row r="55" spans="1:418" s="118" customFormat="1" ht="18.75">
      <c r="A55" s="131">
        <v>46</v>
      </c>
      <c r="B55" s="132" t="s">
        <v>144</v>
      </c>
      <c r="C55" s="133" t="s">
        <v>97</v>
      </c>
      <c r="D55" s="134">
        <v>20</v>
      </c>
      <c r="E55" s="134">
        <v>30</v>
      </c>
      <c r="F55" s="137">
        <f t="shared" si="0"/>
        <v>50</v>
      </c>
      <c r="G55" s="137">
        <f t="shared" si="1"/>
        <v>50</v>
      </c>
      <c r="H55" s="135" t="str">
        <f t="shared" si="265"/>
        <v>C</v>
      </c>
      <c r="I55" s="135" t="str">
        <f>VLOOKUP(RANK(G55,$G$10:$G$109),Sheet1!$A$381:$B$480,2,FALSE)</f>
        <v>94th</v>
      </c>
      <c r="J55" s="134">
        <v>10</v>
      </c>
      <c r="K55" s="134">
        <v>9</v>
      </c>
      <c r="L55" s="137">
        <f t="shared" si="2"/>
        <v>19</v>
      </c>
      <c r="M55" s="137">
        <f t="shared" si="3"/>
        <v>19</v>
      </c>
      <c r="N55" s="135" t="str">
        <f t="shared" si="4"/>
        <v>F</v>
      </c>
      <c r="O55" s="141" t="str">
        <f>VLOOKUP(RANK(M55,$M$10:$M$109),Sheet1!$A$381:$B$480,2,FALSE)</f>
        <v>98th</v>
      </c>
      <c r="P55" s="144">
        <v>29</v>
      </c>
      <c r="Q55" s="144">
        <v>10</v>
      </c>
      <c r="R55" s="147">
        <f t="shared" si="5"/>
        <v>39</v>
      </c>
      <c r="S55" s="137">
        <f t="shared" si="6"/>
        <v>39</v>
      </c>
      <c r="T55" s="135" t="str">
        <f t="shared" si="7"/>
        <v>E</v>
      </c>
      <c r="U55" s="135" t="str">
        <f>VLOOKUP(RANK(S55,$S$10:$S$109),Sheet1!$A$381:$B$480,2,FALSE)</f>
        <v>66th</v>
      </c>
      <c r="V55" s="134">
        <v>20</v>
      </c>
      <c r="W55" s="134">
        <v>37</v>
      </c>
      <c r="X55" s="137">
        <f t="shared" si="191"/>
        <v>57</v>
      </c>
      <c r="Y55" s="137">
        <f t="shared" si="244"/>
        <v>57</v>
      </c>
      <c r="Z55" s="135" t="str">
        <f t="shared" si="8"/>
        <v>C</v>
      </c>
      <c r="AA55" s="135" t="str">
        <f>VLOOKUP(RANK(Y55,$Y$10:$Y$109),Sheet1!$A$381:$B$480,2,FALSE)</f>
        <v>40th</v>
      </c>
      <c r="AB55" s="134">
        <v>20</v>
      </c>
      <c r="AC55" s="134">
        <v>10</v>
      </c>
      <c r="AD55" s="137">
        <f t="shared" si="9"/>
        <v>30</v>
      </c>
      <c r="AE55" s="137">
        <f t="shared" si="10"/>
        <v>30</v>
      </c>
      <c r="AF55" s="135" t="str">
        <f t="shared" si="11"/>
        <v>F</v>
      </c>
      <c r="AG55" s="135" t="str">
        <f>VLOOKUP(RANK(AE55,$AE$10:$AE$109),Sheet1!$A$381:$B$480,2,FALSE)</f>
        <v>94th</v>
      </c>
      <c r="AH55" s="137"/>
      <c r="AI55" s="137"/>
      <c r="AJ55" s="137">
        <f t="shared" si="12"/>
        <v>0</v>
      </c>
      <c r="AK55" s="137">
        <f t="shared" si="13"/>
        <v>0</v>
      </c>
      <c r="AL55" s="135" t="str">
        <f t="shared" si="14"/>
        <v>F</v>
      </c>
      <c r="AM55" s="135" t="str">
        <f>VLOOKUP(RANK(AK55,$AK$10:$AK$109),Sheet1!$A$381:$B$480,2,FALSE)</f>
        <v>1st</v>
      </c>
      <c r="AN55" s="134"/>
      <c r="AO55" s="134"/>
      <c r="AP55" s="137">
        <f t="shared" si="15"/>
        <v>0</v>
      </c>
      <c r="AQ55" s="137">
        <f t="shared" si="16"/>
        <v>0</v>
      </c>
      <c r="AR55" s="135" t="str">
        <f t="shared" si="17"/>
        <v>F</v>
      </c>
      <c r="AS55" s="135" t="str">
        <f>VLOOKUP(RANK(AQ55,$AQ$10:$AQ$109),Sheet1!$A$381:$B$480,2,FALSE)</f>
        <v>1st</v>
      </c>
      <c r="AT55" s="144">
        <v>24</v>
      </c>
      <c r="AU55" s="144">
        <v>29</v>
      </c>
      <c r="AV55" s="137">
        <f t="shared" si="18"/>
        <v>53</v>
      </c>
      <c r="AW55" s="137">
        <f t="shared" si="19"/>
        <v>53</v>
      </c>
      <c r="AX55" s="135" t="str">
        <f t="shared" si="20"/>
        <v>C</v>
      </c>
      <c r="AY55" s="141" t="str">
        <f>VLOOKUP(RANK(AW55,$AW$10:$AW$109),Sheet1!$A$381:$B$480,2,FALSE)</f>
        <v>28th</v>
      </c>
      <c r="AZ55" s="144">
        <v>36</v>
      </c>
      <c r="BA55" s="144">
        <v>31</v>
      </c>
      <c r="BB55" s="147">
        <f t="shared" si="21"/>
        <v>67</v>
      </c>
      <c r="BC55" s="137">
        <f t="shared" si="22"/>
        <v>67</v>
      </c>
      <c r="BD55" s="135" t="str">
        <f t="shared" si="23"/>
        <v>B</v>
      </c>
      <c r="BE55" s="135" t="str">
        <f>VLOOKUP(RANK(BC55,$BC$10:$BC$109),Sheet1!$A$381:$B$480,2,FALSE)</f>
        <v>15th</v>
      </c>
      <c r="BF55" s="144">
        <v>10</v>
      </c>
      <c r="BG55" s="144">
        <v>18</v>
      </c>
      <c r="BH55" s="137">
        <f t="shared" si="24"/>
        <v>28</v>
      </c>
      <c r="BI55" s="137">
        <f t="shared" si="25"/>
        <v>28</v>
      </c>
      <c r="BJ55" s="135" t="str">
        <f t="shared" si="26"/>
        <v>F</v>
      </c>
      <c r="BK55" s="141" t="str">
        <f>VLOOKUP(RANK(BI55,$BI$10:$BI$109),Sheet1!$A$381:$B$480,2,FALSE)</f>
        <v>71st</v>
      </c>
      <c r="BL55" s="149">
        <v>27</v>
      </c>
      <c r="BM55" s="149">
        <v>28</v>
      </c>
      <c r="BN55" s="147">
        <f t="shared" si="27"/>
        <v>55</v>
      </c>
      <c r="BO55" s="137">
        <f t="shared" si="28"/>
        <v>55</v>
      </c>
      <c r="BP55" s="135" t="str">
        <f t="shared" si="29"/>
        <v>C</v>
      </c>
      <c r="BQ55" s="141" t="str">
        <f>VLOOKUP(RANK(BO55,$BO$10:$BO$109),Sheet1!$A$381:$B$480,2,FALSE)</f>
        <v>14th</v>
      </c>
      <c r="BR55" s="149">
        <v>27</v>
      </c>
      <c r="BS55" s="149">
        <v>6</v>
      </c>
      <c r="BT55" s="147">
        <f t="shared" si="30"/>
        <v>33</v>
      </c>
      <c r="BU55" s="137">
        <f t="shared" si="31"/>
        <v>33</v>
      </c>
      <c r="BV55" s="135" t="str">
        <f t="shared" si="32"/>
        <v>F</v>
      </c>
      <c r="BW55" s="135" t="str">
        <f>VLOOKUP(RANK(BU55,$BU$10:$BU$109),Sheet1!$A$381:$B$480,2,FALSE)</f>
        <v>84th</v>
      </c>
      <c r="BX55" s="149">
        <v>32</v>
      </c>
      <c r="BY55" s="149">
        <v>13</v>
      </c>
      <c r="BZ55" s="137">
        <f t="shared" si="33"/>
        <v>45</v>
      </c>
      <c r="CA55" s="137">
        <f t="shared" si="34"/>
        <v>45</v>
      </c>
      <c r="CB55" s="135" t="str">
        <f t="shared" si="35"/>
        <v>D</v>
      </c>
      <c r="CC55" s="135" t="str">
        <f>VLOOKUP(RANK(CA55,$CA$10:$CA$109),Sheet1!$A$381:$B$480,2,FALSE)</f>
        <v>13th</v>
      </c>
      <c r="CD55" s="149">
        <v>25</v>
      </c>
      <c r="CE55" s="149">
        <v>25</v>
      </c>
      <c r="CF55" s="137">
        <f t="shared" si="36"/>
        <v>50</v>
      </c>
      <c r="CG55" s="137">
        <f t="shared" si="37"/>
        <v>50</v>
      </c>
      <c r="CH55" s="135" t="str">
        <f t="shared" si="38"/>
        <v>C</v>
      </c>
      <c r="CI55" s="135" t="str">
        <f>VLOOKUP(RANK(CG55,$CG$10:$CG$109),Sheet1!$A$381:$B$480,2,FALSE)</f>
        <v>71st</v>
      </c>
      <c r="CJ55" s="137"/>
      <c r="CK55" s="137"/>
      <c r="CL55" s="137">
        <f t="shared" si="39"/>
        <v>0</v>
      </c>
      <c r="CM55" s="137">
        <f t="shared" si="40"/>
        <v>0</v>
      </c>
      <c r="CN55" s="135" t="str">
        <f t="shared" si="41"/>
        <v>F</v>
      </c>
      <c r="CO55" s="135" t="str">
        <f>VLOOKUP(RANK(CM55,$CM$10:$CM$109),Sheet1!$A$381:$B$480,2,FALSE)</f>
        <v>1st</v>
      </c>
      <c r="CP55" s="137"/>
      <c r="CQ55" s="137"/>
      <c r="CR55" s="137">
        <f t="shared" si="42"/>
        <v>0</v>
      </c>
      <c r="CS55" s="137">
        <f t="shared" si="43"/>
        <v>0</v>
      </c>
      <c r="CT55" s="135" t="str">
        <f t="shared" si="44"/>
        <v>F</v>
      </c>
      <c r="CU55" s="135" t="str">
        <f>VLOOKUP(RANK(CS55,$CS$10:$CS$109),Sheet1!$A$381:$B$480,2,FALSE)</f>
        <v>1st</v>
      </c>
      <c r="CV55" s="151"/>
      <c r="CW55" s="135"/>
      <c r="CX55" s="151">
        <f t="shared" si="266"/>
        <v>0</v>
      </c>
      <c r="CY55" s="151">
        <f t="shared" si="267"/>
        <v>0</v>
      </c>
      <c r="CZ55" s="135" t="str">
        <f t="shared" si="45"/>
        <v>F</v>
      </c>
      <c r="DA55" s="135" t="str">
        <f>VLOOKUP(RANK(CY55,$CY$10:$CY$109),Sheet1!$A$381:$B$480,2,FALSE)</f>
        <v>1st</v>
      </c>
      <c r="DB55" s="135"/>
      <c r="DC55" s="151">
        <f t="shared" si="268"/>
        <v>526</v>
      </c>
      <c r="DD55" s="151">
        <f t="shared" si="269"/>
        <v>30.9411764705882</v>
      </c>
      <c r="DE55" s="135" t="str">
        <f>VLOOKUP(RANK(DD55,$DD$10:$DD$109),Sheet1!$A$381:$B$480,2,FALSE)</f>
        <v>88th</v>
      </c>
      <c r="DF55" s="137"/>
      <c r="DG55" s="160">
        <f t="shared" si="46"/>
        <v>556.94117647058795</v>
      </c>
      <c r="DH55" s="119"/>
      <c r="DI55" s="162">
        <v>20</v>
      </c>
      <c r="DJ55" s="162">
        <v>46</v>
      </c>
      <c r="DK55" s="137">
        <f t="shared" si="47"/>
        <v>66</v>
      </c>
      <c r="DL55" s="137" t="str">
        <f t="shared" si="245"/>
        <v>50</v>
      </c>
      <c r="DM55" s="137">
        <f t="shared" si="49"/>
        <v>116</v>
      </c>
      <c r="DN55" s="137">
        <f t="shared" si="50"/>
        <v>58</v>
      </c>
      <c r="DO55" s="135" t="str">
        <f t="shared" si="51"/>
        <v>C</v>
      </c>
      <c r="DP55" s="135" t="str">
        <f>VLOOKUP(RANK(DN55,$DN$10:$DN$109),Sheet1!$A$381:$B$480,2,FALSE)</f>
        <v>78th</v>
      </c>
      <c r="DQ55" s="166">
        <v>26</v>
      </c>
      <c r="DR55" s="166">
        <v>20</v>
      </c>
      <c r="DS55" s="137">
        <f t="shared" si="52"/>
        <v>46</v>
      </c>
      <c r="DT55" s="137" t="str">
        <f t="shared" si="246"/>
        <v>19</v>
      </c>
      <c r="DU55" s="137">
        <f t="shared" si="54"/>
        <v>65</v>
      </c>
      <c r="DV55" s="137">
        <f t="shared" si="247"/>
        <v>32.5</v>
      </c>
      <c r="DW55" s="135" t="str">
        <f t="shared" si="56"/>
        <v>F</v>
      </c>
      <c r="DX55" s="135" t="str">
        <f>VLOOKUP(RANK(DV55,$DV$10:$DV$109),Sheet1!$A$381:$B$480,2,FALSE)</f>
        <v>94th</v>
      </c>
      <c r="DY55" s="168">
        <v>18</v>
      </c>
      <c r="DZ55" s="168">
        <v>15</v>
      </c>
      <c r="EA55" s="137">
        <f t="shared" si="57"/>
        <v>33</v>
      </c>
      <c r="EB55" s="137" t="str">
        <f t="shared" si="248"/>
        <v>39</v>
      </c>
      <c r="EC55" s="137">
        <f t="shared" si="59"/>
        <v>72</v>
      </c>
      <c r="ED55" s="137">
        <f t="shared" si="60"/>
        <v>36</v>
      </c>
      <c r="EE55" s="135" t="str">
        <f t="shared" si="61"/>
        <v>E</v>
      </c>
      <c r="EF55" s="135" t="str">
        <f>VLOOKUP(RANK(ED55,$ED$10:$ED$109),Sheet1!$A$381:$B$480,2,FALSE)</f>
        <v>81st</v>
      </c>
      <c r="EG55" s="162">
        <v>7</v>
      </c>
      <c r="EH55" s="162">
        <v>28</v>
      </c>
      <c r="EI55" s="137">
        <f t="shared" si="62"/>
        <v>35</v>
      </c>
      <c r="EJ55" s="137" t="str">
        <f t="shared" si="249"/>
        <v>57</v>
      </c>
      <c r="EK55" s="137">
        <f t="shared" si="64"/>
        <v>92</v>
      </c>
      <c r="EL55" s="137">
        <f t="shared" si="65"/>
        <v>46</v>
      </c>
      <c r="EM55" s="135" t="str">
        <f t="shared" si="66"/>
        <v>D</v>
      </c>
      <c r="EN55" s="135" t="str">
        <f>VLOOKUP(RANK(EL55,$EL$10:$EL$109),Sheet1!$A$381:$B$480,2,FALSE)</f>
        <v>77th</v>
      </c>
      <c r="EO55" s="162">
        <v>21</v>
      </c>
      <c r="EP55" s="162">
        <v>19</v>
      </c>
      <c r="EQ55" s="137">
        <f t="shared" si="67"/>
        <v>40</v>
      </c>
      <c r="ER55" s="137" t="str">
        <f t="shared" si="250"/>
        <v>30</v>
      </c>
      <c r="ES55" s="137">
        <f t="shared" si="69"/>
        <v>70</v>
      </c>
      <c r="ET55" s="137">
        <f t="shared" si="70"/>
        <v>35</v>
      </c>
      <c r="EU55" s="135" t="str">
        <f t="shared" si="71"/>
        <v>E</v>
      </c>
      <c r="EV55" s="135" t="str">
        <f>VLOOKUP(RANK(ET55,$ET$10:$ET$109),Sheet1!$A$381:$B$480,2,FALSE)</f>
        <v>86th</v>
      </c>
      <c r="EW55" s="137"/>
      <c r="EX55" s="137"/>
      <c r="EY55" s="137">
        <f t="shared" si="72"/>
        <v>0</v>
      </c>
      <c r="EZ55" s="137" t="str">
        <f t="shared" si="251"/>
        <v>0</v>
      </c>
      <c r="FA55" s="137">
        <f t="shared" si="74"/>
        <v>0</v>
      </c>
      <c r="FB55" s="137">
        <f t="shared" si="75"/>
        <v>0</v>
      </c>
      <c r="FC55" s="135" t="str">
        <f t="shared" si="76"/>
        <v>F</v>
      </c>
      <c r="FD55" s="135" t="str">
        <f>VLOOKUP(RANK(FB55,$FB$10:$FB$109),Sheet1!$A$381:$B$480,2,FALSE)</f>
        <v>1st</v>
      </c>
      <c r="FE55" s="137"/>
      <c r="FF55" s="137"/>
      <c r="FG55" s="137">
        <f t="shared" si="77"/>
        <v>0</v>
      </c>
      <c r="FH55" s="137" t="str">
        <f t="shared" si="252"/>
        <v>0</v>
      </c>
      <c r="FI55" s="137">
        <f t="shared" si="79"/>
        <v>0</v>
      </c>
      <c r="FJ55" s="137">
        <f t="shared" si="80"/>
        <v>0</v>
      </c>
      <c r="FK55" s="135" t="str">
        <f t="shared" si="81"/>
        <v>F</v>
      </c>
      <c r="FL55" s="135" t="str">
        <f>VLOOKUP(RANK(FJ55,$FJ$10:$FJ$109),Sheet1!$A$381:$B$480,2,FALSE)</f>
        <v>1st</v>
      </c>
      <c r="FM55" s="166">
        <v>27</v>
      </c>
      <c r="FN55" s="166">
        <v>26</v>
      </c>
      <c r="FO55" s="137">
        <f t="shared" si="82"/>
        <v>53</v>
      </c>
      <c r="FP55" s="137" t="str">
        <f t="shared" si="253"/>
        <v>53</v>
      </c>
      <c r="FQ55" s="137">
        <f t="shared" si="84"/>
        <v>106</v>
      </c>
      <c r="FR55" s="137">
        <f t="shared" si="85"/>
        <v>53</v>
      </c>
      <c r="FS55" s="135" t="str">
        <f t="shared" si="86"/>
        <v>C</v>
      </c>
      <c r="FT55" s="135" t="str">
        <f>VLOOKUP(RANK(FR55,$FR$10:$FR$109),Sheet1!$A$381:$B$480,2,FALSE)</f>
        <v>36th</v>
      </c>
      <c r="FU55" s="149">
        <v>19</v>
      </c>
      <c r="FV55" s="149">
        <v>24</v>
      </c>
      <c r="FW55" s="137">
        <f t="shared" si="87"/>
        <v>43</v>
      </c>
      <c r="FX55" s="137" t="str">
        <f t="shared" si="254"/>
        <v>67</v>
      </c>
      <c r="FY55" s="137">
        <f t="shared" si="196"/>
        <v>43</v>
      </c>
      <c r="FZ55" s="137">
        <f t="shared" si="89"/>
        <v>21.5</v>
      </c>
      <c r="GA55" s="135" t="str">
        <f t="shared" si="90"/>
        <v>F</v>
      </c>
      <c r="GB55" s="135" t="str">
        <f>VLOOKUP(RANK(FZ55,$FZ$10:$FZ$109),Sheet1!$A$381:$B$480,2,FALSE)</f>
        <v>68th</v>
      </c>
      <c r="GC55" s="166">
        <v>5</v>
      </c>
      <c r="GD55" s="166">
        <v>23</v>
      </c>
      <c r="GE55" s="137">
        <f t="shared" si="91"/>
        <v>28</v>
      </c>
      <c r="GF55" s="137" t="str">
        <f t="shared" si="255"/>
        <v>28</v>
      </c>
      <c r="GG55" s="135">
        <f t="shared" si="270"/>
        <v>56</v>
      </c>
      <c r="GH55" s="137">
        <f t="shared" si="271"/>
        <v>28</v>
      </c>
      <c r="GI55" s="135" t="str">
        <f t="shared" si="93"/>
        <v>F</v>
      </c>
      <c r="GJ55" s="135" t="str">
        <f>VLOOKUP(RANK(GH55,$GH$10:$GH$109),Sheet1!$A$381:$B$480,2,FALSE)</f>
        <v>89th</v>
      </c>
      <c r="GK55" s="166">
        <v>26</v>
      </c>
      <c r="GL55" s="166">
        <v>14</v>
      </c>
      <c r="GM55" s="137">
        <f t="shared" si="94"/>
        <v>40</v>
      </c>
      <c r="GN55" s="137" t="str">
        <f t="shared" si="256"/>
        <v>55</v>
      </c>
      <c r="GO55" s="135">
        <f t="shared" si="272"/>
        <v>95</v>
      </c>
      <c r="GP55" s="137">
        <f t="shared" si="96"/>
        <v>47.5</v>
      </c>
      <c r="GQ55" s="135" t="str">
        <f t="shared" si="97"/>
        <v>D</v>
      </c>
      <c r="GR55" s="135" t="str">
        <f>VLOOKUP(RANK(GP55,$GP$10:$GP$109),Sheet1!$A$381:$B$480,2,FALSE)</f>
        <v>61st</v>
      </c>
      <c r="GS55" s="166">
        <v>16</v>
      </c>
      <c r="GT55" s="166">
        <v>22</v>
      </c>
      <c r="GU55" s="137">
        <f t="shared" si="98"/>
        <v>38</v>
      </c>
      <c r="GV55" s="137" t="str">
        <f t="shared" si="257"/>
        <v>33</v>
      </c>
      <c r="GW55" s="137">
        <f t="shared" si="100"/>
        <v>71</v>
      </c>
      <c r="GX55" s="137">
        <f t="shared" si="101"/>
        <v>35.5</v>
      </c>
      <c r="GY55" s="135" t="str">
        <f t="shared" si="102"/>
        <v>E</v>
      </c>
      <c r="GZ55" s="135" t="str">
        <f>VLOOKUP(RANK(GX55,$GX$10:$GX$109),Sheet1!$A$381:$B$480,2,FALSE)</f>
        <v>85th</v>
      </c>
      <c r="HA55" s="166">
        <v>27</v>
      </c>
      <c r="HB55" s="166">
        <v>11</v>
      </c>
      <c r="HC55" s="137">
        <f t="shared" si="103"/>
        <v>38</v>
      </c>
      <c r="HD55" s="137" t="str">
        <f t="shared" si="258"/>
        <v>45</v>
      </c>
      <c r="HE55" s="137">
        <f t="shared" si="105"/>
        <v>83</v>
      </c>
      <c r="HF55" s="137">
        <f t="shared" si="106"/>
        <v>41.5</v>
      </c>
      <c r="HG55" s="135" t="str">
        <f t="shared" si="107"/>
        <v>D</v>
      </c>
      <c r="HH55" s="135" t="str">
        <f>VLOOKUP(RANK(HF55,$HF$10:$HF$109),Sheet1!$A$381:$B$480,2,FALSE)</f>
        <v>47th</v>
      </c>
      <c r="HI55" s="149">
        <v>32</v>
      </c>
      <c r="HJ55" s="149">
        <v>38</v>
      </c>
      <c r="HK55" s="137">
        <f t="shared" si="108"/>
        <v>70</v>
      </c>
      <c r="HL55" s="137" t="str">
        <f t="shared" si="259"/>
        <v>50</v>
      </c>
      <c r="HM55" s="137">
        <f t="shared" si="110"/>
        <v>120</v>
      </c>
      <c r="HN55" s="137">
        <f t="shared" si="111"/>
        <v>60</v>
      </c>
      <c r="HO55" s="135" t="str">
        <f t="shared" si="112"/>
        <v>B</v>
      </c>
      <c r="HP55" s="135" t="str">
        <f>VLOOKUP(RANK(HN55,$HN$10:$HN$109),Sheet1!$A$381:$B$480,2,FALSE)</f>
        <v>68th</v>
      </c>
      <c r="HQ55" s="137"/>
      <c r="HR55" s="137"/>
      <c r="HS55" s="137">
        <f t="shared" si="113"/>
        <v>0</v>
      </c>
      <c r="HT55" s="137" t="str">
        <f t="shared" si="260"/>
        <v>0</v>
      </c>
      <c r="HU55" s="137">
        <f t="shared" si="115"/>
        <v>0</v>
      </c>
      <c r="HV55" s="137">
        <f t="shared" si="116"/>
        <v>0</v>
      </c>
      <c r="HW55" s="135" t="str">
        <f t="shared" si="117"/>
        <v>F</v>
      </c>
      <c r="HX55" s="135" t="str">
        <f>VLOOKUP(RANK(HV55,$HV$10:$HV$109),Sheet1!$A$381:$B$480,2,FALSE)</f>
        <v>1st</v>
      </c>
      <c r="HY55" s="137"/>
      <c r="HZ55" s="137"/>
      <c r="IA55" s="137">
        <f t="shared" si="261"/>
        <v>0</v>
      </c>
      <c r="IB55" s="137" t="str">
        <f t="shared" si="262"/>
        <v>0</v>
      </c>
      <c r="IC55" s="137">
        <f t="shared" si="120"/>
        <v>0</v>
      </c>
      <c r="ID55" s="137">
        <f t="shared" si="121"/>
        <v>0</v>
      </c>
      <c r="IE55" s="135" t="str">
        <f t="shared" si="122"/>
        <v>F</v>
      </c>
      <c r="IF55" s="135" t="str">
        <f>VLOOKUP(RANK(ID55,$ID$10:$ID$109),Sheet1!$A$381:$B$480,2,FALSE)</f>
        <v>1st</v>
      </c>
      <c r="IG55" s="135"/>
      <c r="IH55" s="135"/>
      <c r="II55" s="135">
        <f t="shared" si="273"/>
        <v>0</v>
      </c>
      <c r="IJ55" s="135" t="str">
        <f t="shared" si="274"/>
        <v>0</v>
      </c>
      <c r="IK55" s="135">
        <f t="shared" si="275"/>
        <v>0</v>
      </c>
      <c r="IL55" s="135">
        <f t="shared" si="276"/>
        <v>0</v>
      </c>
      <c r="IM55" s="135" t="str">
        <f t="shared" si="123"/>
        <v>F</v>
      </c>
      <c r="IN55" s="135" t="str">
        <f>VLOOKUP(RANK(IL55,$IL$10:$IL$109),Sheet1!$A$381:$B$480,2,FALSE)</f>
        <v>1st</v>
      </c>
      <c r="IO55" s="135">
        <f t="shared" si="277"/>
        <v>494.5</v>
      </c>
      <c r="IP55" s="177">
        <f t="shared" si="278"/>
        <v>29.088235294117599</v>
      </c>
      <c r="IQ55" s="135" t="str">
        <f>VLOOKUP(RANK(IP55,$IP$10:$IP$109),Sheet1!$A$381:$B$480,2,FALSE)</f>
        <v>86th</v>
      </c>
      <c r="IR55" s="178"/>
      <c r="IS55" s="137"/>
      <c r="IT55" s="137"/>
      <c r="IU55" s="137"/>
      <c r="IV55" s="137"/>
      <c r="IW55" s="181"/>
      <c r="IX55" s="184"/>
      <c r="IY55" s="186"/>
      <c r="IZ55" s="186">
        <f t="shared" si="206"/>
        <v>0</v>
      </c>
      <c r="JA55" s="186" t="str">
        <f t="shared" si="124"/>
        <v>50</v>
      </c>
      <c r="JB55" s="186" t="str">
        <f t="shared" si="125"/>
        <v>66</v>
      </c>
      <c r="JC55" s="186">
        <f t="shared" si="279"/>
        <v>116</v>
      </c>
      <c r="JD55" s="186">
        <f t="shared" si="280"/>
        <v>38.6666666666667</v>
      </c>
      <c r="JE55" s="135" t="str">
        <f t="shared" si="126"/>
        <v>E</v>
      </c>
      <c r="JF55" s="151" t="str">
        <f>VLOOKUP(RANK(JD55,$JD$10:$JD$109),Sheet1!$A$381:$B$480,2,FALSE)</f>
        <v>78th</v>
      </c>
      <c r="JG55" s="186"/>
      <c r="JH55" s="186"/>
      <c r="JI55" s="186">
        <f t="shared" si="127"/>
        <v>0</v>
      </c>
      <c r="JJ55" s="186" t="str">
        <f t="shared" si="128"/>
        <v>19</v>
      </c>
      <c r="JK55" s="186" t="str">
        <f t="shared" si="129"/>
        <v>46</v>
      </c>
      <c r="JL55" s="186">
        <f t="shared" si="281"/>
        <v>65</v>
      </c>
      <c r="JM55" s="186">
        <f t="shared" si="282"/>
        <v>21.6666666666667</v>
      </c>
      <c r="JN55" s="135" t="str">
        <f t="shared" si="130"/>
        <v>F</v>
      </c>
      <c r="JO55" s="151" t="str">
        <f>VLOOKUP(RANK(JM55,$JM$10:$JM$109),Sheet1!$A$381:$B$480,2,FALSE)</f>
        <v>94th</v>
      </c>
      <c r="JP55" s="186"/>
      <c r="JQ55" s="186"/>
      <c r="JR55" s="186">
        <f t="shared" si="131"/>
        <v>0</v>
      </c>
      <c r="JS55" s="186" t="str">
        <f t="shared" si="132"/>
        <v>39</v>
      </c>
      <c r="JT55" s="186" t="str">
        <f t="shared" si="133"/>
        <v>33</v>
      </c>
      <c r="JU55" s="186">
        <f t="shared" si="283"/>
        <v>72</v>
      </c>
      <c r="JV55" s="186">
        <f t="shared" si="284"/>
        <v>24</v>
      </c>
      <c r="JW55" s="135" t="str">
        <f t="shared" si="134"/>
        <v>F</v>
      </c>
      <c r="JX55" s="151" t="str">
        <f>VLOOKUP(RANK(JV55,$JV$10:$JV$109),Sheet1!$A$381:$B$480,2,FALSE)</f>
        <v>81st</v>
      </c>
      <c r="JY55" s="186"/>
      <c r="JZ55" s="186"/>
      <c r="KA55" s="186">
        <f t="shared" si="135"/>
        <v>0</v>
      </c>
      <c r="KB55" s="186" t="str">
        <f t="shared" si="136"/>
        <v>57</v>
      </c>
      <c r="KC55" s="186" t="str">
        <f t="shared" si="137"/>
        <v>35</v>
      </c>
      <c r="KD55" s="186">
        <f t="shared" si="285"/>
        <v>92</v>
      </c>
      <c r="KE55" s="186">
        <f t="shared" si="286"/>
        <v>30.6666666666667</v>
      </c>
      <c r="KF55" s="135" t="str">
        <f t="shared" si="138"/>
        <v>F</v>
      </c>
      <c r="KG55" s="151" t="str">
        <f>VLOOKUP(RANK(KE55,$KE$10:$KE$109),Sheet1!$A$381:$B$480,2,FALSE)</f>
        <v>77th</v>
      </c>
      <c r="KH55" s="186"/>
      <c r="KI55" s="186"/>
      <c r="KJ55" s="186">
        <f t="shared" si="139"/>
        <v>0</v>
      </c>
      <c r="KK55" s="186" t="str">
        <f t="shared" si="140"/>
        <v>30</v>
      </c>
      <c r="KL55" s="186" t="str">
        <f t="shared" si="141"/>
        <v>40</v>
      </c>
      <c r="KM55" s="186">
        <f t="shared" si="287"/>
        <v>70</v>
      </c>
      <c r="KN55" s="186">
        <f t="shared" si="288"/>
        <v>23.3333333333333</v>
      </c>
      <c r="KO55" s="135" t="str">
        <f t="shared" si="142"/>
        <v>F</v>
      </c>
      <c r="KP55" s="151" t="str">
        <f>VLOOKUP(RANK(KN55,$KN$10:$KN$109),Sheet1!$A$381:$B$480,2,FALSE)</f>
        <v>86th</v>
      </c>
      <c r="KQ55" s="186"/>
      <c r="KR55" s="186"/>
      <c r="KS55" s="186">
        <f t="shared" si="143"/>
        <v>0</v>
      </c>
      <c r="KT55" s="186" t="str">
        <f t="shared" si="144"/>
        <v>0</v>
      </c>
      <c r="KU55" s="186" t="str">
        <f t="shared" si="145"/>
        <v>0</v>
      </c>
      <c r="KV55" s="186">
        <f t="shared" si="289"/>
        <v>0</v>
      </c>
      <c r="KW55" s="186">
        <f t="shared" si="290"/>
        <v>0</v>
      </c>
      <c r="KX55" s="135" t="str">
        <f t="shared" si="146"/>
        <v>F</v>
      </c>
      <c r="KY55" s="151" t="str">
        <f>VLOOKUP(RANK(KW55,$KW$10:$KW$109),Sheet1!$A$381:$B$480,2,FALSE)</f>
        <v>1st</v>
      </c>
      <c r="KZ55" s="186"/>
      <c r="LA55" s="186"/>
      <c r="LB55" s="186">
        <f t="shared" si="147"/>
        <v>0</v>
      </c>
      <c r="LC55" s="186" t="str">
        <f t="shared" si="148"/>
        <v>0</v>
      </c>
      <c r="LD55" s="186" t="str">
        <f t="shared" si="149"/>
        <v>0</v>
      </c>
      <c r="LE55" s="186">
        <f t="shared" si="291"/>
        <v>0</v>
      </c>
      <c r="LF55" s="186">
        <f t="shared" si="292"/>
        <v>0</v>
      </c>
      <c r="LG55" s="135" t="str">
        <f t="shared" si="150"/>
        <v>F</v>
      </c>
      <c r="LH55" s="151" t="str">
        <f>VLOOKUP(RANK(LF55,$LF$10:$LF$109),Sheet1!$A$381:$B$480,2,FALSE)</f>
        <v>1st</v>
      </c>
      <c r="LI55" s="186"/>
      <c r="LJ55" s="186"/>
      <c r="LK55" s="186">
        <f t="shared" si="151"/>
        <v>0</v>
      </c>
      <c r="LL55" s="186" t="str">
        <f t="shared" si="152"/>
        <v>53</v>
      </c>
      <c r="LM55" s="186" t="str">
        <f t="shared" si="153"/>
        <v>53</v>
      </c>
      <c r="LN55" s="186">
        <f t="shared" si="293"/>
        <v>106</v>
      </c>
      <c r="LO55" s="186">
        <f t="shared" si="294"/>
        <v>35.3333333333333</v>
      </c>
      <c r="LP55" s="135" t="str">
        <f t="shared" si="154"/>
        <v>E</v>
      </c>
      <c r="LQ55" s="151" t="str">
        <f>VLOOKUP(RANK(LO55,$LO$10:$LO$109),Sheet1!$A$381:$B$480,2,FALSE)</f>
        <v>36th</v>
      </c>
      <c r="LR55" s="186"/>
      <c r="LS55" s="186"/>
      <c r="LT55" s="186">
        <f t="shared" si="155"/>
        <v>0</v>
      </c>
      <c r="LU55" s="186" t="str">
        <f t="shared" si="156"/>
        <v>67</v>
      </c>
      <c r="LV55" s="186" t="str">
        <f t="shared" si="157"/>
        <v>43</v>
      </c>
      <c r="LW55" s="186">
        <f t="shared" si="295"/>
        <v>110</v>
      </c>
      <c r="LX55" s="186">
        <f t="shared" si="296"/>
        <v>36.6666666666667</v>
      </c>
      <c r="LY55" s="135" t="str">
        <f t="shared" si="158"/>
        <v>E</v>
      </c>
      <c r="LZ55" s="151" t="str">
        <f>VLOOKUP(RANK(LX55,$LX$10:$LX$109),Sheet1!$A$381:$B$480,2,FALSE)</f>
        <v>36th</v>
      </c>
      <c r="MA55" s="186"/>
      <c r="MB55" s="186"/>
      <c r="MC55" s="186">
        <f t="shared" si="159"/>
        <v>0</v>
      </c>
      <c r="MD55" s="186" t="str">
        <f t="shared" si="160"/>
        <v>28</v>
      </c>
      <c r="ME55" s="186" t="str">
        <f t="shared" si="161"/>
        <v>28</v>
      </c>
      <c r="MF55" s="183">
        <f t="shared" si="297"/>
        <v>56</v>
      </c>
      <c r="MG55" s="151">
        <f t="shared" si="298"/>
        <v>18.6666666666667</v>
      </c>
      <c r="MH55" s="135" t="str">
        <f t="shared" si="162"/>
        <v>F</v>
      </c>
      <c r="MI55" s="151" t="str">
        <f>VLOOKUP(RANK(MG55,$MG$10:$MG$109),Sheet1!$A$381:$B$480,2,FALSE)</f>
        <v>89th</v>
      </c>
      <c r="MJ55" s="186"/>
      <c r="MK55" s="186"/>
      <c r="ML55" s="186">
        <f t="shared" si="163"/>
        <v>0</v>
      </c>
      <c r="MM55" s="186" t="str">
        <f t="shared" si="164"/>
        <v>55</v>
      </c>
      <c r="MN55" s="186" t="str">
        <f t="shared" si="165"/>
        <v>40</v>
      </c>
      <c r="MO55" s="186">
        <f t="shared" si="299"/>
        <v>95</v>
      </c>
      <c r="MP55" s="186">
        <f t="shared" si="300"/>
        <v>31.6666666666667</v>
      </c>
      <c r="MQ55" s="135" t="str">
        <f t="shared" si="166"/>
        <v>F</v>
      </c>
      <c r="MR55" s="151" t="str">
        <f>VLOOKUP(RANK(MP55,$MP$10:$MP$109),Sheet1!$A$381:$B$480,2,FALSE)</f>
        <v>61st</v>
      </c>
      <c r="MS55" s="186"/>
      <c r="MT55" s="186"/>
      <c r="MU55" s="186">
        <f t="shared" si="167"/>
        <v>0</v>
      </c>
      <c r="MV55" s="186" t="str">
        <f t="shared" si="168"/>
        <v>33</v>
      </c>
      <c r="MW55" s="186" t="str">
        <f t="shared" si="169"/>
        <v>38</v>
      </c>
      <c r="MX55" s="186">
        <f t="shared" si="301"/>
        <v>71</v>
      </c>
      <c r="MY55" s="186">
        <f t="shared" si="302"/>
        <v>23.6666666666667</v>
      </c>
      <c r="MZ55" s="135" t="str">
        <f t="shared" si="170"/>
        <v>F</v>
      </c>
      <c r="NA55" s="151" t="str">
        <f>VLOOKUP(RANK(MY55,$MY$10:$MY$109),Sheet1!$A$381:$B$480,2,FALSE)</f>
        <v>85th</v>
      </c>
      <c r="NB55" s="186"/>
      <c r="NC55" s="186"/>
      <c r="ND55" s="186">
        <f t="shared" si="171"/>
        <v>0</v>
      </c>
      <c r="NE55" s="186" t="str">
        <f t="shared" si="172"/>
        <v>45</v>
      </c>
      <c r="NF55" s="186" t="str">
        <f t="shared" si="173"/>
        <v>38</v>
      </c>
      <c r="NG55" s="186">
        <f t="shared" si="303"/>
        <v>83</v>
      </c>
      <c r="NH55" s="186">
        <f t="shared" si="304"/>
        <v>27.6666666666667</v>
      </c>
      <c r="NI55" s="135" t="str">
        <f t="shared" si="174"/>
        <v>F</v>
      </c>
      <c r="NJ55" s="151" t="str">
        <f>VLOOKUP(RANK(NH55,$NH$10:$NH$109),Sheet1!$A$381:$B$480,2,FALSE)</f>
        <v>47th</v>
      </c>
      <c r="NK55" s="186"/>
      <c r="NL55" s="186"/>
      <c r="NM55" s="186">
        <f t="shared" si="175"/>
        <v>0</v>
      </c>
      <c r="NN55" s="186" t="str">
        <f t="shared" si="176"/>
        <v>50</v>
      </c>
      <c r="NO55" s="186" t="str">
        <f t="shared" si="177"/>
        <v>70</v>
      </c>
      <c r="NP55" s="186">
        <f t="shared" si="305"/>
        <v>120</v>
      </c>
      <c r="NQ55" s="186">
        <f t="shared" si="263"/>
        <v>40</v>
      </c>
      <c r="NR55" s="135" t="str">
        <f t="shared" si="179"/>
        <v>D</v>
      </c>
      <c r="NS55" s="151" t="str">
        <f>VLOOKUP(RANK(NQ55,$NQ$10:$NQ$109),Sheet1!$A$381:$B$480,2,FALSE)</f>
        <v>68th</v>
      </c>
      <c r="NT55" s="186"/>
      <c r="NU55" s="186"/>
      <c r="NV55" s="186">
        <f t="shared" si="180"/>
        <v>0</v>
      </c>
      <c r="NW55" s="186" t="str">
        <f t="shared" si="181"/>
        <v>0</v>
      </c>
      <c r="NX55" s="186" t="str">
        <f t="shared" si="182"/>
        <v>0</v>
      </c>
      <c r="NY55" s="186">
        <f t="shared" si="306"/>
        <v>0</v>
      </c>
      <c r="NZ55" s="186">
        <f t="shared" si="264"/>
        <v>0</v>
      </c>
      <c r="OA55" s="135" t="str">
        <f t="shared" si="184"/>
        <v>F</v>
      </c>
      <c r="OB55" s="151" t="str">
        <f>VLOOKUP(RANK(NZ55,$NZ$10:$NZ$109),Sheet1!$A$381:$B$480,2,FALSE)</f>
        <v>1st</v>
      </c>
      <c r="OC55" s="186"/>
      <c r="OD55" s="186"/>
      <c r="OE55" s="186">
        <f t="shared" si="185"/>
        <v>0</v>
      </c>
      <c r="OF55" s="186" t="str">
        <f t="shared" si="186"/>
        <v>0</v>
      </c>
      <c r="OG55" s="186" t="str">
        <f t="shared" si="187"/>
        <v>0</v>
      </c>
      <c r="OH55" s="186">
        <f t="shared" si="307"/>
        <v>0</v>
      </c>
      <c r="OI55" s="186">
        <f t="shared" si="236"/>
        <v>0</v>
      </c>
      <c r="OJ55" s="135" t="str">
        <f t="shared" si="188"/>
        <v>F</v>
      </c>
      <c r="OK55" s="151" t="str">
        <f>VLOOKUP(RANK(OI55,$OI$10:$OI$109),Sheet1!$A$381:$B$480,2,FALSE)</f>
        <v>1st</v>
      </c>
      <c r="OL55" s="151"/>
      <c r="OM55" s="151"/>
      <c r="ON55" s="151">
        <f t="shared" si="308"/>
        <v>0</v>
      </c>
      <c r="OO55" s="151" t="str">
        <f t="shared" si="309"/>
        <v>0</v>
      </c>
      <c r="OP55" s="151" t="str">
        <f t="shared" si="310"/>
        <v>0</v>
      </c>
      <c r="OQ55" s="151">
        <f t="shared" si="311"/>
        <v>0</v>
      </c>
      <c r="OR55" s="151">
        <f t="shared" si="312"/>
        <v>0</v>
      </c>
      <c r="OS55" s="135" t="str">
        <f t="shared" si="189"/>
        <v>F</v>
      </c>
      <c r="OT55" s="151" t="str">
        <f>VLOOKUP(RANK(OR55,$OI$10:$OI$109),Sheet1!$A$381:$B$480,2,FALSE)</f>
        <v>1st</v>
      </c>
      <c r="OU55" s="151">
        <f t="shared" si="313"/>
        <v>352</v>
      </c>
      <c r="OV55" s="151">
        <f t="shared" si="314"/>
        <v>20.705882352941199</v>
      </c>
      <c r="OW55" s="151" t="str">
        <f>VLOOKUP(RANK(OV55,$OV$10:$OV$109),Sheet1!$A$381:$B$480,2,FALSE)</f>
        <v>86th</v>
      </c>
      <c r="OX55" s="151"/>
      <c r="OY55" s="186"/>
      <c r="OZ55" s="186"/>
      <c r="PA55" s="186"/>
      <c r="PB55" s="186"/>
    </row>
    <row r="56" spans="1:418" s="118" customFormat="1" ht="18.75">
      <c r="A56" s="131">
        <v>47</v>
      </c>
      <c r="B56" s="132" t="s">
        <v>145</v>
      </c>
      <c r="C56" s="133" t="s">
        <v>97</v>
      </c>
      <c r="D56" s="134">
        <v>25</v>
      </c>
      <c r="E56" s="134">
        <v>40</v>
      </c>
      <c r="F56" s="137">
        <f t="shared" si="0"/>
        <v>65</v>
      </c>
      <c r="G56" s="137">
        <f t="shared" si="1"/>
        <v>65</v>
      </c>
      <c r="H56" s="135" t="str">
        <f t="shared" si="265"/>
        <v>B</v>
      </c>
      <c r="I56" s="135" t="str">
        <f>VLOOKUP(RANK(G56,$G$10:$G$109),Sheet1!$A$381:$B$480,2,FALSE)</f>
        <v>56th</v>
      </c>
      <c r="J56" s="134">
        <v>30</v>
      </c>
      <c r="K56" s="134">
        <v>15</v>
      </c>
      <c r="L56" s="137">
        <f t="shared" si="2"/>
        <v>45</v>
      </c>
      <c r="M56" s="137">
        <f t="shared" si="3"/>
        <v>45</v>
      </c>
      <c r="N56" s="135" t="str">
        <f t="shared" si="4"/>
        <v>D</v>
      </c>
      <c r="O56" s="141" t="str">
        <f>VLOOKUP(RANK(M56,$M$10:$M$109),Sheet1!$A$381:$B$480,2,FALSE)</f>
        <v>79th</v>
      </c>
      <c r="P56" s="144">
        <v>25</v>
      </c>
      <c r="Q56" s="144">
        <v>15</v>
      </c>
      <c r="R56" s="147">
        <f t="shared" si="5"/>
        <v>40</v>
      </c>
      <c r="S56" s="137">
        <f t="shared" si="6"/>
        <v>40</v>
      </c>
      <c r="T56" s="135" t="str">
        <f t="shared" si="7"/>
        <v>D</v>
      </c>
      <c r="U56" s="135" t="str">
        <f>VLOOKUP(RANK(S56,$S$10:$S$109),Sheet1!$A$381:$B$480,2,FALSE)</f>
        <v>57th</v>
      </c>
      <c r="V56" s="134">
        <v>28</v>
      </c>
      <c r="W56" s="134">
        <v>26</v>
      </c>
      <c r="X56" s="137">
        <f t="shared" si="191"/>
        <v>54</v>
      </c>
      <c r="Y56" s="137">
        <f t="shared" si="244"/>
        <v>54</v>
      </c>
      <c r="Z56" s="135" t="str">
        <f t="shared" si="8"/>
        <v>C</v>
      </c>
      <c r="AA56" s="135" t="str">
        <f>VLOOKUP(RANK(Y56,$Y$10:$Y$109),Sheet1!$A$381:$B$480,2,FALSE)</f>
        <v>48th</v>
      </c>
      <c r="AB56" s="134">
        <v>31</v>
      </c>
      <c r="AC56" s="134">
        <v>44</v>
      </c>
      <c r="AD56" s="137">
        <f t="shared" si="9"/>
        <v>75</v>
      </c>
      <c r="AE56" s="137">
        <f t="shared" si="10"/>
        <v>75</v>
      </c>
      <c r="AF56" s="135" t="str">
        <f t="shared" si="11"/>
        <v>A</v>
      </c>
      <c r="AG56" s="135" t="str">
        <f>VLOOKUP(RANK(AE56,$AE$10:$AE$109),Sheet1!$A$381:$B$480,2,FALSE)</f>
        <v>24th</v>
      </c>
      <c r="AH56" s="137"/>
      <c r="AI56" s="137"/>
      <c r="AJ56" s="137">
        <f t="shared" si="12"/>
        <v>0</v>
      </c>
      <c r="AK56" s="137">
        <f t="shared" si="13"/>
        <v>0</v>
      </c>
      <c r="AL56" s="135" t="str">
        <f t="shared" si="14"/>
        <v>F</v>
      </c>
      <c r="AM56" s="135" t="str">
        <f>VLOOKUP(RANK(AK56,$AK$10:$AK$109),Sheet1!$A$381:$B$480,2,FALSE)</f>
        <v>1st</v>
      </c>
      <c r="AN56" s="134"/>
      <c r="AO56" s="134"/>
      <c r="AP56" s="137">
        <f t="shared" si="15"/>
        <v>0</v>
      </c>
      <c r="AQ56" s="137">
        <f t="shared" si="16"/>
        <v>0</v>
      </c>
      <c r="AR56" s="135" t="str">
        <f t="shared" si="17"/>
        <v>F</v>
      </c>
      <c r="AS56" s="135" t="str">
        <f>VLOOKUP(RANK(AQ56,$AQ$10:$AQ$109),Sheet1!$A$381:$B$480,2,FALSE)</f>
        <v>1st</v>
      </c>
      <c r="AT56" s="142">
        <v>25</v>
      </c>
      <c r="AU56" s="145">
        <v>25</v>
      </c>
      <c r="AV56" s="137">
        <f t="shared" si="18"/>
        <v>50</v>
      </c>
      <c r="AW56" s="137">
        <f t="shared" si="19"/>
        <v>50</v>
      </c>
      <c r="AX56" s="135" t="str">
        <f t="shared" si="20"/>
        <v>C</v>
      </c>
      <c r="AY56" s="141" t="str">
        <f>VLOOKUP(RANK(AW56,$AW$10:$AW$109),Sheet1!$A$381:$B$480,2,FALSE)</f>
        <v>58th</v>
      </c>
      <c r="AZ56" s="144">
        <v>33</v>
      </c>
      <c r="BA56" s="144">
        <v>24</v>
      </c>
      <c r="BB56" s="147">
        <f t="shared" si="21"/>
        <v>57</v>
      </c>
      <c r="BC56" s="137">
        <f t="shared" si="22"/>
        <v>57</v>
      </c>
      <c r="BD56" s="135" t="str">
        <f t="shared" si="23"/>
        <v>C</v>
      </c>
      <c r="BE56" s="135" t="str">
        <f>VLOOKUP(RANK(BC56,$BC$10:$BC$109),Sheet1!$A$381:$B$480,2,FALSE)</f>
        <v>40th</v>
      </c>
      <c r="BF56" s="144">
        <v>12</v>
      </c>
      <c r="BG56" s="144">
        <v>20</v>
      </c>
      <c r="BH56" s="137">
        <f t="shared" si="24"/>
        <v>32</v>
      </c>
      <c r="BI56" s="137">
        <f t="shared" si="25"/>
        <v>32</v>
      </c>
      <c r="BJ56" s="135" t="str">
        <f t="shared" si="26"/>
        <v>F</v>
      </c>
      <c r="BK56" s="141" t="str">
        <f>VLOOKUP(RANK(BI56,$BI$10:$BI$109),Sheet1!$A$381:$B$480,2,FALSE)</f>
        <v>58th</v>
      </c>
      <c r="BL56" s="149">
        <v>26</v>
      </c>
      <c r="BM56" s="149">
        <v>31</v>
      </c>
      <c r="BN56" s="147">
        <f t="shared" si="27"/>
        <v>57</v>
      </c>
      <c r="BO56" s="137">
        <f t="shared" si="28"/>
        <v>57</v>
      </c>
      <c r="BP56" s="135" t="str">
        <f t="shared" si="29"/>
        <v>C</v>
      </c>
      <c r="BQ56" s="141" t="str">
        <f>VLOOKUP(RANK(BO56,$BO$10:$BO$109),Sheet1!$A$381:$B$480,2,FALSE)</f>
        <v>7th</v>
      </c>
      <c r="BR56" s="149">
        <v>29</v>
      </c>
      <c r="BS56" s="149">
        <v>23</v>
      </c>
      <c r="BT56" s="147">
        <f t="shared" si="30"/>
        <v>52</v>
      </c>
      <c r="BU56" s="137">
        <f t="shared" si="31"/>
        <v>52</v>
      </c>
      <c r="BV56" s="135" t="str">
        <f t="shared" si="32"/>
        <v>C</v>
      </c>
      <c r="BW56" s="135" t="str">
        <f>VLOOKUP(RANK(BU56,$BU$10:$BU$109),Sheet1!$A$381:$B$480,2,FALSE)</f>
        <v>40th</v>
      </c>
      <c r="BX56" s="149">
        <v>27</v>
      </c>
      <c r="BY56" s="149">
        <v>10</v>
      </c>
      <c r="BZ56" s="137">
        <f t="shared" si="33"/>
        <v>37</v>
      </c>
      <c r="CA56" s="137">
        <f t="shared" si="34"/>
        <v>37</v>
      </c>
      <c r="CB56" s="135" t="str">
        <f t="shared" si="35"/>
        <v>E</v>
      </c>
      <c r="CC56" s="135" t="str">
        <f>VLOOKUP(RANK(CA56,$CA$10:$CA$109),Sheet1!$A$381:$B$480,2,FALSE)</f>
        <v>70th</v>
      </c>
      <c r="CD56" s="149">
        <v>25</v>
      </c>
      <c r="CE56" s="149">
        <v>20</v>
      </c>
      <c r="CF56" s="137">
        <f t="shared" si="36"/>
        <v>45</v>
      </c>
      <c r="CG56" s="137">
        <f t="shared" si="37"/>
        <v>45</v>
      </c>
      <c r="CH56" s="135" t="str">
        <f t="shared" si="38"/>
        <v>D</v>
      </c>
      <c r="CI56" s="135" t="str">
        <f>VLOOKUP(RANK(CG56,$CG$10:$CG$109),Sheet1!$A$381:$B$480,2,FALSE)</f>
        <v>82nd</v>
      </c>
      <c r="CJ56" s="137"/>
      <c r="CK56" s="137"/>
      <c r="CL56" s="137">
        <f t="shared" si="39"/>
        <v>0</v>
      </c>
      <c r="CM56" s="137">
        <f t="shared" si="40"/>
        <v>0</v>
      </c>
      <c r="CN56" s="135" t="str">
        <f t="shared" si="41"/>
        <v>F</v>
      </c>
      <c r="CO56" s="135" t="str">
        <f>VLOOKUP(RANK(CM56,$CM$10:$CM$109),Sheet1!$A$381:$B$480,2,FALSE)</f>
        <v>1st</v>
      </c>
      <c r="CP56" s="137"/>
      <c r="CQ56" s="137"/>
      <c r="CR56" s="137">
        <f t="shared" si="42"/>
        <v>0</v>
      </c>
      <c r="CS56" s="137">
        <f t="shared" si="43"/>
        <v>0</v>
      </c>
      <c r="CT56" s="135" t="str">
        <f t="shared" si="44"/>
        <v>F</v>
      </c>
      <c r="CU56" s="135" t="str">
        <f>VLOOKUP(RANK(CS56,$CS$10:$CS$109),Sheet1!$A$381:$B$480,2,FALSE)</f>
        <v>1st</v>
      </c>
      <c r="CV56" s="151"/>
      <c r="CW56" s="135"/>
      <c r="CX56" s="151">
        <f t="shared" si="266"/>
        <v>0</v>
      </c>
      <c r="CY56" s="151">
        <f t="shared" si="267"/>
        <v>0</v>
      </c>
      <c r="CZ56" s="135" t="str">
        <f t="shared" si="45"/>
        <v>F</v>
      </c>
      <c r="DA56" s="135" t="str">
        <f>VLOOKUP(RANK(CY56,$CY$10:$CY$109),Sheet1!$A$381:$B$480,2,FALSE)</f>
        <v>1st</v>
      </c>
      <c r="DB56" s="135"/>
      <c r="DC56" s="151">
        <f t="shared" si="268"/>
        <v>609</v>
      </c>
      <c r="DD56" s="151">
        <f t="shared" si="269"/>
        <v>35.823529411764703</v>
      </c>
      <c r="DE56" s="135" t="str">
        <f>VLOOKUP(RANK(DD56,$DD$10:$DD$109),Sheet1!$A$381:$B$480,2,FALSE)</f>
        <v>52nd</v>
      </c>
      <c r="DF56" s="137"/>
      <c r="DG56" s="160">
        <f t="shared" si="46"/>
        <v>644.82352941176498</v>
      </c>
      <c r="DH56" s="119"/>
      <c r="DI56" s="162">
        <v>21</v>
      </c>
      <c r="DJ56" s="162">
        <v>32</v>
      </c>
      <c r="DK56" s="137">
        <f t="shared" si="47"/>
        <v>53</v>
      </c>
      <c r="DL56" s="137" t="str">
        <f t="shared" si="245"/>
        <v>65</v>
      </c>
      <c r="DM56" s="137">
        <f t="shared" si="49"/>
        <v>118</v>
      </c>
      <c r="DN56" s="137">
        <f t="shared" si="50"/>
        <v>59</v>
      </c>
      <c r="DO56" s="135" t="str">
        <f t="shared" si="51"/>
        <v>C</v>
      </c>
      <c r="DP56" s="135" t="str">
        <f>VLOOKUP(RANK(DN56,$DN$10:$DN$109),Sheet1!$A$381:$B$480,2,FALSE)</f>
        <v>76th</v>
      </c>
      <c r="DQ56" s="166">
        <v>29</v>
      </c>
      <c r="DR56" s="166">
        <v>15</v>
      </c>
      <c r="DS56" s="137">
        <f t="shared" si="52"/>
        <v>44</v>
      </c>
      <c r="DT56" s="137" t="str">
        <f t="shared" si="246"/>
        <v>45</v>
      </c>
      <c r="DU56" s="137">
        <f t="shared" si="54"/>
        <v>89</v>
      </c>
      <c r="DV56" s="137">
        <f t="shared" si="247"/>
        <v>44.5</v>
      </c>
      <c r="DW56" s="135" t="str">
        <f t="shared" si="56"/>
        <v>D</v>
      </c>
      <c r="DX56" s="135" t="str">
        <f>VLOOKUP(RANK(DV56,$DV$10:$DV$109),Sheet1!$A$381:$B$480,2,FALSE)</f>
        <v>72nd</v>
      </c>
      <c r="DY56" s="168">
        <v>30</v>
      </c>
      <c r="DZ56" s="168">
        <v>13</v>
      </c>
      <c r="EA56" s="137">
        <f t="shared" si="57"/>
        <v>43</v>
      </c>
      <c r="EB56" s="137" t="str">
        <f t="shared" si="248"/>
        <v>40</v>
      </c>
      <c r="EC56" s="137">
        <f t="shared" si="59"/>
        <v>83</v>
      </c>
      <c r="ED56" s="137">
        <f t="shared" si="60"/>
        <v>41.5</v>
      </c>
      <c r="EE56" s="135" t="str">
        <f t="shared" si="61"/>
        <v>D</v>
      </c>
      <c r="EF56" s="135" t="str">
        <f>VLOOKUP(RANK(ED56,$ED$10:$ED$109),Sheet1!$A$381:$B$480,2,FALSE)</f>
        <v>63rd</v>
      </c>
      <c r="EG56" s="162">
        <v>28</v>
      </c>
      <c r="EH56" s="162"/>
      <c r="EI56" s="137">
        <f t="shared" si="62"/>
        <v>28</v>
      </c>
      <c r="EJ56" s="137" t="str">
        <f t="shared" si="249"/>
        <v>54</v>
      </c>
      <c r="EK56" s="137">
        <f t="shared" si="64"/>
        <v>82</v>
      </c>
      <c r="EL56" s="137">
        <f t="shared" si="65"/>
        <v>41</v>
      </c>
      <c r="EM56" s="135" t="str">
        <f t="shared" si="66"/>
        <v>D</v>
      </c>
      <c r="EN56" s="135" t="str">
        <f>VLOOKUP(RANK(EL56,$EL$10:$EL$109),Sheet1!$A$381:$B$480,2,FALSE)</f>
        <v>82nd</v>
      </c>
      <c r="EO56" s="162">
        <v>23</v>
      </c>
      <c r="EP56" s="162">
        <v>22</v>
      </c>
      <c r="EQ56" s="137">
        <f t="shared" si="67"/>
        <v>45</v>
      </c>
      <c r="ER56" s="137" t="str">
        <f t="shared" si="250"/>
        <v>75</v>
      </c>
      <c r="ES56" s="137">
        <f t="shared" si="69"/>
        <v>120</v>
      </c>
      <c r="ET56" s="137">
        <f t="shared" si="70"/>
        <v>60</v>
      </c>
      <c r="EU56" s="135" t="str">
        <f t="shared" si="71"/>
        <v>B</v>
      </c>
      <c r="EV56" s="135" t="str">
        <f>VLOOKUP(RANK(ET56,$ET$10:$ET$109),Sheet1!$A$381:$B$480,2,FALSE)</f>
        <v>37th</v>
      </c>
      <c r="EW56" s="137"/>
      <c r="EX56" s="137"/>
      <c r="EY56" s="137">
        <f t="shared" si="72"/>
        <v>0</v>
      </c>
      <c r="EZ56" s="137" t="str">
        <f t="shared" si="251"/>
        <v>0</v>
      </c>
      <c r="FA56" s="137">
        <f t="shared" si="74"/>
        <v>0</v>
      </c>
      <c r="FB56" s="137">
        <f t="shared" si="75"/>
        <v>0</v>
      </c>
      <c r="FC56" s="135" t="str">
        <f t="shared" si="76"/>
        <v>F</v>
      </c>
      <c r="FD56" s="135" t="str">
        <f>VLOOKUP(RANK(FB56,$FB$10:$FB$109),Sheet1!$A$381:$B$480,2,FALSE)</f>
        <v>1st</v>
      </c>
      <c r="FE56" s="137"/>
      <c r="FF56" s="137"/>
      <c r="FG56" s="137">
        <f t="shared" si="77"/>
        <v>0</v>
      </c>
      <c r="FH56" s="137" t="str">
        <f t="shared" si="252"/>
        <v>0</v>
      </c>
      <c r="FI56" s="137">
        <f t="shared" si="79"/>
        <v>0</v>
      </c>
      <c r="FJ56" s="137">
        <f t="shared" si="80"/>
        <v>0</v>
      </c>
      <c r="FK56" s="135" t="str">
        <f t="shared" si="81"/>
        <v>F</v>
      </c>
      <c r="FL56" s="135" t="str">
        <f>VLOOKUP(RANK(FJ56,$FJ$10:$FJ$109),Sheet1!$A$381:$B$480,2,FALSE)</f>
        <v>1st</v>
      </c>
      <c r="FM56" s="164">
        <v>29</v>
      </c>
      <c r="FN56" s="165">
        <v>21</v>
      </c>
      <c r="FO56" s="137">
        <f t="shared" si="82"/>
        <v>50</v>
      </c>
      <c r="FP56" s="137" t="str">
        <f t="shared" si="253"/>
        <v>50</v>
      </c>
      <c r="FQ56" s="137">
        <f t="shared" si="84"/>
        <v>100</v>
      </c>
      <c r="FR56" s="137">
        <f t="shared" si="85"/>
        <v>50</v>
      </c>
      <c r="FS56" s="135" t="str">
        <f t="shared" si="86"/>
        <v>C</v>
      </c>
      <c r="FT56" s="135" t="str">
        <f>VLOOKUP(RANK(FR56,$FR$10:$FR$109),Sheet1!$A$381:$B$480,2,FALSE)</f>
        <v>77th</v>
      </c>
      <c r="FU56" s="149">
        <v>25</v>
      </c>
      <c r="FV56" s="149">
        <v>15</v>
      </c>
      <c r="FW56" s="137">
        <f t="shared" si="87"/>
        <v>40</v>
      </c>
      <c r="FX56" s="137" t="str">
        <f t="shared" si="254"/>
        <v>57</v>
      </c>
      <c r="FY56" s="137">
        <f t="shared" si="196"/>
        <v>40</v>
      </c>
      <c r="FZ56" s="137">
        <f t="shared" si="89"/>
        <v>20</v>
      </c>
      <c r="GA56" s="135" t="str">
        <f t="shared" si="90"/>
        <v>F</v>
      </c>
      <c r="GB56" s="135" t="str">
        <f>VLOOKUP(RANK(FZ56,$FZ$10:$FZ$109),Sheet1!$A$381:$B$480,2,FALSE)</f>
        <v>76th</v>
      </c>
      <c r="GC56" s="166">
        <v>6</v>
      </c>
      <c r="GD56" s="166">
        <v>20</v>
      </c>
      <c r="GE56" s="137">
        <f t="shared" si="91"/>
        <v>26</v>
      </c>
      <c r="GF56" s="137" t="str">
        <f t="shared" si="255"/>
        <v>32</v>
      </c>
      <c r="GG56" s="135">
        <f t="shared" si="270"/>
        <v>58</v>
      </c>
      <c r="GH56" s="137">
        <f t="shared" si="271"/>
        <v>29</v>
      </c>
      <c r="GI56" s="135" t="str">
        <f t="shared" si="93"/>
        <v>F</v>
      </c>
      <c r="GJ56" s="135" t="str">
        <f>VLOOKUP(RANK(GH56,$GH$10:$GH$109),Sheet1!$A$381:$B$480,2,FALSE)</f>
        <v>83rd</v>
      </c>
      <c r="GK56" s="166">
        <v>26</v>
      </c>
      <c r="GL56" s="166">
        <v>9</v>
      </c>
      <c r="GM56" s="137">
        <f t="shared" si="94"/>
        <v>35</v>
      </c>
      <c r="GN56" s="137" t="str">
        <f t="shared" si="256"/>
        <v>57</v>
      </c>
      <c r="GO56" s="135">
        <f t="shared" si="272"/>
        <v>92</v>
      </c>
      <c r="GP56" s="137">
        <f t="shared" si="96"/>
        <v>46</v>
      </c>
      <c r="GQ56" s="135" t="str">
        <f t="shared" si="97"/>
        <v>D</v>
      </c>
      <c r="GR56" s="135" t="str">
        <f>VLOOKUP(RANK(GP56,$GP$10:$GP$109),Sheet1!$A$381:$B$480,2,FALSE)</f>
        <v>82nd</v>
      </c>
      <c r="GS56" s="166">
        <v>14</v>
      </c>
      <c r="GT56" s="166">
        <v>25</v>
      </c>
      <c r="GU56" s="137">
        <f t="shared" si="98"/>
        <v>39</v>
      </c>
      <c r="GV56" s="137" t="str">
        <f t="shared" si="257"/>
        <v>52</v>
      </c>
      <c r="GW56" s="137">
        <f t="shared" si="100"/>
        <v>91</v>
      </c>
      <c r="GX56" s="137">
        <f t="shared" si="101"/>
        <v>45.5</v>
      </c>
      <c r="GY56" s="135" t="str">
        <f t="shared" si="102"/>
        <v>D</v>
      </c>
      <c r="GZ56" s="135" t="str">
        <f>VLOOKUP(RANK(GX56,$GX$10:$GX$109),Sheet1!$A$381:$B$480,2,FALSE)</f>
        <v>59th</v>
      </c>
      <c r="HA56" s="166">
        <v>29</v>
      </c>
      <c r="HB56" s="166">
        <v>11</v>
      </c>
      <c r="HC56" s="137">
        <f t="shared" si="103"/>
        <v>40</v>
      </c>
      <c r="HD56" s="137" t="str">
        <f t="shared" si="258"/>
        <v>37</v>
      </c>
      <c r="HE56" s="137">
        <f t="shared" si="105"/>
        <v>77</v>
      </c>
      <c r="HF56" s="137">
        <f t="shared" si="106"/>
        <v>38.5</v>
      </c>
      <c r="HG56" s="135" t="str">
        <f t="shared" si="107"/>
        <v>E</v>
      </c>
      <c r="HH56" s="135" t="str">
        <f>VLOOKUP(RANK(HF56,$HF$10:$HF$109),Sheet1!$A$381:$B$480,2,FALSE)</f>
        <v>74th</v>
      </c>
      <c r="HI56" s="149">
        <v>28</v>
      </c>
      <c r="HJ56" s="149">
        <v>37</v>
      </c>
      <c r="HK56" s="137">
        <f t="shared" si="108"/>
        <v>65</v>
      </c>
      <c r="HL56" s="137" t="str">
        <f t="shared" si="259"/>
        <v>45</v>
      </c>
      <c r="HM56" s="137">
        <f t="shared" si="110"/>
        <v>110</v>
      </c>
      <c r="HN56" s="137">
        <f t="shared" si="111"/>
        <v>55</v>
      </c>
      <c r="HO56" s="135" t="str">
        <f t="shared" si="112"/>
        <v>C</v>
      </c>
      <c r="HP56" s="135" t="str">
        <f>VLOOKUP(RANK(HN56,$HN$10:$HN$109),Sheet1!$A$381:$B$480,2,FALSE)</f>
        <v>87th</v>
      </c>
      <c r="HQ56" s="137"/>
      <c r="HR56" s="137"/>
      <c r="HS56" s="137">
        <f t="shared" si="113"/>
        <v>0</v>
      </c>
      <c r="HT56" s="137" t="str">
        <f t="shared" si="260"/>
        <v>0</v>
      </c>
      <c r="HU56" s="137">
        <f t="shared" si="115"/>
        <v>0</v>
      </c>
      <c r="HV56" s="137">
        <f t="shared" si="116"/>
        <v>0</v>
      </c>
      <c r="HW56" s="135" t="str">
        <f t="shared" si="117"/>
        <v>F</v>
      </c>
      <c r="HX56" s="135" t="str">
        <f>VLOOKUP(RANK(HV56,$HV$10:$HV$109),Sheet1!$A$381:$B$480,2,FALSE)</f>
        <v>1st</v>
      </c>
      <c r="HY56" s="137"/>
      <c r="HZ56" s="137"/>
      <c r="IA56" s="137">
        <f t="shared" si="261"/>
        <v>0</v>
      </c>
      <c r="IB56" s="137" t="str">
        <f t="shared" si="262"/>
        <v>0</v>
      </c>
      <c r="IC56" s="137">
        <f t="shared" si="120"/>
        <v>0</v>
      </c>
      <c r="ID56" s="137">
        <f t="shared" si="121"/>
        <v>0</v>
      </c>
      <c r="IE56" s="135" t="str">
        <f t="shared" si="122"/>
        <v>F</v>
      </c>
      <c r="IF56" s="135" t="str">
        <f>VLOOKUP(RANK(ID56,$ID$10:$ID$109),Sheet1!$A$381:$B$480,2,FALSE)</f>
        <v>1st</v>
      </c>
      <c r="IG56" s="135"/>
      <c r="IH56" s="135"/>
      <c r="II56" s="135">
        <f t="shared" si="273"/>
        <v>0</v>
      </c>
      <c r="IJ56" s="135" t="str">
        <f t="shared" si="274"/>
        <v>0</v>
      </c>
      <c r="IK56" s="135">
        <f t="shared" si="275"/>
        <v>0</v>
      </c>
      <c r="IL56" s="135">
        <f t="shared" si="276"/>
        <v>0</v>
      </c>
      <c r="IM56" s="135" t="str">
        <f t="shared" si="123"/>
        <v>F</v>
      </c>
      <c r="IN56" s="135" t="str">
        <f>VLOOKUP(RANK(IL56,$IL$10:$IL$109),Sheet1!$A$381:$B$480,2,FALSE)</f>
        <v>1st</v>
      </c>
      <c r="IO56" s="135">
        <f t="shared" si="277"/>
        <v>530</v>
      </c>
      <c r="IP56" s="177">
        <f t="shared" si="278"/>
        <v>31.176470588235301</v>
      </c>
      <c r="IQ56" s="135" t="str">
        <f>VLOOKUP(RANK(IP56,$IP$10:$IP$109),Sheet1!$A$381:$B$480,2,FALSE)</f>
        <v>75th</v>
      </c>
      <c r="IR56" s="178"/>
      <c r="IS56" s="137"/>
      <c r="IT56" s="137"/>
      <c r="IU56" s="137"/>
      <c r="IV56" s="137"/>
      <c r="IW56" s="181"/>
      <c r="IX56" s="184"/>
      <c r="IY56" s="186"/>
      <c r="IZ56" s="186">
        <f t="shared" si="206"/>
        <v>0</v>
      </c>
      <c r="JA56" s="186" t="str">
        <f t="shared" si="124"/>
        <v>65</v>
      </c>
      <c r="JB56" s="186" t="str">
        <f t="shared" si="125"/>
        <v>53</v>
      </c>
      <c r="JC56" s="186">
        <f t="shared" si="279"/>
        <v>118</v>
      </c>
      <c r="JD56" s="186">
        <f t="shared" si="280"/>
        <v>39.3333333333333</v>
      </c>
      <c r="JE56" s="135" t="str">
        <f t="shared" si="126"/>
        <v>E</v>
      </c>
      <c r="JF56" s="151" t="str">
        <f>VLOOKUP(RANK(JD56,$JD$10:$JD$109),Sheet1!$A$381:$B$480,2,FALSE)</f>
        <v>76th</v>
      </c>
      <c r="JG56" s="186"/>
      <c r="JH56" s="186"/>
      <c r="JI56" s="186">
        <f t="shared" si="127"/>
        <v>0</v>
      </c>
      <c r="JJ56" s="186" t="str">
        <f t="shared" si="128"/>
        <v>45</v>
      </c>
      <c r="JK56" s="186" t="str">
        <f t="shared" si="129"/>
        <v>44</v>
      </c>
      <c r="JL56" s="186">
        <f t="shared" si="281"/>
        <v>89</v>
      </c>
      <c r="JM56" s="186">
        <f t="shared" si="282"/>
        <v>29.6666666666667</v>
      </c>
      <c r="JN56" s="135" t="str">
        <f t="shared" si="130"/>
        <v>F</v>
      </c>
      <c r="JO56" s="151" t="str">
        <f>VLOOKUP(RANK(JM56,$JM$10:$JM$109),Sheet1!$A$381:$B$480,2,FALSE)</f>
        <v>72nd</v>
      </c>
      <c r="JP56" s="186"/>
      <c r="JQ56" s="186"/>
      <c r="JR56" s="186">
        <f t="shared" si="131"/>
        <v>0</v>
      </c>
      <c r="JS56" s="186" t="str">
        <f t="shared" si="132"/>
        <v>40</v>
      </c>
      <c r="JT56" s="186" t="str">
        <f t="shared" si="133"/>
        <v>43</v>
      </c>
      <c r="JU56" s="186">
        <f t="shared" si="283"/>
        <v>83</v>
      </c>
      <c r="JV56" s="186">
        <f t="shared" si="284"/>
        <v>27.6666666666667</v>
      </c>
      <c r="JW56" s="135" t="str">
        <f t="shared" si="134"/>
        <v>F</v>
      </c>
      <c r="JX56" s="151" t="str">
        <f>VLOOKUP(RANK(JV56,$JV$10:$JV$109),Sheet1!$A$381:$B$480,2,FALSE)</f>
        <v>63rd</v>
      </c>
      <c r="JY56" s="186"/>
      <c r="JZ56" s="186"/>
      <c r="KA56" s="186">
        <f t="shared" si="135"/>
        <v>0</v>
      </c>
      <c r="KB56" s="186" t="str">
        <f t="shared" si="136"/>
        <v>54</v>
      </c>
      <c r="KC56" s="186" t="str">
        <f t="shared" si="137"/>
        <v>28</v>
      </c>
      <c r="KD56" s="186">
        <f t="shared" si="285"/>
        <v>82</v>
      </c>
      <c r="KE56" s="186">
        <f t="shared" si="286"/>
        <v>27.3333333333333</v>
      </c>
      <c r="KF56" s="135" t="str">
        <f t="shared" si="138"/>
        <v>F</v>
      </c>
      <c r="KG56" s="151" t="str">
        <f>VLOOKUP(RANK(KE56,$KE$10:$KE$109),Sheet1!$A$381:$B$480,2,FALSE)</f>
        <v>82nd</v>
      </c>
      <c r="KH56" s="186"/>
      <c r="KI56" s="186"/>
      <c r="KJ56" s="186">
        <f t="shared" si="139"/>
        <v>0</v>
      </c>
      <c r="KK56" s="186" t="str">
        <f t="shared" si="140"/>
        <v>75</v>
      </c>
      <c r="KL56" s="186" t="str">
        <f t="shared" si="141"/>
        <v>45</v>
      </c>
      <c r="KM56" s="186">
        <f t="shared" si="287"/>
        <v>120</v>
      </c>
      <c r="KN56" s="186">
        <f t="shared" si="288"/>
        <v>40</v>
      </c>
      <c r="KO56" s="135" t="str">
        <f t="shared" si="142"/>
        <v>D</v>
      </c>
      <c r="KP56" s="151" t="str">
        <f>VLOOKUP(RANK(KN56,$KN$10:$KN$109),Sheet1!$A$381:$B$480,2,FALSE)</f>
        <v>37th</v>
      </c>
      <c r="KQ56" s="186"/>
      <c r="KR56" s="186"/>
      <c r="KS56" s="186">
        <f t="shared" si="143"/>
        <v>0</v>
      </c>
      <c r="KT56" s="186" t="str">
        <f t="shared" si="144"/>
        <v>0</v>
      </c>
      <c r="KU56" s="186" t="str">
        <f t="shared" si="145"/>
        <v>0</v>
      </c>
      <c r="KV56" s="186">
        <f t="shared" si="289"/>
        <v>0</v>
      </c>
      <c r="KW56" s="186">
        <f t="shared" si="290"/>
        <v>0</v>
      </c>
      <c r="KX56" s="135" t="str">
        <f t="shared" si="146"/>
        <v>F</v>
      </c>
      <c r="KY56" s="151" t="str">
        <f>VLOOKUP(RANK(KW56,$KW$10:$KW$109),Sheet1!$A$381:$B$480,2,FALSE)</f>
        <v>1st</v>
      </c>
      <c r="KZ56" s="186"/>
      <c r="LA56" s="186"/>
      <c r="LB56" s="186">
        <f t="shared" si="147"/>
        <v>0</v>
      </c>
      <c r="LC56" s="186" t="str">
        <f t="shared" si="148"/>
        <v>0</v>
      </c>
      <c r="LD56" s="186" t="str">
        <f t="shared" si="149"/>
        <v>0</v>
      </c>
      <c r="LE56" s="186">
        <f t="shared" si="291"/>
        <v>0</v>
      </c>
      <c r="LF56" s="186">
        <f t="shared" si="292"/>
        <v>0</v>
      </c>
      <c r="LG56" s="135" t="str">
        <f t="shared" si="150"/>
        <v>F</v>
      </c>
      <c r="LH56" s="151" t="str">
        <f>VLOOKUP(RANK(LF56,$LF$10:$LF$109),Sheet1!$A$381:$B$480,2,FALSE)</f>
        <v>1st</v>
      </c>
      <c r="LI56" s="186"/>
      <c r="LJ56" s="186"/>
      <c r="LK56" s="186">
        <f t="shared" si="151"/>
        <v>0</v>
      </c>
      <c r="LL56" s="186" t="str">
        <f t="shared" si="152"/>
        <v>50</v>
      </c>
      <c r="LM56" s="186" t="str">
        <f t="shared" si="153"/>
        <v>50</v>
      </c>
      <c r="LN56" s="186">
        <f t="shared" si="293"/>
        <v>100</v>
      </c>
      <c r="LO56" s="186">
        <f t="shared" si="294"/>
        <v>33.3333333333333</v>
      </c>
      <c r="LP56" s="135" t="str">
        <f t="shared" si="154"/>
        <v>F</v>
      </c>
      <c r="LQ56" s="151" t="str">
        <f>VLOOKUP(RANK(LO56,$LO$10:$LO$109),Sheet1!$A$381:$B$480,2,FALSE)</f>
        <v>77th</v>
      </c>
      <c r="LR56" s="186"/>
      <c r="LS56" s="186"/>
      <c r="LT56" s="186">
        <f t="shared" si="155"/>
        <v>0</v>
      </c>
      <c r="LU56" s="186" t="str">
        <f t="shared" si="156"/>
        <v>57</v>
      </c>
      <c r="LV56" s="186" t="str">
        <f t="shared" si="157"/>
        <v>40</v>
      </c>
      <c r="LW56" s="186">
        <f t="shared" si="295"/>
        <v>97</v>
      </c>
      <c r="LX56" s="186">
        <f t="shared" si="296"/>
        <v>32.3333333333333</v>
      </c>
      <c r="LY56" s="135" t="str">
        <f t="shared" si="158"/>
        <v>F</v>
      </c>
      <c r="LZ56" s="151" t="str">
        <f>VLOOKUP(RANK(LX56,$LX$10:$LX$109),Sheet1!$A$381:$B$480,2,FALSE)</f>
        <v>64th</v>
      </c>
      <c r="MA56" s="186"/>
      <c r="MB56" s="186"/>
      <c r="MC56" s="186">
        <f t="shared" si="159"/>
        <v>0</v>
      </c>
      <c r="MD56" s="186" t="str">
        <f t="shared" si="160"/>
        <v>32</v>
      </c>
      <c r="ME56" s="186" t="str">
        <f t="shared" si="161"/>
        <v>26</v>
      </c>
      <c r="MF56" s="183">
        <f t="shared" si="297"/>
        <v>58</v>
      </c>
      <c r="MG56" s="151">
        <f t="shared" si="298"/>
        <v>19.3333333333333</v>
      </c>
      <c r="MH56" s="135" t="str">
        <f t="shared" si="162"/>
        <v>F</v>
      </c>
      <c r="MI56" s="151" t="str">
        <f>VLOOKUP(RANK(MG56,$MG$10:$MG$109),Sheet1!$A$381:$B$480,2,FALSE)</f>
        <v>83rd</v>
      </c>
      <c r="MJ56" s="186"/>
      <c r="MK56" s="186"/>
      <c r="ML56" s="186">
        <f t="shared" si="163"/>
        <v>0</v>
      </c>
      <c r="MM56" s="186" t="str">
        <f t="shared" si="164"/>
        <v>57</v>
      </c>
      <c r="MN56" s="186" t="str">
        <f t="shared" si="165"/>
        <v>35</v>
      </c>
      <c r="MO56" s="186">
        <f t="shared" si="299"/>
        <v>92</v>
      </c>
      <c r="MP56" s="186">
        <f t="shared" si="300"/>
        <v>30.6666666666667</v>
      </c>
      <c r="MQ56" s="135" t="str">
        <f t="shared" si="166"/>
        <v>F</v>
      </c>
      <c r="MR56" s="151" t="str">
        <f>VLOOKUP(RANK(MP56,$MP$10:$MP$109),Sheet1!$A$381:$B$480,2,FALSE)</f>
        <v>82nd</v>
      </c>
      <c r="MS56" s="186"/>
      <c r="MT56" s="186"/>
      <c r="MU56" s="186">
        <f t="shared" si="167"/>
        <v>0</v>
      </c>
      <c r="MV56" s="186" t="str">
        <f t="shared" si="168"/>
        <v>52</v>
      </c>
      <c r="MW56" s="186" t="str">
        <f t="shared" si="169"/>
        <v>39</v>
      </c>
      <c r="MX56" s="186">
        <f t="shared" si="301"/>
        <v>91</v>
      </c>
      <c r="MY56" s="186">
        <f t="shared" si="302"/>
        <v>30.3333333333333</v>
      </c>
      <c r="MZ56" s="135" t="str">
        <f t="shared" si="170"/>
        <v>F</v>
      </c>
      <c r="NA56" s="151" t="str">
        <f>VLOOKUP(RANK(MY56,$MY$10:$MY$109),Sheet1!$A$381:$B$480,2,FALSE)</f>
        <v>59th</v>
      </c>
      <c r="NB56" s="186"/>
      <c r="NC56" s="186"/>
      <c r="ND56" s="186">
        <f t="shared" si="171"/>
        <v>0</v>
      </c>
      <c r="NE56" s="186" t="str">
        <f t="shared" si="172"/>
        <v>37</v>
      </c>
      <c r="NF56" s="186" t="str">
        <f t="shared" si="173"/>
        <v>40</v>
      </c>
      <c r="NG56" s="186">
        <f t="shared" si="303"/>
        <v>77</v>
      </c>
      <c r="NH56" s="186">
        <f t="shared" si="304"/>
        <v>25.6666666666667</v>
      </c>
      <c r="NI56" s="135" t="str">
        <f t="shared" si="174"/>
        <v>F</v>
      </c>
      <c r="NJ56" s="151" t="str">
        <f>VLOOKUP(RANK(NH56,$NH$10:$NH$109),Sheet1!$A$381:$B$480,2,FALSE)</f>
        <v>74th</v>
      </c>
      <c r="NK56" s="186"/>
      <c r="NL56" s="186"/>
      <c r="NM56" s="186">
        <f t="shared" si="175"/>
        <v>0</v>
      </c>
      <c r="NN56" s="186" t="str">
        <f t="shared" si="176"/>
        <v>45</v>
      </c>
      <c r="NO56" s="186" t="str">
        <f t="shared" si="177"/>
        <v>65</v>
      </c>
      <c r="NP56" s="186">
        <f t="shared" si="305"/>
        <v>110</v>
      </c>
      <c r="NQ56" s="186">
        <f t="shared" si="263"/>
        <v>36.6666666666667</v>
      </c>
      <c r="NR56" s="135" t="str">
        <f t="shared" si="179"/>
        <v>E</v>
      </c>
      <c r="NS56" s="151" t="str">
        <f>VLOOKUP(RANK(NQ56,$NQ$10:$NQ$109),Sheet1!$A$381:$B$480,2,FALSE)</f>
        <v>87th</v>
      </c>
      <c r="NT56" s="186"/>
      <c r="NU56" s="186"/>
      <c r="NV56" s="186">
        <f t="shared" si="180"/>
        <v>0</v>
      </c>
      <c r="NW56" s="186" t="str">
        <f t="shared" si="181"/>
        <v>0</v>
      </c>
      <c r="NX56" s="186" t="str">
        <f t="shared" si="182"/>
        <v>0</v>
      </c>
      <c r="NY56" s="186">
        <f t="shared" si="306"/>
        <v>0</v>
      </c>
      <c r="NZ56" s="186">
        <f t="shared" si="264"/>
        <v>0</v>
      </c>
      <c r="OA56" s="135" t="str">
        <f t="shared" si="184"/>
        <v>F</v>
      </c>
      <c r="OB56" s="151" t="str">
        <f>VLOOKUP(RANK(NZ56,$NZ$10:$NZ$109),Sheet1!$A$381:$B$480,2,FALSE)</f>
        <v>1st</v>
      </c>
      <c r="OC56" s="186"/>
      <c r="OD56" s="186"/>
      <c r="OE56" s="186">
        <f t="shared" si="185"/>
        <v>0</v>
      </c>
      <c r="OF56" s="186" t="str">
        <f t="shared" si="186"/>
        <v>0</v>
      </c>
      <c r="OG56" s="186" t="str">
        <f t="shared" si="187"/>
        <v>0</v>
      </c>
      <c r="OH56" s="186">
        <f t="shared" si="307"/>
        <v>0</v>
      </c>
      <c r="OI56" s="186">
        <f t="shared" si="236"/>
        <v>0</v>
      </c>
      <c r="OJ56" s="135" t="str">
        <f t="shared" si="188"/>
        <v>F</v>
      </c>
      <c r="OK56" s="151" t="str">
        <f>VLOOKUP(RANK(OI56,$OI$10:$OI$109),Sheet1!$A$381:$B$480,2,FALSE)</f>
        <v>1st</v>
      </c>
      <c r="OL56" s="151"/>
      <c r="OM56" s="151"/>
      <c r="ON56" s="151">
        <f t="shared" si="308"/>
        <v>0</v>
      </c>
      <c r="OO56" s="151" t="str">
        <f t="shared" si="309"/>
        <v>0</v>
      </c>
      <c r="OP56" s="151" t="str">
        <f t="shared" si="310"/>
        <v>0</v>
      </c>
      <c r="OQ56" s="151">
        <f t="shared" si="311"/>
        <v>0</v>
      </c>
      <c r="OR56" s="151">
        <f t="shared" si="312"/>
        <v>0</v>
      </c>
      <c r="OS56" s="135" t="str">
        <f t="shared" si="189"/>
        <v>F</v>
      </c>
      <c r="OT56" s="151" t="str">
        <f>VLOOKUP(RANK(OR56,$OI$10:$OI$109),Sheet1!$A$381:$B$480,2,FALSE)</f>
        <v>1st</v>
      </c>
      <c r="OU56" s="151">
        <f t="shared" si="313"/>
        <v>372.33333333333297</v>
      </c>
      <c r="OV56" s="151">
        <f t="shared" si="314"/>
        <v>21.901960784313701</v>
      </c>
      <c r="OW56" s="151" t="str">
        <f>VLOOKUP(RANK(OV56,$OV$10:$OV$109),Sheet1!$A$381:$B$480,2,FALSE)</f>
        <v>71st</v>
      </c>
      <c r="OX56" s="151"/>
      <c r="OY56" s="186"/>
      <c r="OZ56" s="186"/>
      <c r="PA56" s="186"/>
      <c r="PB56" s="186"/>
    </row>
    <row r="57" spans="1:418" s="118" customFormat="1" ht="18.75">
      <c r="A57" s="131">
        <v>48</v>
      </c>
      <c r="B57" s="132" t="s">
        <v>146</v>
      </c>
      <c r="C57" s="133" t="s">
        <v>97</v>
      </c>
      <c r="D57" s="134">
        <v>22</v>
      </c>
      <c r="E57" s="134">
        <v>43</v>
      </c>
      <c r="F57" s="137">
        <f t="shared" si="0"/>
        <v>65</v>
      </c>
      <c r="G57" s="137">
        <f t="shared" si="1"/>
        <v>65</v>
      </c>
      <c r="H57" s="135" t="str">
        <f t="shared" si="265"/>
        <v>B</v>
      </c>
      <c r="I57" s="135" t="str">
        <f>VLOOKUP(RANK(G57,$G$10:$G$109),Sheet1!$A$381:$B$480,2,FALSE)</f>
        <v>56th</v>
      </c>
      <c r="J57" s="134">
        <v>28</v>
      </c>
      <c r="K57" s="134">
        <v>11</v>
      </c>
      <c r="L57" s="137">
        <f t="shared" si="2"/>
        <v>39</v>
      </c>
      <c r="M57" s="137">
        <f t="shared" si="3"/>
        <v>39</v>
      </c>
      <c r="N57" s="135" t="str">
        <f t="shared" si="4"/>
        <v>E</v>
      </c>
      <c r="O57" s="141" t="str">
        <f>VLOOKUP(RANK(M57,$M$10:$M$109),Sheet1!$A$381:$B$480,2,FALSE)</f>
        <v>90th</v>
      </c>
      <c r="P57" s="144">
        <v>25</v>
      </c>
      <c r="Q57" s="144">
        <v>5</v>
      </c>
      <c r="R57" s="147">
        <f t="shared" si="5"/>
        <v>30</v>
      </c>
      <c r="S57" s="137">
        <f t="shared" si="6"/>
        <v>30</v>
      </c>
      <c r="T57" s="135" t="str">
        <f t="shared" si="7"/>
        <v>F</v>
      </c>
      <c r="U57" s="135" t="str">
        <f>VLOOKUP(RANK(S57,$S$10:$S$109),Sheet1!$A$381:$B$480,2,FALSE)</f>
        <v>80th</v>
      </c>
      <c r="V57" s="134">
        <v>30</v>
      </c>
      <c r="W57" s="134">
        <v>12</v>
      </c>
      <c r="X57" s="137">
        <f t="shared" si="191"/>
        <v>42</v>
      </c>
      <c r="Y57" s="137">
        <f t="shared" si="244"/>
        <v>42</v>
      </c>
      <c r="Z57" s="135" t="str">
        <f t="shared" si="8"/>
        <v>D</v>
      </c>
      <c r="AA57" s="135" t="str">
        <f>VLOOKUP(RANK(Y57,$Y$10:$Y$109),Sheet1!$A$381:$B$480,2,FALSE)</f>
        <v>86th</v>
      </c>
      <c r="AB57" s="134">
        <v>30</v>
      </c>
      <c r="AC57" s="134">
        <v>20</v>
      </c>
      <c r="AD57" s="137">
        <f t="shared" si="9"/>
        <v>50</v>
      </c>
      <c r="AE57" s="137">
        <f t="shared" si="10"/>
        <v>50</v>
      </c>
      <c r="AF57" s="135" t="str">
        <f t="shared" si="11"/>
        <v>C</v>
      </c>
      <c r="AG57" s="135" t="str">
        <f>VLOOKUP(RANK(AE57,$AE$10:$AE$109),Sheet1!$A$381:$B$480,2,FALSE)</f>
        <v>68th</v>
      </c>
      <c r="AH57" s="137"/>
      <c r="AI57" s="137"/>
      <c r="AJ57" s="137">
        <f t="shared" si="12"/>
        <v>0</v>
      </c>
      <c r="AK57" s="137">
        <f t="shared" si="13"/>
        <v>0</v>
      </c>
      <c r="AL57" s="135" t="str">
        <f t="shared" si="14"/>
        <v>F</v>
      </c>
      <c r="AM57" s="135" t="str">
        <f>VLOOKUP(RANK(AK57,$AK$10:$AK$109),Sheet1!$A$381:$B$480,2,FALSE)</f>
        <v>1st</v>
      </c>
      <c r="AN57" s="134"/>
      <c r="AO57" s="134"/>
      <c r="AP57" s="137">
        <f t="shared" si="15"/>
        <v>0</v>
      </c>
      <c r="AQ57" s="137">
        <f t="shared" si="16"/>
        <v>0</v>
      </c>
      <c r="AR57" s="135" t="str">
        <f t="shared" si="17"/>
        <v>F</v>
      </c>
      <c r="AS57" s="135" t="str">
        <f>VLOOKUP(RANK(AQ57,$AQ$10:$AQ$109),Sheet1!$A$381:$B$480,2,FALSE)</f>
        <v>1st</v>
      </c>
      <c r="AT57" s="144">
        <v>24</v>
      </c>
      <c r="AU57" s="144">
        <v>27</v>
      </c>
      <c r="AV57" s="137">
        <f t="shared" si="18"/>
        <v>51</v>
      </c>
      <c r="AW57" s="137">
        <f t="shared" si="19"/>
        <v>51</v>
      </c>
      <c r="AX57" s="135" t="str">
        <f t="shared" si="20"/>
        <v>C</v>
      </c>
      <c r="AY57" s="141" t="str">
        <f>VLOOKUP(RANK(AW57,$AW$10:$AW$109),Sheet1!$A$381:$B$480,2,FALSE)</f>
        <v>45th</v>
      </c>
      <c r="AZ57" s="144">
        <v>30</v>
      </c>
      <c r="BA57" s="144">
        <v>10</v>
      </c>
      <c r="BB57" s="147">
        <f t="shared" si="21"/>
        <v>40</v>
      </c>
      <c r="BC57" s="137">
        <f t="shared" si="22"/>
        <v>40</v>
      </c>
      <c r="BD57" s="135" t="str">
        <f t="shared" si="23"/>
        <v>D</v>
      </c>
      <c r="BE57" s="135" t="str">
        <f>VLOOKUP(RANK(BC57,$BC$10:$BC$109),Sheet1!$A$381:$B$480,2,FALSE)</f>
        <v>85th</v>
      </c>
      <c r="BF57" s="144">
        <v>12</v>
      </c>
      <c r="BG57" s="144">
        <v>13</v>
      </c>
      <c r="BH57" s="137">
        <f t="shared" si="24"/>
        <v>25</v>
      </c>
      <c r="BI57" s="137">
        <f t="shared" si="25"/>
        <v>25</v>
      </c>
      <c r="BJ57" s="135" t="str">
        <f t="shared" si="26"/>
        <v>F</v>
      </c>
      <c r="BK57" s="141" t="str">
        <f>VLOOKUP(RANK(BI57,$BI$10:$BI$109),Sheet1!$A$381:$B$480,2,FALSE)</f>
        <v>78th</v>
      </c>
      <c r="BL57" s="149">
        <v>28</v>
      </c>
      <c r="BM57" s="149">
        <v>25</v>
      </c>
      <c r="BN57" s="147">
        <f t="shared" si="27"/>
        <v>53</v>
      </c>
      <c r="BO57" s="137">
        <f t="shared" si="28"/>
        <v>53</v>
      </c>
      <c r="BP57" s="135" t="str">
        <f t="shared" si="29"/>
        <v>C</v>
      </c>
      <c r="BQ57" s="141" t="str">
        <f>VLOOKUP(RANK(BO57,$BO$10:$BO$109),Sheet1!$A$381:$B$480,2,FALSE)</f>
        <v>36th</v>
      </c>
      <c r="BR57" s="149">
        <v>30</v>
      </c>
      <c r="BS57" s="149">
        <v>13</v>
      </c>
      <c r="BT57" s="147">
        <f t="shared" si="30"/>
        <v>43</v>
      </c>
      <c r="BU57" s="137">
        <f t="shared" si="31"/>
        <v>43</v>
      </c>
      <c r="BV57" s="135" t="str">
        <f t="shared" si="32"/>
        <v>D</v>
      </c>
      <c r="BW57" s="135" t="str">
        <f>VLOOKUP(RANK(BU57,$BU$10:$BU$109),Sheet1!$A$381:$B$480,2,FALSE)</f>
        <v>51st</v>
      </c>
      <c r="BX57" s="149">
        <v>30</v>
      </c>
      <c r="BY57" s="149">
        <v>10</v>
      </c>
      <c r="BZ57" s="137">
        <f t="shared" si="33"/>
        <v>40</v>
      </c>
      <c r="CA57" s="137">
        <f t="shared" si="34"/>
        <v>40</v>
      </c>
      <c r="CB57" s="135" t="str">
        <f t="shared" si="35"/>
        <v>D</v>
      </c>
      <c r="CC57" s="135" t="str">
        <f>VLOOKUP(RANK(CA57,$CA$10:$CA$109),Sheet1!$A$381:$B$480,2,FALSE)</f>
        <v>43rd</v>
      </c>
      <c r="CD57" s="149">
        <v>20</v>
      </c>
      <c r="CE57" s="149">
        <v>20</v>
      </c>
      <c r="CF57" s="137">
        <f t="shared" si="36"/>
        <v>40</v>
      </c>
      <c r="CG57" s="137">
        <f t="shared" si="37"/>
        <v>40</v>
      </c>
      <c r="CH57" s="135" t="str">
        <f t="shared" si="38"/>
        <v>D</v>
      </c>
      <c r="CI57" s="135" t="str">
        <f>VLOOKUP(RANK(CG57,$CG$10:$CG$109),Sheet1!$A$381:$B$480,2,FALSE)</f>
        <v>94th</v>
      </c>
      <c r="CJ57" s="137"/>
      <c r="CK57" s="137"/>
      <c r="CL57" s="137">
        <f t="shared" si="39"/>
        <v>0</v>
      </c>
      <c r="CM57" s="137">
        <f t="shared" si="40"/>
        <v>0</v>
      </c>
      <c r="CN57" s="135" t="str">
        <f t="shared" si="41"/>
        <v>F</v>
      </c>
      <c r="CO57" s="135" t="str">
        <f>VLOOKUP(RANK(CM57,$CM$10:$CM$109),Sheet1!$A$381:$B$480,2,FALSE)</f>
        <v>1st</v>
      </c>
      <c r="CP57" s="137"/>
      <c r="CQ57" s="137"/>
      <c r="CR57" s="137">
        <f t="shared" si="42"/>
        <v>0</v>
      </c>
      <c r="CS57" s="137">
        <f t="shared" si="43"/>
        <v>0</v>
      </c>
      <c r="CT57" s="135" t="str">
        <f t="shared" si="44"/>
        <v>F</v>
      </c>
      <c r="CU57" s="135" t="str">
        <f>VLOOKUP(RANK(CS57,$CS$10:$CS$109),Sheet1!$A$381:$B$480,2,FALSE)</f>
        <v>1st</v>
      </c>
      <c r="CV57" s="151"/>
      <c r="CW57" s="135"/>
      <c r="CX57" s="151">
        <f t="shared" si="266"/>
        <v>0</v>
      </c>
      <c r="CY57" s="151">
        <f t="shared" si="267"/>
        <v>0</v>
      </c>
      <c r="CZ57" s="135" t="str">
        <f t="shared" si="45"/>
        <v>F</v>
      </c>
      <c r="DA57" s="135" t="str">
        <f>VLOOKUP(RANK(CY57,$CY$10:$CY$109),Sheet1!$A$381:$B$480,2,FALSE)</f>
        <v>1st</v>
      </c>
      <c r="DB57" s="135"/>
      <c r="DC57" s="151">
        <f t="shared" si="268"/>
        <v>518</v>
      </c>
      <c r="DD57" s="151">
        <f t="shared" si="269"/>
        <v>30.470588235294102</v>
      </c>
      <c r="DE57" s="135" t="str">
        <f>VLOOKUP(RANK(DD57,$DD$10:$DD$109),Sheet1!$A$381:$B$480,2,FALSE)</f>
        <v>91st</v>
      </c>
      <c r="DF57" s="137"/>
      <c r="DG57" s="160">
        <f t="shared" si="46"/>
        <v>548.47058823529403</v>
      </c>
      <c r="DH57" s="119"/>
      <c r="DI57" s="162" t="s">
        <v>105</v>
      </c>
      <c r="DJ57" s="162" t="s">
        <v>105</v>
      </c>
      <c r="DK57" s="137">
        <f t="shared" si="47"/>
        <v>0</v>
      </c>
      <c r="DL57" s="137" t="str">
        <f t="shared" si="245"/>
        <v>65</v>
      </c>
      <c r="DM57" s="137">
        <f t="shared" si="49"/>
        <v>65</v>
      </c>
      <c r="DN57" s="137">
        <f t="shared" si="50"/>
        <v>32.5</v>
      </c>
      <c r="DO57" s="135" t="str">
        <f t="shared" si="51"/>
        <v>F</v>
      </c>
      <c r="DP57" s="135" t="str">
        <f>VLOOKUP(RANK(DN57,$DN$10:$DN$109),Sheet1!$A$381:$B$480,2,FALSE)</f>
        <v>97th</v>
      </c>
      <c r="DQ57" s="166">
        <v>27</v>
      </c>
      <c r="DR57" s="166">
        <v>0</v>
      </c>
      <c r="DS57" s="137">
        <f t="shared" si="52"/>
        <v>27</v>
      </c>
      <c r="DT57" s="137" t="str">
        <f t="shared" si="246"/>
        <v>39</v>
      </c>
      <c r="DU57" s="137">
        <f t="shared" si="54"/>
        <v>66</v>
      </c>
      <c r="DV57" s="137">
        <f t="shared" si="247"/>
        <v>33</v>
      </c>
      <c r="DW57" s="135" t="str">
        <f t="shared" si="56"/>
        <v>F</v>
      </c>
      <c r="DX57" s="135" t="str">
        <f>VLOOKUP(RANK(DV57,$DV$10:$DV$109),Sheet1!$A$381:$B$480,2,FALSE)</f>
        <v>93rd</v>
      </c>
      <c r="DY57" s="168">
        <v>0</v>
      </c>
      <c r="DZ57" s="168">
        <v>0</v>
      </c>
      <c r="EA57" s="137">
        <f t="shared" si="57"/>
        <v>0</v>
      </c>
      <c r="EB57" s="137" t="str">
        <f t="shared" si="248"/>
        <v>30</v>
      </c>
      <c r="EC57" s="137">
        <f t="shared" si="59"/>
        <v>30</v>
      </c>
      <c r="ED57" s="137">
        <f t="shared" si="60"/>
        <v>15</v>
      </c>
      <c r="EE57" s="135" t="str">
        <f t="shared" si="61"/>
        <v>F</v>
      </c>
      <c r="EF57" s="135" t="str">
        <f>VLOOKUP(RANK(ED57,$ED$10:$ED$109),Sheet1!$A$381:$B$480,2,FALSE)</f>
        <v>100th</v>
      </c>
      <c r="EG57" s="162" t="s">
        <v>105</v>
      </c>
      <c r="EH57" s="162" t="s">
        <v>105</v>
      </c>
      <c r="EI57" s="137">
        <f t="shared" si="62"/>
        <v>0</v>
      </c>
      <c r="EJ57" s="137" t="str">
        <f t="shared" si="249"/>
        <v>42</v>
      </c>
      <c r="EK57" s="137">
        <f t="shared" si="64"/>
        <v>42</v>
      </c>
      <c r="EL57" s="137">
        <f t="shared" si="65"/>
        <v>21</v>
      </c>
      <c r="EM57" s="135" t="str">
        <f t="shared" si="66"/>
        <v>F</v>
      </c>
      <c r="EN57" s="135" t="str">
        <f>VLOOKUP(RANK(EL57,$EL$10:$EL$109),Sheet1!$A$381:$B$480,2,FALSE)</f>
        <v>99th</v>
      </c>
      <c r="EO57" s="162">
        <v>0</v>
      </c>
      <c r="EP57" s="162"/>
      <c r="EQ57" s="137">
        <f t="shared" si="67"/>
        <v>0</v>
      </c>
      <c r="ER57" s="137" t="str">
        <f t="shared" si="250"/>
        <v>50</v>
      </c>
      <c r="ES57" s="137">
        <f t="shared" si="69"/>
        <v>50</v>
      </c>
      <c r="ET57" s="137">
        <f t="shared" si="70"/>
        <v>25</v>
      </c>
      <c r="EU57" s="135" t="str">
        <f t="shared" si="71"/>
        <v>F</v>
      </c>
      <c r="EV57" s="135" t="str">
        <f>VLOOKUP(RANK(ET57,$ET$10:$ET$109),Sheet1!$A$381:$B$480,2,FALSE)</f>
        <v>99th</v>
      </c>
      <c r="EW57" s="137"/>
      <c r="EX57" s="137"/>
      <c r="EY57" s="137">
        <f t="shared" si="72"/>
        <v>0</v>
      </c>
      <c r="EZ57" s="137" t="str">
        <f t="shared" si="251"/>
        <v>0</v>
      </c>
      <c r="FA57" s="137">
        <f t="shared" si="74"/>
        <v>0</v>
      </c>
      <c r="FB57" s="137">
        <f t="shared" si="75"/>
        <v>0</v>
      </c>
      <c r="FC57" s="135" t="str">
        <f t="shared" si="76"/>
        <v>F</v>
      </c>
      <c r="FD57" s="135" t="str">
        <f>VLOOKUP(RANK(FB57,$FB$10:$FB$109),Sheet1!$A$381:$B$480,2,FALSE)</f>
        <v>1st</v>
      </c>
      <c r="FE57" s="137"/>
      <c r="FF57" s="137"/>
      <c r="FG57" s="137">
        <f t="shared" si="77"/>
        <v>0</v>
      </c>
      <c r="FH57" s="137" t="str">
        <f t="shared" si="252"/>
        <v>0</v>
      </c>
      <c r="FI57" s="137">
        <f t="shared" si="79"/>
        <v>0</v>
      </c>
      <c r="FJ57" s="137">
        <f t="shared" si="80"/>
        <v>0</v>
      </c>
      <c r="FK57" s="135" t="str">
        <f t="shared" si="81"/>
        <v>F</v>
      </c>
      <c r="FL57" s="135" t="str">
        <f>VLOOKUP(RANK(FJ57,$FJ$10:$FJ$109),Sheet1!$A$381:$B$480,2,FALSE)</f>
        <v>1st</v>
      </c>
      <c r="FM57" s="166"/>
      <c r="FN57" s="166"/>
      <c r="FO57" s="137">
        <f t="shared" si="82"/>
        <v>0</v>
      </c>
      <c r="FP57" s="137" t="str">
        <f t="shared" si="253"/>
        <v>51</v>
      </c>
      <c r="FQ57" s="137">
        <f t="shared" si="84"/>
        <v>51</v>
      </c>
      <c r="FR57" s="137">
        <f t="shared" si="85"/>
        <v>25.5</v>
      </c>
      <c r="FS57" s="135" t="str">
        <f t="shared" si="86"/>
        <v>F</v>
      </c>
      <c r="FT57" s="135" t="str">
        <f>VLOOKUP(RANK(FR57,$FR$10:$FR$109),Sheet1!$A$381:$B$480,2,FALSE)</f>
        <v>97th</v>
      </c>
      <c r="FU57" s="149">
        <v>0</v>
      </c>
      <c r="FV57" s="149">
        <v>0</v>
      </c>
      <c r="FW57" s="137">
        <f t="shared" si="87"/>
        <v>0</v>
      </c>
      <c r="FX57" s="137" t="str">
        <f t="shared" si="254"/>
        <v>40</v>
      </c>
      <c r="FY57" s="137">
        <f t="shared" si="196"/>
        <v>0</v>
      </c>
      <c r="FZ57" s="137">
        <f t="shared" si="89"/>
        <v>0</v>
      </c>
      <c r="GA57" s="135" t="str">
        <f t="shared" si="90"/>
        <v>F</v>
      </c>
      <c r="GB57" s="135" t="str">
        <f>VLOOKUP(RANK(FZ57,$FZ$10:$FZ$109),Sheet1!$A$381:$B$480,2,FALSE)</f>
        <v>99th</v>
      </c>
      <c r="GC57" s="166">
        <v>3</v>
      </c>
      <c r="GD57" s="166">
        <v>0</v>
      </c>
      <c r="GE57" s="137">
        <f t="shared" si="91"/>
        <v>3</v>
      </c>
      <c r="GF57" s="137" t="str">
        <f t="shared" si="255"/>
        <v>25</v>
      </c>
      <c r="GG57" s="135">
        <f t="shared" si="270"/>
        <v>28</v>
      </c>
      <c r="GH57" s="137">
        <f t="shared" si="271"/>
        <v>14</v>
      </c>
      <c r="GI57" s="135" t="str">
        <f t="shared" si="93"/>
        <v>F</v>
      </c>
      <c r="GJ57" s="135" t="str">
        <f>VLOOKUP(RANK(GH57,$GH$10:$GH$109),Sheet1!$A$381:$B$480,2,FALSE)</f>
        <v>100th</v>
      </c>
      <c r="GK57" s="166" t="s">
        <v>105</v>
      </c>
      <c r="GL57" s="166" t="s">
        <v>105</v>
      </c>
      <c r="GM57" s="137">
        <f t="shared" si="94"/>
        <v>0</v>
      </c>
      <c r="GN57" s="137" t="str">
        <f t="shared" si="256"/>
        <v>53</v>
      </c>
      <c r="GO57" s="135">
        <f t="shared" si="272"/>
        <v>53</v>
      </c>
      <c r="GP57" s="137">
        <f t="shared" si="96"/>
        <v>26.5</v>
      </c>
      <c r="GQ57" s="135" t="str">
        <f t="shared" si="97"/>
        <v>F</v>
      </c>
      <c r="GR57" s="135" t="str">
        <f>VLOOKUP(RANK(GP57,$GP$10:$GP$109),Sheet1!$A$381:$B$480,2,FALSE)</f>
        <v>96th</v>
      </c>
      <c r="GS57" s="166">
        <v>0</v>
      </c>
      <c r="GT57" s="166">
        <v>0</v>
      </c>
      <c r="GU57" s="137">
        <f t="shared" si="98"/>
        <v>0</v>
      </c>
      <c r="GV57" s="137" t="str">
        <f t="shared" si="257"/>
        <v>43</v>
      </c>
      <c r="GW57" s="137">
        <f t="shared" si="100"/>
        <v>43</v>
      </c>
      <c r="GX57" s="137">
        <f t="shared" si="101"/>
        <v>21.5</v>
      </c>
      <c r="GY57" s="135" t="str">
        <f t="shared" si="102"/>
        <v>F</v>
      </c>
      <c r="GZ57" s="135" t="str">
        <f>VLOOKUP(RANK(GX57,$GX$10:$GX$109),Sheet1!$A$381:$B$480,2,FALSE)</f>
        <v>97th</v>
      </c>
      <c r="HA57" s="166">
        <v>27</v>
      </c>
      <c r="HB57" s="166">
        <v>0</v>
      </c>
      <c r="HC57" s="137">
        <f t="shared" si="103"/>
        <v>27</v>
      </c>
      <c r="HD57" s="137" t="str">
        <f t="shared" si="258"/>
        <v>40</v>
      </c>
      <c r="HE57" s="137">
        <f t="shared" si="105"/>
        <v>67</v>
      </c>
      <c r="HF57" s="137">
        <f t="shared" si="106"/>
        <v>33.5</v>
      </c>
      <c r="HG57" s="135" t="str">
        <f t="shared" si="107"/>
        <v>F</v>
      </c>
      <c r="HH57" s="135" t="str">
        <f>VLOOKUP(RANK(HF57,$HF$10:$HF$109),Sheet1!$A$381:$B$480,2,FALSE)</f>
        <v>98th</v>
      </c>
      <c r="HI57" s="149">
        <v>2</v>
      </c>
      <c r="HJ57" s="138" t="s">
        <v>143</v>
      </c>
      <c r="HK57" s="137">
        <f t="shared" si="108"/>
        <v>2</v>
      </c>
      <c r="HL57" s="137" t="str">
        <f t="shared" si="259"/>
        <v>40</v>
      </c>
      <c r="HM57" s="137">
        <f t="shared" si="110"/>
        <v>42</v>
      </c>
      <c r="HN57" s="137">
        <f t="shared" si="111"/>
        <v>21</v>
      </c>
      <c r="HO57" s="135" t="str">
        <f t="shared" si="112"/>
        <v>F</v>
      </c>
      <c r="HP57" s="135" t="str">
        <f>VLOOKUP(RANK(HN57,$HN$10:$HN$109),Sheet1!$A$381:$B$480,2,FALSE)</f>
        <v>100th</v>
      </c>
      <c r="HQ57" s="137"/>
      <c r="HR57" s="137"/>
      <c r="HS57" s="137">
        <f t="shared" si="113"/>
        <v>0</v>
      </c>
      <c r="HT57" s="137" t="str">
        <f t="shared" si="260"/>
        <v>0</v>
      </c>
      <c r="HU57" s="137">
        <f t="shared" si="115"/>
        <v>0</v>
      </c>
      <c r="HV57" s="137">
        <f t="shared" si="116"/>
        <v>0</v>
      </c>
      <c r="HW57" s="135" t="str">
        <f t="shared" si="117"/>
        <v>F</v>
      </c>
      <c r="HX57" s="135" t="str">
        <f>VLOOKUP(RANK(HV57,$HV$10:$HV$109),Sheet1!$A$381:$B$480,2,FALSE)</f>
        <v>1st</v>
      </c>
      <c r="HY57" s="137"/>
      <c r="HZ57" s="137"/>
      <c r="IA57" s="137">
        <f t="shared" si="261"/>
        <v>0</v>
      </c>
      <c r="IB57" s="137" t="str">
        <f t="shared" si="262"/>
        <v>0</v>
      </c>
      <c r="IC57" s="137">
        <f t="shared" si="120"/>
        <v>0</v>
      </c>
      <c r="ID57" s="137">
        <f t="shared" si="121"/>
        <v>0</v>
      </c>
      <c r="IE57" s="135" t="str">
        <f t="shared" si="122"/>
        <v>F</v>
      </c>
      <c r="IF57" s="135" t="str">
        <f>VLOOKUP(RANK(ID57,$ID$10:$ID$109),Sheet1!$A$381:$B$480,2,FALSE)</f>
        <v>1st</v>
      </c>
      <c r="IG57" s="135"/>
      <c r="IH57" s="135"/>
      <c r="II57" s="135">
        <f t="shared" si="273"/>
        <v>0</v>
      </c>
      <c r="IJ57" s="135" t="str">
        <f t="shared" si="274"/>
        <v>0</v>
      </c>
      <c r="IK57" s="135">
        <f t="shared" si="275"/>
        <v>0</v>
      </c>
      <c r="IL57" s="135">
        <f t="shared" si="276"/>
        <v>0</v>
      </c>
      <c r="IM57" s="135" t="str">
        <f t="shared" si="123"/>
        <v>F</v>
      </c>
      <c r="IN57" s="135" t="str">
        <f>VLOOKUP(RANK(IL57,$IL$10:$IL$109),Sheet1!$A$381:$B$480,2,FALSE)</f>
        <v>1st</v>
      </c>
      <c r="IO57" s="135">
        <f t="shared" si="277"/>
        <v>268.5</v>
      </c>
      <c r="IP57" s="177">
        <f t="shared" si="278"/>
        <v>15.794117647058799</v>
      </c>
      <c r="IQ57" s="135" t="str">
        <f>VLOOKUP(RANK(IP57,$IP$10:$IP$109),Sheet1!$A$381:$B$480,2,FALSE)</f>
        <v>100th</v>
      </c>
      <c r="IR57" s="178"/>
      <c r="IS57" s="137"/>
      <c r="IT57" s="137"/>
      <c r="IU57" s="137"/>
      <c r="IV57" s="137"/>
      <c r="IW57" s="181"/>
      <c r="IX57" s="184"/>
      <c r="IY57" s="186"/>
      <c r="IZ57" s="186">
        <f t="shared" si="206"/>
        <v>0</v>
      </c>
      <c r="JA57" s="186" t="str">
        <f t="shared" si="124"/>
        <v>65</v>
      </c>
      <c r="JB57" s="186" t="str">
        <f t="shared" si="125"/>
        <v>0</v>
      </c>
      <c r="JC57" s="186">
        <f t="shared" si="279"/>
        <v>65</v>
      </c>
      <c r="JD57" s="186">
        <f t="shared" si="280"/>
        <v>21.6666666666667</v>
      </c>
      <c r="JE57" s="135" t="str">
        <f t="shared" si="126"/>
        <v>F</v>
      </c>
      <c r="JF57" s="151" t="str">
        <f>VLOOKUP(RANK(JD57,$JD$10:$JD$109),Sheet1!$A$381:$B$480,2,FALSE)</f>
        <v>97th</v>
      </c>
      <c r="JG57" s="186"/>
      <c r="JH57" s="186"/>
      <c r="JI57" s="186">
        <f t="shared" si="127"/>
        <v>0</v>
      </c>
      <c r="JJ57" s="186" t="str">
        <f t="shared" si="128"/>
        <v>39</v>
      </c>
      <c r="JK57" s="186" t="str">
        <f t="shared" si="129"/>
        <v>27</v>
      </c>
      <c r="JL57" s="186">
        <f t="shared" si="281"/>
        <v>66</v>
      </c>
      <c r="JM57" s="186">
        <f t="shared" si="282"/>
        <v>22</v>
      </c>
      <c r="JN57" s="135" t="str">
        <f t="shared" si="130"/>
        <v>F</v>
      </c>
      <c r="JO57" s="151" t="str">
        <f>VLOOKUP(RANK(JM57,$JM$10:$JM$109),Sheet1!$A$381:$B$480,2,FALSE)</f>
        <v>93rd</v>
      </c>
      <c r="JP57" s="186"/>
      <c r="JQ57" s="186"/>
      <c r="JR57" s="186">
        <f t="shared" si="131"/>
        <v>0</v>
      </c>
      <c r="JS57" s="186" t="str">
        <f t="shared" si="132"/>
        <v>30</v>
      </c>
      <c r="JT57" s="186" t="str">
        <f t="shared" si="133"/>
        <v>0</v>
      </c>
      <c r="JU57" s="186">
        <f t="shared" si="283"/>
        <v>30</v>
      </c>
      <c r="JV57" s="186">
        <f t="shared" si="284"/>
        <v>10</v>
      </c>
      <c r="JW57" s="135" t="str">
        <f t="shared" si="134"/>
        <v>F</v>
      </c>
      <c r="JX57" s="151" t="str">
        <f>VLOOKUP(RANK(JV57,$JV$10:$JV$109),Sheet1!$A$381:$B$480,2,FALSE)</f>
        <v>100th</v>
      </c>
      <c r="JY57" s="186"/>
      <c r="JZ57" s="186"/>
      <c r="KA57" s="186">
        <f t="shared" si="135"/>
        <v>0</v>
      </c>
      <c r="KB57" s="186" t="str">
        <f t="shared" si="136"/>
        <v>42</v>
      </c>
      <c r="KC57" s="186" t="str">
        <f t="shared" si="137"/>
        <v>0</v>
      </c>
      <c r="KD57" s="186">
        <f t="shared" si="285"/>
        <v>42</v>
      </c>
      <c r="KE57" s="186">
        <f t="shared" si="286"/>
        <v>14</v>
      </c>
      <c r="KF57" s="135" t="str">
        <f t="shared" si="138"/>
        <v>F</v>
      </c>
      <c r="KG57" s="151" t="str">
        <f>VLOOKUP(RANK(KE57,$KE$10:$KE$109),Sheet1!$A$381:$B$480,2,FALSE)</f>
        <v>99th</v>
      </c>
      <c r="KH57" s="186"/>
      <c r="KI57" s="186"/>
      <c r="KJ57" s="186">
        <f t="shared" si="139"/>
        <v>0</v>
      </c>
      <c r="KK57" s="186" t="str">
        <f t="shared" si="140"/>
        <v>50</v>
      </c>
      <c r="KL57" s="186" t="str">
        <f t="shared" si="141"/>
        <v>0</v>
      </c>
      <c r="KM57" s="186">
        <f t="shared" si="287"/>
        <v>50</v>
      </c>
      <c r="KN57" s="186">
        <f t="shared" si="288"/>
        <v>16.6666666666667</v>
      </c>
      <c r="KO57" s="135" t="str">
        <f t="shared" si="142"/>
        <v>F</v>
      </c>
      <c r="KP57" s="151" t="str">
        <f>VLOOKUP(RANK(KN57,$KN$10:$KN$109),Sheet1!$A$381:$B$480,2,FALSE)</f>
        <v>99th</v>
      </c>
      <c r="KQ57" s="186"/>
      <c r="KR57" s="186"/>
      <c r="KS57" s="186">
        <f t="shared" si="143"/>
        <v>0</v>
      </c>
      <c r="KT57" s="186" t="str">
        <f t="shared" si="144"/>
        <v>0</v>
      </c>
      <c r="KU57" s="186" t="str">
        <f t="shared" si="145"/>
        <v>0</v>
      </c>
      <c r="KV57" s="186">
        <f t="shared" si="289"/>
        <v>0</v>
      </c>
      <c r="KW57" s="186">
        <f t="shared" si="290"/>
        <v>0</v>
      </c>
      <c r="KX57" s="135" t="str">
        <f t="shared" si="146"/>
        <v>F</v>
      </c>
      <c r="KY57" s="151" t="str">
        <f>VLOOKUP(RANK(KW57,$KW$10:$KW$109),Sheet1!$A$381:$B$480,2,FALSE)</f>
        <v>1st</v>
      </c>
      <c r="KZ57" s="186"/>
      <c r="LA57" s="186"/>
      <c r="LB57" s="186">
        <f t="shared" si="147"/>
        <v>0</v>
      </c>
      <c r="LC57" s="186" t="str">
        <f t="shared" si="148"/>
        <v>0</v>
      </c>
      <c r="LD57" s="186" t="str">
        <f t="shared" si="149"/>
        <v>0</v>
      </c>
      <c r="LE57" s="186">
        <f t="shared" si="291"/>
        <v>0</v>
      </c>
      <c r="LF57" s="186">
        <f t="shared" si="292"/>
        <v>0</v>
      </c>
      <c r="LG57" s="135" t="str">
        <f t="shared" si="150"/>
        <v>F</v>
      </c>
      <c r="LH57" s="151" t="str">
        <f>VLOOKUP(RANK(LF57,$LF$10:$LF$109),Sheet1!$A$381:$B$480,2,FALSE)</f>
        <v>1st</v>
      </c>
      <c r="LI57" s="186"/>
      <c r="LJ57" s="186"/>
      <c r="LK57" s="186">
        <f t="shared" si="151"/>
        <v>0</v>
      </c>
      <c r="LL57" s="186" t="str">
        <f t="shared" si="152"/>
        <v>51</v>
      </c>
      <c r="LM57" s="186" t="str">
        <f t="shared" si="153"/>
        <v>0</v>
      </c>
      <c r="LN57" s="186">
        <f t="shared" si="293"/>
        <v>51</v>
      </c>
      <c r="LO57" s="186">
        <f t="shared" si="294"/>
        <v>17</v>
      </c>
      <c r="LP57" s="135" t="str">
        <f t="shared" si="154"/>
        <v>F</v>
      </c>
      <c r="LQ57" s="151" t="str">
        <f>VLOOKUP(RANK(LO57,$LO$10:$LO$109),Sheet1!$A$381:$B$480,2,FALSE)</f>
        <v>97th</v>
      </c>
      <c r="LR57" s="186"/>
      <c r="LS57" s="186"/>
      <c r="LT57" s="186">
        <f t="shared" si="155"/>
        <v>0</v>
      </c>
      <c r="LU57" s="186" t="str">
        <f t="shared" si="156"/>
        <v>40</v>
      </c>
      <c r="LV57" s="186" t="str">
        <f t="shared" si="157"/>
        <v>0</v>
      </c>
      <c r="LW57" s="186">
        <f t="shared" si="295"/>
        <v>40</v>
      </c>
      <c r="LX57" s="186">
        <f t="shared" si="296"/>
        <v>13.3333333333333</v>
      </c>
      <c r="LY57" s="135" t="str">
        <f t="shared" si="158"/>
        <v>F</v>
      </c>
      <c r="LZ57" s="151" t="str">
        <f>VLOOKUP(RANK(LX57,$LX$10:$LX$109),Sheet1!$A$381:$B$480,2,FALSE)</f>
        <v>100th</v>
      </c>
      <c r="MA57" s="186"/>
      <c r="MB57" s="186"/>
      <c r="MC57" s="186">
        <f t="shared" si="159"/>
        <v>0</v>
      </c>
      <c r="MD57" s="186" t="str">
        <f t="shared" si="160"/>
        <v>25</v>
      </c>
      <c r="ME57" s="186" t="str">
        <f t="shared" si="161"/>
        <v>3</v>
      </c>
      <c r="MF57" s="183">
        <f t="shared" si="297"/>
        <v>28</v>
      </c>
      <c r="MG57" s="151">
        <f t="shared" si="298"/>
        <v>9.3333333333333304</v>
      </c>
      <c r="MH57" s="135" t="str">
        <f t="shared" si="162"/>
        <v>F</v>
      </c>
      <c r="MI57" s="151" t="str">
        <f>VLOOKUP(RANK(MG57,$MG$10:$MG$109),Sheet1!$A$381:$B$480,2,FALSE)</f>
        <v>100th</v>
      </c>
      <c r="MJ57" s="186"/>
      <c r="MK57" s="186"/>
      <c r="ML57" s="186">
        <f t="shared" si="163"/>
        <v>0</v>
      </c>
      <c r="MM57" s="186" t="str">
        <f t="shared" si="164"/>
        <v>53</v>
      </c>
      <c r="MN57" s="186" t="str">
        <f t="shared" si="165"/>
        <v>0</v>
      </c>
      <c r="MO57" s="186">
        <f t="shared" si="299"/>
        <v>53</v>
      </c>
      <c r="MP57" s="186">
        <f t="shared" si="300"/>
        <v>17.6666666666667</v>
      </c>
      <c r="MQ57" s="135" t="str">
        <f t="shared" si="166"/>
        <v>F</v>
      </c>
      <c r="MR57" s="151" t="str">
        <f>VLOOKUP(RANK(MP57,$MP$10:$MP$109),Sheet1!$A$381:$B$480,2,FALSE)</f>
        <v>96th</v>
      </c>
      <c r="MS57" s="186"/>
      <c r="MT57" s="186"/>
      <c r="MU57" s="186">
        <f t="shared" si="167"/>
        <v>0</v>
      </c>
      <c r="MV57" s="186" t="str">
        <f t="shared" si="168"/>
        <v>43</v>
      </c>
      <c r="MW57" s="186" t="str">
        <f t="shared" si="169"/>
        <v>0</v>
      </c>
      <c r="MX57" s="186">
        <f t="shared" si="301"/>
        <v>43</v>
      </c>
      <c r="MY57" s="186">
        <f t="shared" si="302"/>
        <v>14.3333333333333</v>
      </c>
      <c r="MZ57" s="135" t="str">
        <f t="shared" si="170"/>
        <v>F</v>
      </c>
      <c r="NA57" s="151" t="str">
        <f>VLOOKUP(RANK(MY57,$MY$10:$MY$109),Sheet1!$A$381:$B$480,2,FALSE)</f>
        <v>97th</v>
      </c>
      <c r="NB57" s="186"/>
      <c r="NC57" s="186"/>
      <c r="ND57" s="186">
        <f t="shared" si="171"/>
        <v>0</v>
      </c>
      <c r="NE57" s="186" t="str">
        <f t="shared" si="172"/>
        <v>40</v>
      </c>
      <c r="NF57" s="186" t="str">
        <f t="shared" si="173"/>
        <v>27</v>
      </c>
      <c r="NG57" s="186">
        <f t="shared" si="303"/>
        <v>67</v>
      </c>
      <c r="NH57" s="186">
        <f t="shared" si="304"/>
        <v>22.3333333333333</v>
      </c>
      <c r="NI57" s="135" t="str">
        <f t="shared" si="174"/>
        <v>F</v>
      </c>
      <c r="NJ57" s="151" t="str">
        <f>VLOOKUP(RANK(NH57,$NH$10:$NH$109),Sheet1!$A$381:$B$480,2,FALSE)</f>
        <v>98th</v>
      </c>
      <c r="NK57" s="186"/>
      <c r="NL57" s="186"/>
      <c r="NM57" s="186">
        <f t="shared" si="175"/>
        <v>0</v>
      </c>
      <c r="NN57" s="186" t="str">
        <f t="shared" si="176"/>
        <v>40</v>
      </c>
      <c r="NO57" s="186" t="str">
        <f t="shared" si="177"/>
        <v>2</v>
      </c>
      <c r="NP57" s="186">
        <f t="shared" si="305"/>
        <v>42</v>
      </c>
      <c r="NQ57" s="186">
        <f t="shared" si="263"/>
        <v>14</v>
      </c>
      <c r="NR57" s="135" t="str">
        <f t="shared" si="179"/>
        <v>F</v>
      </c>
      <c r="NS57" s="151" t="str">
        <f>VLOOKUP(RANK(NQ57,$NQ$10:$NQ$109),Sheet1!$A$381:$B$480,2,FALSE)</f>
        <v>100th</v>
      </c>
      <c r="NT57" s="186"/>
      <c r="NU57" s="186"/>
      <c r="NV57" s="186">
        <f t="shared" si="180"/>
        <v>0</v>
      </c>
      <c r="NW57" s="186" t="str">
        <f t="shared" si="181"/>
        <v>0</v>
      </c>
      <c r="NX57" s="186" t="str">
        <f t="shared" si="182"/>
        <v>0</v>
      </c>
      <c r="NY57" s="186">
        <f t="shared" si="306"/>
        <v>0</v>
      </c>
      <c r="NZ57" s="186">
        <f t="shared" si="264"/>
        <v>0</v>
      </c>
      <c r="OA57" s="135" t="str">
        <f t="shared" si="184"/>
        <v>F</v>
      </c>
      <c r="OB57" s="151" t="str">
        <f>VLOOKUP(RANK(NZ57,$NZ$10:$NZ$109),Sheet1!$A$381:$B$480,2,FALSE)</f>
        <v>1st</v>
      </c>
      <c r="OC57" s="186"/>
      <c r="OD57" s="186"/>
      <c r="OE57" s="186">
        <f t="shared" si="185"/>
        <v>0</v>
      </c>
      <c r="OF57" s="186" t="str">
        <f t="shared" si="186"/>
        <v>0</v>
      </c>
      <c r="OG57" s="186" t="str">
        <f t="shared" si="187"/>
        <v>0</v>
      </c>
      <c r="OH57" s="186">
        <f t="shared" si="307"/>
        <v>0</v>
      </c>
      <c r="OI57" s="186">
        <f t="shared" si="236"/>
        <v>0</v>
      </c>
      <c r="OJ57" s="135" t="str">
        <f t="shared" si="188"/>
        <v>F</v>
      </c>
      <c r="OK57" s="151" t="str">
        <f>VLOOKUP(RANK(OI57,$OI$10:$OI$109),Sheet1!$A$381:$B$480,2,FALSE)</f>
        <v>1st</v>
      </c>
      <c r="OL57" s="151"/>
      <c r="OM57" s="151"/>
      <c r="ON57" s="151">
        <f t="shared" si="308"/>
        <v>0</v>
      </c>
      <c r="OO57" s="151" t="str">
        <f t="shared" si="309"/>
        <v>0</v>
      </c>
      <c r="OP57" s="151" t="str">
        <f t="shared" si="310"/>
        <v>0</v>
      </c>
      <c r="OQ57" s="151">
        <f t="shared" si="311"/>
        <v>0</v>
      </c>
      <c r="OR57" s="151">
        <f t="shared" si="312"/>
        <v>0</v>
      </c>
      <c r="OS57" s="135" t="str">
        <f t="shared" si="189"/>
        <v>F</v>
      </c>
      <c r="OT57" s="151" t="str">
        <f>VLOOKUP(RANK(OR57,$OI$10:$OI$109),Sheet1!$A$381:$B$480,2,FALSE)</f>
        <v>1st</v>
      </c>
      <c r="OU57" s="151">
        <f t="shared" si="313"/>
        <v>192.333333333333</v>
      </c>
      <c r="OV57" s="151">
        <f t="shared" si="314"/>
        <v>11.3137254901961</v>
      </c>
      <c r="OW57" s="151" t="str">
        <f>VLOOKUP(RANK(OV57,$OV$10:$OV$109),Sheet1!$A$381:$B$480,2,FALSE)</f>
        <v>100th</v>
      </c>
      <c r="OX57" s="151"/>
      <c r="OY57" s="186"/>
      <c r="OZ57" s="186"/>
      <c r="PA57" s="186"/>
      <c r="PB57" s="186"/>
    </row>
    <row r="58" spans="1:418" s="118" customFormat="1" ht="18.75">
      <c r="A58" s="131">
        <v>49</v>
      </c>
      <c r="B58" s="132" t="s">
        <v>147</v>
      </c>
      <c r="C58" s="133" t="s">
        <v>97</v>
      </c>
      <c r="D58" s="134">
        <v>26</v>
      </c>
      <c r="E58" s="134">
        <v>54</v>
      </c>
      <c r="F58" s="137">
        <f t="shared" si="0"/>
        <v>80</v>
      </c>
      <c r="G58" s="137">
        <f t="shared" si="1"/>
        <v>80</v>
      </c>
      <c r="H58" s="135" t="str">
        <f t="shared" si="265"/>
        <v>A</v>
      </c>
      <c r="I58" s="135" t="str">
        <f>VLOOKUP(RANK(G58,$G$10:$G$109),Sheet1!$A$381:$B$480,2,FALSE)</f>
        <v>7th</v>
      </c>
      <c r="J58" s="134">
        <v>31</v>
      </c>
      <c r="K58" s="134">
        <v>20</v>
      </c>
      <c r="L58" s="137">
        <f t="shared" si="2"/>
        <v>51</v>
      </c>
      <c r="M58" s="137">
        <f t="shared" si="3"/>
        <v>51</v>
      </c>
      <c r="N58" s="135" t="str">
        <f t="shared" si="4"/>
        <v>C</v>
      </c>
      <c r="O58" s="141" t="str">
        <f>VLOOKUP(RANK(M58,$M$10:$M$109),Sheet1!$A$381:$B$480,2,FALSE)</f>
        <v>56th</v>
      </c>
      <c r="P58" s="144">
        <v>25</v>
      </c>
      <c r="Q58" s="144">
        <v>5</v>
      </c>
      <c r="R58" s="147">
        <f t="shared" si="5"/>
        <v>30</v>
      </c>
      <c r="S58" s="137">
        <f t="shared" si="6"/>
        <v>30</v>
      </c>
      <c r="T58" s="135" t="str">
        <f t="shared" si="7"/>
        <v>F</v>
      </c>
      <c r="U58" s="135" t="str">
        <f>VLOOKUP(RANK(S58,$S$10:$S$109),Sheet1!$A$381:$B$480,2,FALSE)</f>
        <v>80th</v>
      </c>
      <c r="V58" s="134">
        <v>32</v>
      </c>
      <c r="W58" s="134">
        <v>20</v>
      </c>
      <c r="X58" s="137">
        <f t="shared" si="191"/>
        <v>52</v>
      </c>
      <c r="Y58" s="137">
        <f t="shared" si="244"/>
        <v>52</v>
      </c>
      <c r="Z58" s="135" t="str">
        <f t="shared" si="8"/>
        <v>C</v>
      </c>
      <c r="AA58" s="135" t="str">
        <f>VLOOKUP(RANK(Y58,$Y$10:$Y$109),Sheet1!$A$381:$B$480,2,FALSE)</f>
        <v>51st</v>
      </c>
      <c r="AB58" s="134">
        <v>29</v>
      </c>
      <c r="AC58" s="134">
        <v>5</v>
      </c>
      <c r="AD58" s="137">
        <f t="shared" si="9"/>
        <v>34</v>
      </c>
      <c r="AE58" s="137">
        <f t="shared" si="10"/>
        <v>34</v>
      </c>
      <c r="AF58" s="135" t="str">
        <f t="shared" si="11"/>
        <v>F</v>
      </c>
      <c r="AG58" s="135" t="str">
        <f>VLOOKUP(RANK(AE58,$AE$10:$AE$109),Sheet1!$A$381:$B$480,2,FALSE)</f>
        <v>85th</v>
      </c>
      <c r="AH58" s="137"/>
      <c r="AI58" s="137"/>
      <c r="AJ58" s="137">
        <f t="shared" si="12"/>
        <v>0</v>
      </c>
      <c r="AK58" s="137">
        <f t="shared" si="13"/>
        <v>0</v>
      </c>
      <c r="AL58" s="135" t="str">
        <f t="shared" si="14"/>
        <v>F</v>
      </c>
      <c r="AM58" s="135" t="str">
        <f>VLOOKUP(RANK(AK58,$AK$10:$AK$109),Sheet1!$A$381:$B$480,2,FALSE)</f>
        <v>1st</v>
      </c>
      <c r="AN58" s="134"/>
      <c r="AO58" s="134"/>
      <c r="AP58" s="137">
        <f t="shared" si="15"/>
        <v>0</v>
      </c>
      <c r="AQ58" s="137">
        <f t="shared" si="16"/>
        <v>0</v>
      </c>
      <c r="AR58" s="135" t="str">
        <f t="shared" si="17"/>
        <v>F</v>
      </c>
      <c r="AS58" s="135" t="str">
        <f>VLOOKUP(RANK(AQ58,$AQ$10:$AQ$109),Sheet1!$A$381:$B$480,2,FALSE)</f>
        <v>1st</v>
      </c>
      <c r="AT58" s="142">
        <v>25</v>
      </c>
      <c r="AU58" s="145">
        <v>25</v>
      </c>
      <c r="AV58" s="137">
        <f t="shared" si="18"/>
        <v>50</v>
      </c>
      <c r="AW58" s="137">
        <f t="shared" si="19"/>
        <v>50</v>
      </c>
      <c r="AX58" s="135" t="str">
        <f t="shared" si="20"/>
        <v>C</v>
      </c>
      <c r="AY58" s="141" t="str">
        <f>VLOOKUP(RANK(AW58,$AW$10:$AW$109),Sheet1!$A$381:$B$480,2,FALSE)</f>
        <v>58th</v>
      </c>
      <c r="AZ58" s="144">
        <v>31</v>
      </c>
      <c r="BA58" s="144">
        <v>14</v>
      </c>
      <c r="BB58" s="147">
        <f t="shared" si="21"/>
        <v>45</v>
      </c>
      <c r="BC58" s="137">
        <f t="shared" si="22"/>
        <v>45</v>
      </c>
      <c r="BD58" s="135" t="str">
        <f t="shared" si="23"/>
        <v>D</v>
      </c>
      <c r="BE58" s="135" t="str">
        <f>VLOOKUP(RANK(BC58,$BC$10:$BC$109),Sheet1!$A$381:$B$480,2,FALSE)</f>
        <v>78th</v>
      </c>
      <c r="BF58" s="144">
        <v>21</v>
      </c>
      <c r="BG58" s="144">
        <v>12</v>
      </c>
      <c r="BH58" s="137">
        <f t="shared" si="24"/>
        <v>33</v>
      </c>
      <c r="BI58" s="137">
        <f t="shared" si="25"/>
        <v>33</v>
      </c>
      <c r="BJ58" s="135" t="str">
        <f t="shared" si="26"/>
        <v>F</v>
      </c>
      <c r="BK58" s="141" t="str">
        <f>VLOOKUP(RANK(BI58,$BI$10:$BI$109),Sheet1!$A$381:$B$480,2,FALSE)</f>
        <v>56th</v>
      </c>
      <c r="BL58" s="149">
        <v>29</v>
      </c>
      <c r="BM58" s="149">
        <v>25</v>
      </c>
      <c r="BN58" s="147">
        <f t="shared" si="27"/>
        <v>54</v>
      </c>
      <c r="BO58" s="137">
        <f t="shared" si="28"/>
        <v>54</v>
      </c>
      <c r="BP58" s="135" t="str">
        <f t="shared" si="29"/>
        <v>C</v>
      </c>
      <c r="BQ58" s="141" t="str">
        <f>VLOOKUP(RANK(BO58,$BO$10:$BO$109),Sheet1!$A$381:$B$480,2,FALSE)</f>
        <v>23rd</v>
      </c>
      <c r="BR58" s="149">
        <v>31</v>
      </c>
      <c r="BS58" s="149">
        <v>2</v>
      </c>
      <c r="BT58" s="147">
        <f t="shared" si="30"/>
        <v>33</v>
      </c>
      <c r="BU58" s="137">
        <f t="shared" si="31"/>
        <v>33</v>
      </c>
      <c r="BV58" s="135" t="str">
        <f t="shared" si="32"/>
        <v>F</v>
      </c>
      <c r="BW58" s="135" t="str">
        <f>VLOOKUP(RANK(BU58,$BU$10:$BU$109),Sheet1!$A$381:$B$480,2,FALSE)</f>
        <v>84th</v>
      </c>
      <c r="BX58" s="149">
        <v>27</v>
      </c>
      <c r="BY58" s="149">
        <v>10</v>
      </c>
      <c r="BZ58" s="137">
        <f t="shared" si="33"/>
        <v>37</v>
      </c>
      <c r="CA58" s="137">
        <f t="shared" si="34"/>
        <v>37</v>
      </c>
      <c r="CB58" s="135" t="str">
        <f t="shared" si="35"/>
        <v>E</v>
      </c>
      <c r="CC58" s="135" t="str">
        <f>VLOOKUP(RANK(CA58,$CA$10:$CA$109),Sheet1!$A$381:$B$480,2,FALSE)</f>
        <v>70th</v>
      </c>
      <c r="CD58" s="149">
        <v>22</v>
      </c>
      <c r="CE58" s="149">
        <v>28</v>
      </c>
      <c r="CF58" s="137">
        <f t="shared" si="36"/>
        <v>50</v>
      </c>
      <c r="CG58" s="137">
        <f t="shared" si="37"/>
        <v>50</v>
      </c>
      <c r="CH58" s="135" t="str">
        <f t="shared" si="38"/>
        <v>C</v>
      </c>
      <c r="CI58" s="135" t="str">
        <f>VLOOKUP(RANK(CG58,$CG$10:$CG$109),Sheet1!$A$381:$B$480,2,FALSE)</f>
        <v>71st</v>
      </c>
      <c r="CJ58" s="137"/>
      <c r="CK58" s="137"/>
      <c r="CL58" s="137">
        <f t="shared" si="39"/>
        <v>0</v>
      </c>
      <c r="CM58" s="137">
        <f t="shared" si="40"/>
        <v>0</v>
      </c>
      <c r="CN58" s="135" t="str">
        <f t="shared" si="41"/>
        <v>F</v>
      </c>
      <c r="CO58" s="135" t="str">
        <f>VLOOKUP(RANK(CM58,$CM$10:$CM$109),Sheet1!$A$381:$B$480,2,FALSE)</f>
        <v>1st</v>
      </c>
      <c r="CP58" s="137"/>
      <c r="CQ58" s="137"/>
      <c r="CR58" s="137">
        <f t="shared" si="42"/>
        <v>0</v>
      </c>
      <c r="CS58" s="137">
        <f t="shared" si="43"/>
        <v>0</v>
      </c>
      <c r="CT58" s="135" t="str">
        <f t="shared" si="44"/>
        <v>F</v>
      </c>
      <c r="CU58" s="135" t="str">
        <f>VLOOKUP(RANK(CS58,$CS$10:$CS$109),Sheet1!$A$381:$B$480,2,FALSE)</f>
        <v>1st</v>
      </c>
      <c r="CV58" s="151"/>
      <c r="CW58" s="135"/>
      <c r="CX58" s="151">
        <f t="shared" si="266"/>
        <v>0</v>
      </c>
      <c r="CY58" s="151">
        <f t="shared" si="267"/>
        <v>0</v>
      </c>
      <c r="CZ58" s="135" t="str">
        <f t="shared" si="45"/>
        <v>F</v>
      </c>
      <c r="DA58" s="135" t="str">
        <f>VLOOKUP(RANK(CY58,$CY$10:$CY$109),Sheet1!$A$381:$B$480,2,FALSE)</f>
        <v>1st</v>
      </c>
      <c r="DB58" s="135"/>
      <c r="DC58" s="151">
        <f t="shared" si="268"/>
        <v>549</v>
      </c>
      <c r="DD58" s="151">
        <f t="shared" si="269"/>
        <v>32.294117647058798</v>
      </c>
      <c r="DE58" s="135" t="str">
        <f>VLOOKUP(RANK(DD58,$DD$10:$DD$109),Sheet1!$A$381:$B$480,2,FALSE)</f>
        <v>80th</v>
      </c>
      <c r="DF58" s="137"/>
      <c r="DG58" s="160">
        <f t="shared" si="46"/>
        <v>581.29411764705901</v>
      </c>
      <c r="DH58" s="119"/>
      <c r="DI58" s="162">
        <v>22</v>
      </c>
      <c r="DJ58" s="162">
        <v>51</v>
      </c>
      <c r="DK58" s="137">
        <f t="shared" si="47"/>
        <v>73</v>
      </c>
      <c r="DL58" s="137" t="str">
        <f t="shared" si="245"/>
        <v>80</v>
      </c>
      <c r="DM58" s="137">
        <f t="shared" si="49"/>
        <v>153</v>
      </c>
      <c r="DN58" s="137">
        <f t="shared" si="50"/>
        <v>76.5</v>
      </c>
      <c r="DO58" s="135" t="str">
        <f t="shared" si="51"/>
        <v>A</v>
      </c>
      <c r="DP58" s="135" t="str">
        <f>VLOOKUP(RANK(DN58,$DN$10:$DN$109),Sheet1!$A$381:$B$480,2,FALSE)</f>
        <v>12th</v>
      </c>
      <c r="DQ58" s="166">
        <v>28</v>
      </c>
      <c r="DR58" s="166">
        <v>19</v>
      </c>
      <c r="DS58" s="137">
        <f t="shared" si="52"/>
        <v>47</v>
      </c>
      <c r="DT58" s="137" t="str">
        <f t="shared" si="246"/>
        <v>51</v>
      </c>
      <c r="DU58" s="137">
        <f t="shared" si="54"/>
        <v>98</v>
      </c>
      <c r="DV58" s="137">
        <f t="shared" si="247"/>
        <v>49</v>
      </c>
      <c r="DW58" s="135" t="str">
        <f t="shared" si="56"/>
        <v>D</v>
      </c>
      <c r="DX58" s="135" t="str">
        <f>VLOOKUP(RANK(DV58,$DV$10:$DV$109),Sheet1!$A$381:$B$480,2,FALSE)</f>
        <v>49th</v>
      </c>
      <c r="DY58" s="168">
        <v>20</v>
      </c>
      <c r="DZ58" s="168">
        <v>11</v>
      </c>
      <c r="EA58" s="137">
        <f t="shared" si="57"/>
        <v>31</v>
      </c>
      <c r="EB58" s="137" t="str">
        <f t="shared" si="248"/>
        <v>30</v>
      </c>
      <c r="EC58" s="137">
        <f t="shared" si="59"/>
        <v>61</v>
      </c>
      <c r="ED58" s="137">
        <f t="shared" si="60"/>
        <v>30.5</v>
      </c>
      <c r="EE58" s="135" t="str">
        <f t="shared" si="61"/>
        <v>F</v>
      </c>
      <c r="EF58" s="135" t="str">
        <f>VLOOKUP(RANK(ED58,$ED$10:$ED$109),Sheet1!$A$381:$B$480,2,FALSE)</f>
        <v>94th</v>
      </c>
      <c r="EG58" s="162">
        <v>27</v>
      </c>
      <c r="EH58" s="162">
        <v>17</v>
      </c>
      <c r="EI58" s="137">
        <f t="shared" si="62"/>
        <v>44</v>
      </c>
      <c r="EJ58" s="137" t="str">
        <f t="shared" si="249"/>
        <v>52</v>
      </c>
      <c r="EK58" s="137">
        <f t="shared" si="64"/>
        <v>96</v>
      </c>
      <c r="EL58" s="137">
        <f t="shared" si="65"/>
        <v>48</v>
      </c>
      <c r="EM58" s="135" t="str">
        <f t="shared" si="66"/>
        <v>D</v>
      </c>
      <c r="EN58" s="135" t="str">
        <f>VLOOKUP(RANK(EL58,$EL$10:$EL$109),Sheet1!$A$381:$B$480,2,FALSE)</f>
        <v>70th</v>
      </c>
      <c r="EO58" s="162">
        <v>27</v>
      </c>
      <c r="EP58" s="162">
        <v>14</v>
      </c>
      <c r="EQ58" s="137">
        <f t="shared" si="67"/>
        <v>41</v>
      </c>
      <c r="ER58" s="137" t="str">
        <f t="shared" si="250"/>
        <v>34</v>
      </c>
      <c r="ES58" s="137">
        <f t="shared" si="69"/>
        <v>75</v>
      </c>
      <c r="ET58" s="137">
        <f t="shared" si="70"/>
        <v>37.5</v>
      </c>
      <c r="EU58" s="135" t="str">
        <f t="shared" si="71"/>
        <v>E</v>
      </c>
      <c r="EV58" s="135" t="str">
        <f>VLOOKUP(RANK(ET58,$ET$10:$ET$109),Sheet1!$A$381:$B$480,2,FALSE)</f>
        <v>78th</v>
      </c>
      <c r="EW58" s="137"/>
      <c r="EX58" s="137"/>
      <c r="EY58" s="137">
        <f t="shared" si="72"/>
        <v>0</v>
      </c>
      <c r="EZ58" s="137" t="str">
        <f t="shared" si="251"/>
        <v>0</v>
      </c>
      <c r="FA58" s="137">
        <f t="shared" si="74"/>
        <v>0</v>
      </c>
      <c r="FB58" s="137">
        <f t="shared" si="75"/>
        <v>0</v>
      </c>
      <c r="FC58" s="135" t="str">
        <f t="shared" si="76"/>
        <v>F</v>
      </c>
      <c r="FD58" s="135" t="str">
        <f>VLOOKUP(RANK(FB58,$FB$10:$FB$109),Sheet1!$A$381:$B$480,2,FALSE)</f>
        <v>1st</v>
      </c>
      <c r="FE58" s="137"/>
      <c r="FF58" s="137"/>
      <c r="FG58" s="137">
        <f t="shared" si="77"/>
        <v>0</v>
      </c>
      <c r="FH58" s="137" t="str">
        <f t="shared" si="252"/>
        <v>0</v>
      </c>
      <c r="FI58" s="137">
        <f t="shared" si="79"/>
        <v>0</v>
      </c>
      <c r="FJ58" s="137">
        <f t="shared" si="80"/>
        <v>0</v>
      </c>
      <c r="FK58" s="135" t="str">
        <f t="shared" si="81"/>
        <v>F</v>
      </c>
      <c r="FL58" s="135" t="str">
        <f>VLOOKUP(RANK(FJ58,$FJ$10:$FJ$109),Sheet1!$A$381:$B$480,2,FALSE)</f>
        <v>1st</v>
      </c>
      <c r="FM58" s="164">
        <v>25</v>
      </c>
      <c r="FN58" s="165">
        <v>27</v>
      </c>
      <c r="FO58" s="137">
        <f t="shared" si="82"/>
        <v>52</v>
      </c>
      <c r="FP58" s="137" t="str">
        <f t="shared" si="253"/>
        <v>50</v>
      </c>
      <c r="FQ58" s="137">
        <f t="shared" si="84"/>
        <v>102</v>
      </c>
      <c r="FR58" s="137">
        <f t="shared" si="85"/>
        <v>51</v>
      </c>
      <c r="FS58" s="135" t="str">
        <f t="shared" si="86"/>
        <v>C</v>
      </c>
      <c r="FT58" s="135" t="str">
        <f>VLOOKUP(RANK(FR58,$FR$10:$FR$109),Sheet1!$A$381:$B$480,2,FALSE)</f>
        <v>56th</v>
      </c>
      <c r="FU58" s="149">
        <v>23</v>
      </c>
      <c r="FV58" s="149">
        <v>23</v>
      </c>
      <c r="FW58" s="137">
        <f t="shared" si="87"/>
        <v>46</v>
      </c>
      <c r="FX58" s="137" t="str">
        <f t="shared" si="254"/>
        <v>45</v>
      </c>
      <c r="FY58" s="137">
        <f t="shared" si="196"/>
        <v>46</v>
      </c>
      <c r="FZ58" s="137">
        <f t="shared" si="89"/>
        <v>23</v>
      </c>
      <c r="GA58" s="135" t="str">
        <f t="shared" si="90"/>
        <v>F</v>
      </c>
      <c r="GB58" s="135" t="str">
        <f>VLOOKUP(RANK(FZ58,$FZ$10:$FZ$109),Sheet1!$A$381:$B$480,2,FALSE)</f>
        <v>61st</v>
      </c>
      <c r="GC58" s="166">
        <v>9</v>
      </c>
      <c r="GD58" s="166">
        <v>25</v>
      </c>
      <c r="GE58" s="137">
        <f t="shared" si="91"/>
        <v>34</v>
      </c>
      <c r="GF58" s="137" t="str">
        <f t="shared" si="255"/>
        <v>33</v>
      </c>
      <c r="GG58" s="135">
        <f t="shared" si="270"/>
        <v>67</v>
      </c>
      <c r="GH58" s="137">
        <f t="shared" si="271"/>
        <v>33.5</v>
      </c>
      <c r="GI58" s="135" t="str">
        <f t="shared" si="93"/>
        <v>F</v>
      </c>
      <c r="GJ58" s="135" t="str">
        <f>VLOOKUP(RANK(GH58,$GH$10:$GH$109),Sheet1!$A$381:$B$480,2,FALSE)</f>
        <v>66th</v>
      </c>
      <c r="GK58" s="166">
        <v>27</v>
      </c>
      <c r="GL58" s="166">
        <v>15</v>
      </c>
      <c r="GM58" s="137">
        <f t="shared" si="94"/>
        <v>42</v>
      </c>
      <c r="GN58" s="137" t="str">
        <f t="shared" si="256"/>
        <v>54</v>
      </c>
      <c r="GO58" s="135">
        <f t="shared" si="272"/>
        <v>96</v>
      </c>
      <c r="GP58" s="137">
        <f t="shared" si="96"/>
        <v>48</v>
      </c>
      <c r="GQ58" s="135" t="str">
        <f t="shared" si="97"/>
        <v>D</v>
      </c>
      <c r="GR58" s="135" t="str">
        <f>VLOOKUP(RANK(GP58,$GP$10:$GP$109),Sheet1!$A$381:$B$480,2,FALSE)</f>
        <v>45th</v>
      </c>
      <c r="GS58" s="166">
        <v>22</v>
      </c>
      <c r="GT58" s="166">
        <v>22</v>
      </c>
      <c r="GU58" s="137">
        <f t="shared" si="98"/>
        <v>44</v>
      </c>
      <c r="GV58" s="137" t="str">
        <f t="shared" si="257"/>
        <v>33</v>
      </c>
      <c r="GW58" s="137">
        <f t="shared" si="100"/>
        <v>77</v>
      </c>
      <c r="GX58" s="137">
        <f t="shared" si="101"/>
        <v>38.5</v>
      </c>
      <c r="GY58" s="135" t="str">
        <f t="shared" si="102"/>
        <v>E</v>
      </c>
      <c r="GZ58" s="135" t="str">
        <f>VLOOKUP(RANK(GX58,$GX$10:$GX$109),Sheet1!$A$381:$B$480,2,FALSE)</f>
        <v>76th</v>
      </c>
      <c r="HA58" s="166">
        <v>29</v>
      </c>
      <c r="HB58" s="166">
        <v>11</v>
      </c>
      <c r="HC58" s="137">
        <f t="shared" si="103"/>
        <v>40</v>
      </c>
      <c r="HD58" s="137" t="str">
        <f t="shared" si="258"/>
        <v>37</v>
      </c>
      <c r="HE58" s="137">
        <f t="shared" si="105"/>
        <v>77</v>
      </c>
      <c r="HF58" s="137">
        <f t="shared" si="106"/>
        <v>38.5</v>
      </c>
      <c r="HG58" s="135" t="str">
        <f t="shared" si="107"/>
        <v>E</v>
      </c>
      <c r="HH58" s="135" t="str">
        <f>VLOOKUP(RANK(HF58,$HF$10:$HF$109),Sheet1!$A$381:$B$480,2,FALSE)</f>
        <v>74th</v>
      </c>
      <c r="HI58" s="149">
        <v>30</v>
      </c>
      <c r="HJ58" s="149">
        <v>38</v>
      </c>
      <c r="HK58" s="137">
        <f t="shared" si="108"/>
        <v>68</v>
      </c>
      <c r="HL58" s="137" t="str">
        <f t="shared" si="259"/>
        <v>50</v>
      </c>
      <c r="HM58" s="137">
        <f t="shared" si="110"/>
        <v>118</v>
      </c>
      <c r="HN58" s="137">
        <f t="shared" si="111"/>
        <v>59</v>
      </c>
      <c r="HO58" s="135" t="str">
        <f t="shared" si="112"/>
        <v>C</v>
      </c>
      <c r="HP58" s="135" t="str">
        <f>VLOOKUP(RANK(HN58,$HN$10:$HN$109),Sheet1!$A$381:$B$480,2,FALSE)</f>
        <v>74th</v>
      </c>
      <c r="HQ58" s="137"/>
      <c r="HR58" s="137"/>
      <c r="HS58" s="137">
        <f t="shared" si="113"/>
        <v>0</v>
      </c>
      <c r="HT58" s="137" t="str">
        <f t="shared" si="260"/>
        <v>0</v>
      </c>
      <c r="HU58" s="137">
        <f t="shared" si="115"/>
        <v>0</v>
      </c>
      <c r="HV58" s="137">
        <f t="shared" si="116"/>
        <v>0</v>
      </c>
      <c r="HW58" s="135" t="str">
        <f t="shared" si="117"/>
        <v>F</v>
      </c>
      <c r="HX58" s="135" t="str">
        <f>VLOOKUP(RANK(HV58,$HV$10:$HV$109),Sheet1!$A$381:$B$480,2,FALSE)</f>
        <v>1st</v>
      </c>
      <c r="HY58" s="137"/>
      <c r="HZ58" s="137"/>
      <c r="IA58" s="137">
        <f t="shared" si="261"/>
        <v>0</v>
      </c>
      <c r="IB58" s="137" t="str">
        <f t="shared" si="262"/>
        <v>0</v>
      </c>
      <c r="IC58" s="137">
        <f t="shared" si="120"/>
        <v>0</v>
      </c>
      <c r="ID58" s="137">
        <f t="shared" si="121"/>
        <v>0</v>
      </c>
      <c r="IE58" s="135" t="str">
        <f t="shared" si="122"/>
        <v>F</v>
      </c>
      <c r="IF58" s="135" t="str">
        <f>VLOOKUP(RANK(ID58,$ID$10:$ID$109),Sheet1!$A$381:$B$480,2,FALSE)</f>
        <v>1st</v>
      </c>
      <c r="IG58" s="135"/>
      <c r="IH58" s="135"/>
      <c r="II58" s="135">
        <f t="shared" si="273"/>
        <v>0</v>
      </c>
      <c r="IJ58" s="135" t="str">
        <f t="shared" si="274"/>
        <v>0</v>
      </c>
      <c r="IK58" s="135">
        <f t="shared" si="275"/>
        <v>0</v>
      </c>
      <c r="IL58" s="135">
        <f t="shared" si="276"/>
        <v>0</v>
      </c>
      <c r="IM58" s="135" t="str">
        <f t="shared" si="123"/>
        <v>F</v>
      </c>
      <c r="IN58" s="135" t="str">
        <f>VLOOKUP(RANK(IL58,$IL$10:$IL$109),Sheet1!$A$381:$B$480,2,FALSE)</f>
        <v>1st</v>
      </c>
      <c r="IO58" s="135">
        <f t="shared" si="277"/>
        <v>533</v>
      </c>
      <c r="IP58" s="177">
        <f t="shared" si="278"/>
        <v>31.352941176470601</v>
      </c>
      <c r="IQ58" s="135" t="str">
        <f>VLOOKUP(RANK(IP58,$IP$10:$IP$109),Sheet1!$A$381:$B$480,2,FALSE)</f>
        <v>74th</v>
      </c>
      <c r="IR58" s="178"/>
      <c r="IS58" s="137"/>
      <c r="IT58" s="137"/>
      <c r="IU58" s="137"/>
      <c r="IV58" s="137"/>
      <c r="IW58" s="181"/>
      <c r="IX58" s="184"/>
      <c r="IY58" s="186"/>
      <c r="IZ58" s="186">
        <f t="shared" si="206"/>
        <v>0</v>
      </c>
      <c r="JA58" s="186" t="str">
        <f t="shared" si="124"/>
        <v>80</v>
      </c>
      <c r="JB58" s="186" t="str">
        <f t="shared" si="125"/>
        <v>73</v>
      </c>
      <c r="JC58" s="186">
        <f t="shared" si="279"/>
        <v>153</v>
      </c>
      <c r="JD58" s="186">
        <f t="shared" si="280"/>
        <v>51</v>
      </c>
      <c r="JE58" s="135" t="str">
        <f t="shared" si="126"/>
        <v>C</v>
      </c>
      <c r="JF58" s="151" t="str">
        <f>VLOOKUP(RANK(JD58,$JD$10:$JD$109),Sheet1!$A$381:$B$480,2,FALSE)</f>
        <v>12th</v>
      </c>
      <c r="JG58" s="186"/>
      <c r="JH58" s="186"/>
      <c r="JI58" s="186">
        <f t="shared" si="127"/>
        <v>0</v>
      </c>
      <c r="JJ58" s="186" t="str">
        <f t="shared" si="128"/>
        <v>51</v>
      </c>
      <c r="JK58" s="186" t="str">
        <f t="shared" si="129"/>
        <v>47</v>
      </c>
      <c r="JL58" s="186">
        <f t="shared" si="281"/>
        <v>98</v>
      </c>
      <c r="JM58" s="186">
        <f t="shared" si="282"/>
        <v>32.6666666666667</v>
      </c>
      <c r="JN58" s="135" t="str">
        <f t="shared" si="130"/>
        <v>F</v>
      </c>
      <c r="JO58" s="151" t="str">
        <f>VLOOKUP(RANK(JM58,$JM$10:$JM$109),Sheet1!$A$381:$B$480,2,FALSE)</f>
        <v>49th</v>
      </c>
      <c r="JP58" s="186"/>
      <c r="JQ58" s="186"/>
      <c r="JR58" s="186">
        <f t="shared" si="131"/>
        <v>0</v>
      </c>
      <c r="JS58" s="186" t="str">
        <f t="shared" si="132"/>
        <v>30</v>
      </c>
      <c r="JT58" s="186" t="str">
        <f t="shared" si="133"/>
        <v>31</v>
      </c>
      <c r="JU58" s="186">
        <f t="shared" si="283"/>
        <v>61</v>
      </c>
      <c r="JV58" s="186">
        <f t="shared" si="284"/>
        <v>20.3333333333333</v>
      </c>
      <c r="JW58" s="135" t="str">
        <f t="shared" si="134"/>
        <v>F</v>
      </c>
      <c r="JX58" s="151" t="str">
        <f>VLOOKUP(RANK(JV58,$JV$10:$JV$109),Sheet1!$A$381:$B$480,2,FALSE)</f>
        <v>94th</v>
      </c>
      <c r="JY58" s="186"/>
      <c r="JZ58" s="186"/>
      <c r="KA58" s="186">
        <f t="shared" si="135"/>
        <v>0</v>
      </c>
      <c r="KB58" s="186" t="str">
        <f t="shared" si="136"/>
        <v>52</v>
      </c>
      <c r="KC58" s="186" t="str">
        <f t="shared" si="137"/>
        <v>44</v>
      </c>
      <c r="KD58" s="186">
        <f t="shared" si="285"/>
        <v>96</v>
      </c>
      <c r="KE58" s="186">
        <f t="shared" si="286"/>
        <v>32</v>
      </c>
      <c r="KF58" s="135" t="str">
        <f t="shared" si="138"/>
        <v>F</v>
      </c>
      <c r="KG58" s="151" t="str">
        <f>VLOOKUP(RANK(KE58,$KE$10:$KE$109),Sheet1!$A$381:$B$480,2,FALSE)</f>
        <v>70th</v>
      </c>
      <c r="KH58" s="186"/>
      <c r="KI58" s="186"/>
      <c r="KJ58" s="186">
        <f t="shared" si="139"/>
        <v>0</v>
      </c>
      <c r="KK58" s="186" t="str">
        <f t="shared" si="140"/>
        <v>34</v>
      </c>
      <c r="KL58" s="186" t="str">
        <f t="shared" si="141"/>
        <v>41</v>
      </c>
      <c r="KM58" s="186">
        <f t="shared" si="287"/>
        <v>75</v>
      </c>
      <c r="KN58" s="186">
        <f t="shared" si="288"/>
        <v>25</v>
      </c>
      <c r="KO58" s="135" t="str">
        <f t="shared" si="142"/>
        <v>F</v>
      </c>
      <c r="KP58" s="151" t="str">
        <f>VLOOKUP(RANK(KN58,$KN$10:$KN$109),Sheet1!$A$381:$B$480,2,FALSE)</f>
        <v>78th</v>
      </c>
      <c r="KQ58" s="186"/>
      <c r="KR58" s="186"/>
      <c r="KS58" s="186">
        <f t="shared" si="143"/>
        <v>0</v>
      </c>
      <c r="KT58" s="186" t="str">
        <f t="shared" si="144"/>
        <v>0</v>
      </c>
      <c r="KU58" s="186" t="str">
        <f t="shared" si="145"/>
        <v>0</v>
      </c>
      <c r="KV58" s="186">
        <f t="shared" si="289"/>
        <v>0</v>
      </c>
      <c r="KW58" s="186">
        <f t="shared" si="290"/>
        <v>0</v>
      </c>
      <c r="KX58" s="135" t="str">
        <f t="shared" si="146"/>
        <v>F</v>
      </c>
      <c r="KY58" s="151" t="str">
        <f>VLOOKUP(RANK(KW58,$KW$10:$KW$109),Sheet1!$A$381:$B$480,2,FALSE)</f>
        <v>1st</v>
      </c>
      <c r="KZ58" s="186"/>
      <c r="LA58" s="186"/>
      <c r="LB58" s="186">
        <f t="shared" si="147"/>
        <v>0</v>
      </c>
      <c r="LC58" s="186" t="str">
        <f t="shared" si="148"/>
        <v>0</v>
      </c>
      <c r="LD58" s="186" t="str">
        <f t="shared" si="149"/>
        <v>0</v>
      </c>
      <c r="LE58" s="186">
        <f t="shared" si="291"/>
        <v>0</v>
      </c>
      <c r="LF58" s="186">
        <f t="shared" si="292"/>
        <v>0</v>
      </c>
      <c r="LG58" s="135" t="str">
        <f t="shared" si="150"/>
        <v>F</v>
      </c>
      <c r="LH58" s="151" t="str">
        <f>VLOOKUP(RANK(LF58,$LF$10:$LF$109),Sheet1!$A$381:$B$480,2,FALSE)</f>
        <v>1st</v>
      </c>
      <c r="LI58" s="186"/>
      <c r="LJ58" s="186"/>
      <c r="LK58" s="186">
        <f t="shared" si="151"/>
        <v>0</v>
      </c>
      <c r="LL58" s="186" t="str">
        <f t="shared" si="152"/>
        <v>50</v>
      </c>
      <c r="LM58" s="186" t="str">
        <f t="shared" si="153"/>
        <v>52</v>
      </c>
      <c r="LN58" s="186">
        <f t="shared" si="293"/>
        <v>102</v>
      </c>
      <c r="LO58" s="186">
        <f t="shared" si="294"/>
        <v>34</v>
      </c>
      <c r="LP58" s="135" t="str">
        <f t="shared" si="154"/>
        <v>F</v>
      </c>
      <c r="LQ58" s="151" t="str">
        <f>VLOOKUP(RANK(LO58,$LO$10:$LO$109),Sheet1!$A$381:$B$480,2,FALSE)</f>
        <v>56th</v>
      </c>
      <c r="LR58" s="186"/>
      <c r="LS58" s="186"/>
      <c r="LT58" s="186">
        <f t="shared" si="155"/>
        <v>0</v>
      </c>
      <c r="LU58" s="186" t="str">
        <f t="shared" si="156"/>
        <v>45</v>
      </c>
      <c r="LV58" s="186" t="str">
        <f t="shared" si="157"/>
        <v>46</v>
      </c>
      <c r="LW58" s="186">
        <f t="shared" si="295"/>
        <v>91</v>
      </c>
      <c r="LX58" s="186">
        <f t="shared" si="296"/>
        <v>30.3333333333333</v>
      </c>
      <c r="LY58" s="135" t="str">
        <f t="shared" si="158"/>
        <v>F</v>
      </c>
      <c r="LZ58" s="151" t="str">
        <f>VLOOKUP(RANK(LX58,$LX$10:$LX$109),Sheet1!$A$381:$B$480,2,FALSE)</f>
        <v>76th</v>
      </c>
      <c r="MA58" s="186"/>
      <c r="MB58" s="186"/>
      <c r="MC58" s="186">
        <f t="shared" si="159"/>
        <v>0</v>
      </c>
      <c r="MD58" s="186" t="str">
        <f t="shared" si="160"/>
        <v>33</v>
      </c>
      <c r="ME58" s="186" t="str">
        <f t="shared" si="161"/>
        <v>34</v>
      </c>
      <c r="MF58" s="183">
        <f t="shared" si="297"/>
        <v>67</v>
      </c>
      <c r="MG58" s="151">
        <f t="shared" si="298"/>
        <v>22.3333333333333</v>
      </c>
      <c r="MH58" s="135" t="str">
        <f t="shared" si="162"/>
        <v>F</v>
      </c>
      <c r="MI58" s="151" t="str">
        <f>VLOOKUP(RANK(MG58,$MG$10:$MG$109),Sheet1!$A$381:$B$480,2,FALSE)</f>
        <v>66th</v>
      </c>
      <c r="MJ58" s="186"/>
      <c r="MK58" s="186"/>
      <c r="ML58" s="186">
        <f t="shared" si="163"/>
        <v>0</v>
      </c>
      <c r="MM58" s="186" t="str">
        <f t="shared" si="164"/>
        <v>54</v>
      </c>
      <c r="MN58" s="186" t="str">
        <f t="shared" si="165"/>
        <v>42</v>
      </c>
      <c r="MO58" s="186">
        <f t="shared" si="299"/>
        <v>96</v>
      </c>
      <c r="MP58" s="186">
        <f t="shared" si="300"/>
        <v>32</v>
      </c>
      <c r="MQ58" s="135" t="str">
        <f t="shared" si="166"/>
        <v>F</v>
      </c>
      <c r="MR58" s="151" t="str">
        <f>VLOOKUP(RANK(MP58,$MP$10:$MP$109),Sheet1!$A$381:$B$480,2,FALSE)</f>
        <v>45th</v>
      </c>
      <c r="MS58" s="186"/>
      <c r="MT58" s="186"/>
      <c r="MU58" s="186">
        <f t="shared" si="167"/>
        <v>0</v>
      </c>
      <c r="MV58" s="186" t="str">
        <f t="shared" si="168"/>
        <v>33</v>
      </c>
      <c r="MW58" s="186" t="str">
        <f t="shared" si="169"/>
        <v>44</v>
      </c>
      <c r="MX58" s="186">
        <f t="shared" si="301"/>
        <v>77</v>
      </c>
      <c r="MY58" s="186">
        <f t="shared" si="302"/>
        <v>25.6666666666667</v>
      </c>
      <c r="MZ58" s="135" t="str">
        <f t="shared" si="170"/>
        <v>F</v>
      </c>
      <c r="NA58" s="151" t="str">
        <f>VLOOKUP(RANK(MY58,$MY$10:$MY$109),Sheet1!$A$381:$B$480,2,FALSE)</f>
        <v>76th</v>
      </c>
      <c r="NB58" s="186"/>
      <c r="NC58" s="186"/>
      <c r="ND58" s="186">
        <f t="shared" si="171"/>
        <v>0</v>
      </c>
      <c r="NE58" s="186" t="str">
        <f t="shared" si="172"/>
        <v>37</v>
      </c>
      <c r="NF58" s="186" t="str">
        <f t="shared" si="173"/>
        <v>40</v>
      </c>
      <c r="NG58" s="186">
        <f t="shared" si="303"/>
        <v>77</v>
      </c>
      <c r="NH58" s="186">
        <f t="shared" si="304"/>
        <v>25.6666666666667</v>
      </c>
      <c r="NI58" s="135" t="str">
        <f t="shared" si="174"/>
        <v>F</v>
      </c>
      <c r="NJ58" s="151" t="str">
        <f>VLOOKUP(RANK(NH58,$NH$10:$NH$109),Sheet1!$A$381:$B$480,2,FALSE)</f>
        <v>74th</v>
      </c>
      <c r="NK58" s="186"/>
      <c r="NL58" s="186"/>
      <c r="NM58" s="186">
        <f t="shared" si="175"/>
        <v>0</v>
      </c>
      <c r="NN58" s="186" t="str">
        <f t="shared" si="176"/>
        <v>50</v>
      </c>
      <c r="NO58" s="186" t="str">
        <f t="shared" si="177"/>
        <v>68</v>
      </c>
      <c r="NP58" s="186">
        <f t="shared" si="305"/>
        <v>118</v>
      </c>
      <c r="NQ58" s="186">
        <f t="shared" si="263"/>
        <v>39.3333333333333</v>
      </c>
      <c r="NR58" s="135" t="str">
        <f t="shared" si="179"/>
        <v>E</v>
      </c>
      <c r="NS58" s="151" t="str">
        <f>VLOOKUP(RANK(NQ58,$NQ$10:$NQ$109),Sheet1!$A$381:$B$480,2,FALSE)</f>
        <v>74th</v>
      </c>
      <c r="NT58" s="186"/>
      <c r="NU58" s="186"/>
      <c r="NV58" s="186">
        <f t="shared" si="180"/>
        <v>0</v>
      </c>
      <c r="NW58" s="186" t="str">
        <f t="shared" si="181"/>
        <v>0</v>
      </c>
      <c r="NX58" s="186" t="str">
        <f t="shared" si="182"/>
        <v>0</v>
      </c>
      <c r="NY58" s="186">
        <f t="shared" si="306"/>
        <v>0</v>
      </c>
      <c r="NZ58" s="186">
        <f t="shared" si="264"/>
        <v>0</v>
      </c>
      <c r="OA58" s="135" t="str">
        <f t="shared" si="184"/>
        <v>F</v>
      </c>
      <c r="OB58" s="151" t="str">
        <f>VLOOKUP(RANK(NZ58,$NZ$10:$NZ$109),Sheet1!$A$381:$B$480,2,FALSE)</f>
        <v>1st</v>
      </c>
      <c r="OC58" s="186"/>
      <c r="OD58" s="186"/>
      <c r="OE58" s="186">
        <f t="shared" si="185"/>
        <v>0</v>
      </c>
      <c r="OF58" s="186" t="str">
        <f t="shared" si="186"/>
        <v>0</v>
      </c>
      <c r="OG58" s="186" t="str">
        <f t="shared" si="187"/>
        <v>0</v>
      </c>
      <c r="OH58" s="186">
        <f t="shared" si="307"/>
        <v>0</v>
      </c>
      <c r="OI58" s="186">
        <f t="shared" si="236"/>
        <v>0</v>
      </c>
      <c r="OJ58" s="135" t="str">
        <f t="shared" si="188"/>
        <v>F</v>
      </c>
      <c r="OK58" s="151" t="str">
        <f>VLOOKUP(RANK(OI58,$OI$10:$OI$109),Sheet1!$A$381:$B$480,2,FALSE)</f>
        <v>1st</v>
      </c>
      <c r="OL58" s="151"/>
      <c r="OM58" s="151"/>
      <c r="ON58" s="151">
        <f t="shared" si="308"/>
        <v>0</v>
      </c>
      <c r="OO58" s="151" t="str">
        <f t="shared" si="309"/>
        <v>0</v>
      </c>
      <c r="OP58" s="151" t="str">
        <f t="shared" si="310"/>
        <v>0</v>
      </c>
      <c r="OQ58" s="151">
        <f t="shared" si="311"/>
        <v>0</v>
      </c>
      <c r="OR58" s="151">
        <f t="shared" si="312"/>
        <v>0</v>
      </c>
      <c r="OS58" s="135" t="str">
        <f t="shared" si="189"/>
        <v>F</v>
      </c>
      <c r="OT58" s="151" t="str">
        <f>VLOOKUP(RANK(OR58,$OI$10:$OI$109),Sheet1!$A$381:$B$480,2,FALSE)</f>
        <v>1st</v>
      </c>
      <c r="OU58" s="151">
        <f t="shared" si="313"/>
        <v>370.33333333333297</v>
      </c>
      <c r="OV58" s="151">
        <f t="shared" si="314"/>
        <v>21.7843137254902</v>
      </c>
      <c r="OW58" s="151" t="str">
        <f>VLOOKUP(RANK(OV58,$OV$10:$OV$109),Sheet1!$A$381:$B$480,2,FALSE)</f>
        <v>75th</v>
      </c>
      <c r="OX58" s="151"/>
      <c r="OY58" s="186"/>
      <c r="OZ58" s="186"/>
      <c r="PA58" s="186"/>
      <c r="PB58" s="186"/>
    </row>
    <row r="59" spans="1:418" s="118" customFormat="1" ht="18.75">
      <c r="A59" s="131">
        <v>50</v>
      </c>
      <c r="B59" s="132" t="s">
        <v>148</v>
      </c>
      <c r="C59" s="133" t="s">
        <v>97</v>
      </c>
      <c r="D59" s="134">
        <v>24</v>
      </c>
      <c r="E59" s="134">
        <v>51</v>
      </c>
      <c r="F59" s="137">
        <f t="shared" si="0"/>
        <v>75</v>
      </c>
      <c r="G59" s="137">
        <f t="shared" si="1"/>
        <v>75</v>
      </c>
      <c r="H59" s="135" t="str">
        <f t="shared" si="265"/>
        <v>A</v>
      </c>
      <c r="I59" s="135" t="str">
        <f>VLOOKUP(RANK(G59,$G$10:$G$109),Sheet1!$A$381:$B$480,2,FALSE)</f>
        <v>19th</v>
      </c>
      <c r="J59" s="134">
        <v>28</v>
      </c>
      <c r="K59" s="134">
        <v>25</v>
      </c>
      <c r="L59" s="137">
        <f t="shared" si="2"/>
        <v>53</v>
      </c>
      <c r="M59" s="137">
        <f t="shared" si="3"/>
        <v>53</v>
      </c>
      <c r="N59" s="135" t="str">
        <f t="shared" si="4"/>
        <v>C</v>
      </c>
      <c r="O59" s="141" t="str">
        <f>VLOOKUP(RANK(M59,$M$10:$M$109),Sheet1!$A$381:$B$480,2,FALSE)</f>
        <v>45th</v>
      </c>
      <c r="P59" s="144">
        <v>28</v>
      </c>
      <c r="Q59" s="144">
        <v>18</v>
      </c>
      <c r="R59" s="147">
        <f t="shared" si="5"/>
        <v>46</v>
      </c>
      <c r="S59" s="137">
        <f t="shared" si="6"/>
        <v>46</v>
      </c>
      <c r="T59" s="135" t="str">
        <f t="shared" si="7"/>
        <v>D</v>
      </c>
      <c r="U59" s="135" t="str">
        <f>VLOOKUP(RANK(S59,$S$10:$S$109),Sheet1!$A$381:$B$480,2,FALSE)</f>
        <v>47th</v>
      </c>
      <c r="V59" s="134">
        <v>25</v>
      </c>
      <c r="W59" s="134">
        <v>30</v>
      </c>
      <c r="X59" s="137">
        <f t="shared" si="191"/>
        <v>55</v>
      </c>
      <c r="Y59" s="137">
        <f t="shared" si="244"/>
        <v>55</v>
      </c>
      <c r="Z59" s="135" t="str">
        <f t="shared" si="8"/>
        <v>C</v>
      </c>
      <c r="AA59" s="135" t="str">
        <f>VLOOKUP(RANK(Y59,$Y$10:$Y$109),Sheet1!$A$381:$B$480,2,FALSE)</f>
        <v>45th</v>
      </c>
      <c r="AB59" s="134">
        <v>36</v>
      </c>
      <c r="AC59" s="134">
        <v>41</v>
      </c>
      <c r="AD59" s="137">
        <f t="shared" si="9"/>
        <v>77</v>
      </c>
      <c r="AE59" s="137">
        <f t="shared" si="10"/>
        <v>77</v>
      </c>
      <c r="AF59" s="135" t="str">
        <f t="shared" si="11"/>
        <v>A</v>
      </c>
      <c r="AG59" s="135" t="str">
        <f>VLOOKUP(RANK(AE59,$AE$10:$AE$109),Sheet1!$A$381:$B$480,2,FALSE)</f>
        <v>20th</v>
      </c>
      <c r="AH59" s="137"/>
      <c r="AI59" s="137"/>
      <c r="AJ59" s="137">
        <f t="shared" si="12"/>
        <v>0</v>
      </c>
      <c r="AK59" s="137">
        <f t="shared" si="13"/>
        <v>0</v>
      </c>
      <c r="AL59" s="135" t="str">
        <f t="shared" si="14"/>
        <v>F</v>
      </c>
      <c r="AM59" s="135" t="str">
        <f>VLOOKUP(RANK(AK59,$AK$10:$AK$109),Sheet1!$A$381:$B$480,2,FALSE)</f>
        <v>1st</v>
      </c>
      <c r="AN59" s="134"/>
      <c r="AO59" s="134"/>
      <c r="AP59" s="137">
        <f t="shared" si="15"/>
        <v>0</v>
      </c>
      <c r="AQ59" s="137">
        <f t="shared" si="16"/>
        <v>0</v>
      </c>
      <c r="AR59" s="135" t="str">
        <f t="shared" si="17"/>
        <v>F</v>
      </c>
      <c r="AS59" s="135" t="str">
        <f>VLOOKUP(RANK(AQ59,$AQ$10:$AQ$109),Sheet1!$A$381:$B$480,2,FALSE)</f>
        <v>1st</v>
      </c>
      <c r="AT59" s="144">
        <v>25</v>
      </c>
      <c r="AU59" s="144">
        <v>28</v>
      </c>
      <c r="AV59" s="137">
        <f t="shared" si="18"/>
        <v>53</v>
      </c>
      <c r="AW59" s="137">
        <f t="shared" si="19"/>
        <v>53</v>
      </c>
      <c r="AX59" s="135" t="str">
        <f t="shared" si="20"/>
        <v>C</v>
      </c>
      <c r="AY59" s="141" t="str">
        <f>VLOOKUP(RANK(AW59,$AW$10:$AW$109),Sheet1!$A$381:$B$480,2,FALSE)</f>
        <v>28th</v>
      </c>
      <c r="AZ59" s="144">
        <v>36</v>
      </c>
      <c r="BA59" s="144">
        <v>31</v>
      </c>
      <c r="BB59" s="147">
        <f t="shared" si="21"/>
        <v>67</v>
      </c>
      <c r="BC59" s="137">
        <f t="shared" si="22"/>
        <v>67</v>
      </c>
      <c r="BD59" s="135" t="str">
        <f t="shared" si="23"/>
        <v>B</v>
      </c>
      <c r="BE59" s="135" t="str">
        <f>VLOOKUP(RANK(BC59,$BC$10:$BC$109),Sheet1!$A$381:$B$480,2,FALSE)</f>
        <v>15th</v>
      </c>
      <c r="BF59" s="144">
        <v>22</v>
      </c>
      <c r="BG59" s="144">
        <v>17</v>
      </c>
      <c r="BH59" s="137">
        <f t="shared" si="24"/>
        <v>39</v>
      </c>
      <c r="BI59" s="137">
        <f t="shared" si="25"/>
        <v>39</v>
      </c>
      <c r="BJ59" s="135" t="str">
        <f t="shared" si="26"/>
        <v>E</v>
      </c>
      <c r="BK59" s="141" t="str">
        <f>VLOOKUP(RANK(BI59,$BI$10:$BI$109),Sheet1!$A$381:$B$480,2,FALSE)</f>
        <v>34th</v>
      </c>
      <c r="BL59" s="149">
        <v>26</v>
      </c>
      <c r="BM59" s="149">
        <v>25</v>
      </c>
      <c r="BN59" s="147">
        <f t="shared" si="27"/>
        <v>51</v>
      </c>
      <c r="BO59" s="137">
        <f t="shared" si="28"/>
        <v>51</v>
      </c>
      <c r="BP59" s="135" t="str">
        <f t="shared" si="29"/>
        <v>C</v>
      </c>
      <c r="BQ59" s="141" t="str">
        <f>VLOOKUP(RANK(BO59,$BO$10:$BO$109),Sheet1!$A$381:$B$480,2,FALSE)</f>
        <v>69th</v>
      </c>
      <c r="BR59" s="149">
        <v>26</v>
      </c>
      <c r="BS59" s="149">
        <v>32</v>
      </c>
      <c r="BT59" s="147">
        <f t="shared" si="30"/>
        <v>58</v>
      </c>
      <c r="BU59" s="137">
        <f t="shared" si="31"/>
        <v>58</v>
      </c>
      <c r="BV59" s="135" t="str">
        <f t="shared" si="32"/>
        <v>C</v>
      </c>
      <c r="BW59" s="135" t="str">
        <f>VLOOKUP(RANK(BU59,$BU$10:$BU$109),Sheet1!$A$381:$B$480,2,FALSE)</f>
        <v>29th</v>
      </c>
      <c r="BX59" s="149">
        <v>33</v>
      </c>
      <c r="BY59" s="149">
        <v>10</v>
      </c>
      <c r="BZ59" s="137">
        <f t="shared" si="33"/>
        <v>43</v>
      </c>
      <c r="CA59" s="137">
        <f t="shared" si="34"/>
        <v>43</v>
      </c>
      <c r="CB59" s="135" t="str">
        <f t="shared" si="35"/>
        <v>D</v>
      </c>
      <c r="CC59" s="135" t="str">
        <f>VLOOKUP(RANK(CA59,$CA$10:$CA$109),Sheet1!$A$381:$B$480,2,FALSE)</f>
        <v>28th</v>
      </c>
      <c r="CD59" s="149">
        <v>28</v>
      </c>
      <c r="CE59" s="149">
        <v>38</v>
      </c>
      <c r="CF59" s="137">
        <f t="shared" si="36"/>
        <v>66</v>
      </c>
      <c r="CG59" s="137">
        <f t="shared" si="37"/>
        <v>66</v>
      </c>
      <c r="CH59" s="135" t="str">
        <f t="shared" si="38"/>
        <v>B</v>
      </c>
      <c r="CI59" s="135" t="str">
        <f>VLOOKUP(RANK(CG59,$CG$10:$CG$109),Sheet1!$A$381:$B$480,2,FALSE)</f>
        <v>28th</v>
      </c>
      <c r="CJ59" s="137"/>
      <c r="CK59" s="137"/>
      <c r="CL59" s="137">
        <f t="shared" si="39"/>
        <v>0</v>
      </c>
      <c r="CM59" s="137">
        <f t="shared" si="40"/>
        <v>0</v>
      </c>
      <c r="CN59" s="135" t="str">
        <f t="shared" si="41"/>
        <v>F</v>
      </c>
      <c r="CO59" s="135" t="str">
        <f>VLOOKUP(RANK(CM59,$CM$10:$CM$109),Sheet1!$A$381:$B$480,2,FALSE)</f>
        <v>1st</v>
      </c>
      <c r="CP59" s="137"/>
      <c r="CQ59" s="137"/>
      <c r="CR59" s="137">
        <f t="shared" si="42"/>
        <v>0</v>
      </c>
      <c r="CS59" s="137">
        <f t="shared" si="43"/>
        <v>0</v>
      </c>
      <c r="CT59" s="135" t="str">
        <f t="shared" si="44"/>
        <v>F</v>
      </c>
      <c r="CU59" s="135" t="str">
        <f>VLOOKUP(RANK(CS59,$CS$10:$CS$109),Sheet1!$A$381:$B$480,2,FALSE)</f>
        <v>1st</v>
      </c>
      <c r="CV59" s="151"/>
      <c r="CW59" s="135"/>
      <c r="CX59" s="151">
        <f t="shared" si="266"/>
        <v>0</v>
      </c>
      <c r="CY59" s="151">
        <f t="shared" si="267"/>
        <v>0</v>
      </c>
      <c r="CZ59" s="135" t="str">
        <f t="shared" si="45"/>
        <v>F</v>
      </c>
      <c r="DA59" s="135" t="str">
        <f>VLOOKUP(RANK(CY59,$CY$10:$CY$109),Sheet1!$A$381:$B$480,2,FALSE)</f>
        <v>1st</v>
      </c>
      <c r="DB59" s="135"/>
      <c r="DC59" s="151">
        <f t="shared" si="268"/>
        <v>683</v>
      </c>
      <c r="DD59" s="151">
        <f t="shared" si="269"/>
        <v>40.176470588235297</v>
      </c>
      <c r="DE59" s="135" t="str">
        <f>VLOOKUP(RANK(DD59,$DD$10:$DD$109),Sheet1!$A$381:$B$480,2,FALSE)</f>
        <v>26th</v>
      </c>
      <c r="DF59" s="137"/>
      <c r="DG59" s="160">
        <f t="shared" si="46"/>
        <v>723.17647058823502</v>
      </c>
      <c r="DH59" s="119"/>
      <c r="DI59" s="162">
        <v>32</v>
      </c>
      <c r="DJ59" s="162">
        <v>54</v>
      </c>
      <c r="DK59" s="137">
        <f t="shared" si="47"/>
        <v>86</v>
      </c>
      <c r="DL59" s="137" t="str">
        <f t="shared" si="245"/>
        <v>75</v>
      </c>
      <c r="DM59" s="137">
        <f t="shared" si="49"/>
        <v>161</v>
      </c>
      <c r="DN59" s="137">
        <f t="shared" si="50"/>
        <v>80.5</v>
      </c>
      <c r="DO59" s="135" t="str">
        <f t="shared" si="51"/>
        <v>A</v>
      </c>
      <c r="DP59" s="135" t="str">
        <f>VLOOKUP(RANK(DN59,$DN$10:$DN$109),Sheet1!$A$381:$B$480,2,FALSE)</f>
        <v>5th</v>
      </c>
      <c r="DQ59" s="166">
        <v>29</v>
      </c>
      <c r="DR59" s="166">
        <v>15</v>
      </c>
      <c r="DS59" s="137">
        <f t="shared" si="52"/>
        <v>44</v>
      </c>
      <c r="DT59" s="137" t="str">
        <f t="shared" si="246"/>
        <v>53</v>
      </c>
      <c r="DU59" s="137">
        <f t="shared" si="54"/>
        <v>97</v>
      </c>
      <c r="DV59" s="137">
        <f t="shared" si="247"/>
        <v>48.5</v>
      </c>
      <c r="DW59" s="135" t="str">
        <f t="shared" si="56"/>
        <v>D</v>
      </c>
      <c r="DX59" s="135" t="str">
        <f>VLOOKUP(RANK(DV59,$DV$10:$DV$109),Sheet1!$A$381:$B$480,2,FALSE)</f>
        <v>51st</v>
      </c>
      <c r="DY59" s="168">
        <v>35</v>
      </c>
      <c r="DZ59" s="168">
        <v>25</v>
      </c>
      <c r="EA59" s="137">
        <f t="shared" si="57"/>
        <v>60</v>
      </c>
      <c r="EB59" s="137" t="str">
        <f t="shared" si="248"/>
        <v>46</v>
      </c>
      <c r="EC59" s="137">
        <f t="shared" si="59"/>
        <v>106</v>
      </c>
      <c r="ED59" s="137">
        <f t="shared" si="60"/>
        <v>53</v>
      </c>
      <c r="EE59" s="135" t="str">
        <f t="shared" si="61"/>
        <v>C</v>
      </c>
      <c r="EF59" s="135" t="str">
        <f>VLOOKUP(RANK(ED59,$ED$10:$ED$109),Sheet1!$A$381:$B$480,2,FALSE)</f>
        <v>29th</v>
      </c>
      <c r="EG59" s="162">
        <v>34</v>
      </c>
      <c r="EH59" s="162">
        <v>46</v>
      </c>
      <c r="EI59" s="137">
        <f t="shared" si="62"/>
        <v>80</v>
      </c>
      <c r="EJ59" s="137" t="str">
        <f t="shared" si="249"/>
        <v>55</v>
      </c>
      <c r="EK59" s="137">
        <f t="shared" si="64"/>
        <v>135</v>
      </c>
      <c r="EL59" s="137">
        <f t="shared" si="65"/>
        <v>67.5</v>
      </c>
      <c r="EM59" s="135" t="str">
        <f t="shared" si="66"/>
        <v>B</v>
      </c>
      <c r="EN59" s="135" t="str">
        <f>VLOOKUP(RANK(EL59,$EL$10:$EL$109),Sheet1!$A$381:$B$480,2,FALSE)</f>
        <v>18th</v>
      </c>
      <c r="EO59" s="162">
        <v>30</v>
      </c>
      <c r="EP59" s="162">
        <v>34</v>
      </c>
      <c r="EQ59" s="137">
        <f t="shared" si="67"/>
        <v>64</v>
      </c>
      <c r="ER59" s="137" t="str">
        <f t="shared" si="250"/>
        <v>77</v>
      </c>
      <c r="ES59" s="137">
        <f t="shared" si="69"/>
        <v>141</v>
      </c>
      <c r="ET59" s="137">
        <f t="shared" si="70"/>
        <v>70.5</v>
      </c>
      <c r="EU59" s="135" t="str">
        <f t="shared" si="71"/>
        <v>B</v>
      </c>
      <c r="EV59" s="135" t="str">
        <f>VLOOKUP(RANK(ET59,$ET$10:$ET$109),Sheet1!$A$381:$B$480,2,FALSE)</f>
        <v>16th</v>
      </c>
      <c r="EW59" s="137"/>
      <c r="EX59" s="137"/>
      <c r="EY59" s="137">
        <f t="shared" si="72"/>
        <v>0</v>
      </c>
      <c r="EZ59" s="137" t="str">
        <f t="shared" si="251"/>
        <v>0</v>
      </c>
      <c r="FA59" s="137">
        <f t="shared" si="74"/>
        <v>0</v>
      </c>
      <c r="FB59" s="137">
        <f t="shared" si="75"/>
        <v>0</v>
      </c>
      <c r="FC59" s="135" t="str">
        <f t="shared" si="76"/>
        <v>F</v>
      </c>
      <c r="FD59" s="135" t="str">
        <f>VLOOKUP(RANK(FB59,$FB$10:$FB$109),Sheet1!$A$381:$B$480,2,FALSE)</f>
        <v>1st</v>
      </c>
      <c r="FE59" s="137"/>
      <c r="FF59" s="137"/>
      <c r="FG59" s="137">
        <f t="shared" si="77"/>
        <v>0</v>
      </c>
      <c r="FH59" s="137" t="str">
        <f t="shared" si="252"/>
        <v>0</v>
      </c>
      <c r="FI59" s="137">
        <f t="shared" si="79"/>
        <v>0</v>
      </c>
      <c r="FJ59" s="137">
        <f t="shared" si="80"/>
        <v>0</v>
      </c>
      <c r="FK59" s="135" t="str">
        <f t="shared" si="81"/>
        <v>F</v>
      </c>
      <c r="FL59" s="135" t="str">
        <f>VLOOKUP(RANK(FJ59,$FJ$10:$FJ$109),Sheet1!$A$381:$B$480,2,FALSE)</f>
        <v>1st</v>
      </c>
      <c r="FM59" s="166">
        <v>29</v>
      </c>
      <c r="FN59" s="166">
        <v>34</v>
      </c>
      <c r="FO59" s="137">
        <f t="shared" si="82"/>
        <v>63</v>
      </c>
      <c r="FP59" s="137" t="str">
        <f t="shared" si="253"/>
        <v>53</v>
      </c>
      <c r="FQ59" s="137">
        <f t="shared" si="84"/>
        <v>116</v>
      </c>
      <c r="FR59" s="137">
        <f t="shared" si="85"/>
        <v>58</v>
      </c>
      <c r="FS59" s="135" t="str">
        <f t="shared" si="86"/>
        <v>C</v>
      </c>
      <c r="FT59" s="135" t="str">
        <f>VLOOKUP(RANK(FR59,$FR$10:$FR$109),Sheet1!$A$381:$B$480,2,FALSE)</f>
        <v>11th</v>
      </c>
      <c r="FU59" s="149">
        <v>27</v>
      </c>
      <c r="FV59" s="149">
        <v>20</v>
      </c>
      <c r="FW59" s="137">
        <f t="shared" si="87"/>
        <v>47</v>
      </c>
      <c r="FX59" s="137" t="str">
        <f t="shared" si="254"/>
        <v>67</v>
      </c>
      <c r="FY59" s="137">
        <f t="shared" si="196"/>
        <v>47</v>
      </c>
      <c r="FZ59" s="137">
        <f t="shared" si="89"/>
        <v>23.5</v>
      </c>
      <c r="GA59" s="135" t="str">
        <f t="shared" si="90"/>
        <v>F</v>
      </c>
      <c r="GB59" s="135" t="str">
        <f>VLOOKUP(RANK(FZ59,$FZ$10:$FZ$109),Sheet1!$A$381:$B$480,2,FALSE)</f>
        <v>57th</v>
      </c>
      <c r="GC59" s="166">
        <v>25</v>
      </c>
      <c r="GD59" s="166">
        <v>28</v>
      </c>
      <c r="GE59" s="137">
        <f t="shared" si="91"/>
        <v>53</v>
      </c>
      <c r="GF59" s="137" t="str">
        <f t="shared" si="255"/>
        <v>39</v>
      </c>
      <c r="GG59" s="135">
        <f t="shared" si="270"/>
        <v>92</v>
      </c>
      <c r="GH59" s="137">
        <f t="shared" si="271"/>
        <v>46</v>
      </c>
      <c r="GI59" s="135" t="str">
        <f t="shared" si="93"/>
        <v>D</v>
      </c>
      <c r="GJ59" s="135" t="str">
        <f>VLOOKUP(RANK(GH59,$GH$10:$GH$109),Sheet1!$A$381:$B$480,2,FALSE)</f>
        <v>24th</v>
      </c>
      <c r="GK59" s="166">
        <v>29</v>
      </c>
      <c r="GL59" s="166">
        <v>15</v>
      </c>
      <c r="GM59" s="137">
        <f t="shared" si="94"/>
        <v>44</v>
      </c>
      <c r="GN59" s="137" t="str">
        <f t="shared" si="256"/>
        <v>51</v>
      </c>
      <c r="GO59" s="135">
        <f t="shared" si="272"/>
        <v>95</v>
      </c>
      <c r="GP59" s="137">
        <f t="shared" si="96"/>
        <v>47.5</v>
      </c>
      <c r="GQ59" s="135" t="str">
        <f t="shared" si="97"/>
        <v>D</v>
      </c>
      <c r="GR59" s="135" t="str">
        <f>VLOOKUP(RANK(GP59,$GP$10:$GP$109),Sheet1!$A$381:$B$480,2,FALSE)</f>
        <v>61st</v>
      </c>
      <c r="GS59" s="166">
        <v>30</v>
      </c>
      <c r="GT59" s="166">
        <v>38</v>
      </c>
      <c r="GU59" s="137">
        <f t="shared" si="98"/>
        <v>68</v>
      </c>
      <c r="GV59" s="137" t="str">
        <f t="shared" si="257"/>
        <v>58</v>
      </c>
      <c r="GW59" s="137">
        <f t="shared" si="100"/>
        <v>126</v>
      </c>
      <c r="GX59" s="137">
        <f t="shared" si="101"/>
        <v>63</v>
      </c>
      <c r="GY59" s="135" t="str">
        <f t="shared" si="102"/>
        <v>B</v>
      </c>
      <c r="GZ59" s="135" t="str">
        <f>VLOOKUP(RANK(GX59,$GX$10:$GX$109),Sheet1!$A$381:$B$480,2,FALSE)</f>
        <v>20th</v>
      </c>
      <c r="HA59" s="166">
        <v>30</v>
      </c>
      <c r="HB59" s="166">
        <v>21</v>
      </c>
      <c r="HC59" s="137">
        <f t="shared" si="103"/>
        <v>51</v>
      </c>
      <c r="HD59" s="137" t="str">
        <f t="shared" si="258"/>
        <v>43</v>
      </c>
      <c r="HE59" s="137">
        <f t="shared" si="105"/>
        <v>94</v>
      </c>
      <c r="HF59" s="137">
        <f t="shared" si="106"/>
        <v>47</v>
      </c>
      <c r="HG59" s="135" t="str">
        <f t="shared" si="107"/>
        <v>D</v>
      </c>
      <c r="HH59" s="135" t="str">
        <f>VLOOKUP(RANK(HF59,$HF$10:$HF$109),Sheet1!$A$381:$B$480,2,FALSE)</f>
        <v>16th</v>
      </c>
      <c r="HI59" s="149">
        <v>28</v>
      </c>
      <c r="HJ59" s="149">
        <v>44</v>
      </c>
      <c r="HK59" s="137">
        <f t="shared" si="108"/>
        <v>72</v>
      </c>
      <c r="HL59" s="137" t="str">
        <f t="shared" si="259"/>
        <v>66</v>
      </c>
      <c r="HM59" s="137">
        <f t="shared" si="110"/>
        <v>138</v>
      </c>
      <c r="HN59" s="137">
        <f t="shared" si="111"/>
        <v>69</v>
      </c>
      <c r="HO59" s="135" t="str">
        <f t="shared" si="112"/>
        <v>B</v>
      </c>
      <c r="HP59" s="135" t="str">
        <f>VLOOKUP(RANK(HN59,$HN$10:$HN$109),Sheet1!$A$381:$B$480,2,FALSE)</f>
        <v>27th</v>
      </c>
      <c r="HQ59" s="137"/>
      <c r="HR59" s="137"/>
      <c r="HS59" s="137">
        <f t="shared" si="113"/>
        <v>0</v>
      </c>
      <c r="HT59" s="137" t="str">
        <f t="shared" si="260"/>
        <v>0</v>
      </c>
      <c r="HU59" s="137">
        <f t="shared" si="115"/>
        <v>0</v>
      </c>
      <c r="HV59" s="137">
        <f t="shared" si="116"/>
        <v>0</v>
      </c>
      <c r="HW59" s="135" t="str">
        <f t="shared" si="117"/>
        <v>F</v>
      </c>
      <c r="HX59" s="135" t="str">
        <f>VLOOKUP(RANK(HV59,$HV$10:$HV$109),Sheet1!$A$381:$B$480,2,FALSE)</f>
        <v>1st</v>
      </c>
      <c r="HY59" s="137"/>
      <c r="HZ59" s="137"/>
      <c r="IA59" s="137">
        <f t="shared" si="261"/>
        <v>0</v>
      </c>
      <c r="IB59" s="137" t="str">
        <f t="shared" si="262"/>
        <v>0</v>
      </c>
      <c r="IC59" s="137">
        <f t="shared" si="120"/>
        <v>0</v>
      </c>
      <c r="ID59" s="137">
        <f t="shared" si="121"/>
        <v>0</v>
      </c>
      <c r="IE59" s="135" t="str">
        <f t="shared" si="122"/>
        <v>F</v>
      </c>
      <c r="IF59" s="135" t="str">
        <f>VLOOKUP(RANK(ID59,$ID$10:$ID$109),Sheet1!$A$381:$B$480,2,FALSE)</f>
        <v>1st</v>
      </c>
      <c r="IG59" s="135"/>
      <c r="IH59" s="135"/>
      <c r="II59" s="135">
        <f t="shared" si="273"/>
        <v>0</v>
      </c>
      <c r="IJ59" s="135" t="str">
        <f t="shared" si="274"/>
        <v>0</v>
      </c>
      <c r="IK59" s="135">
        <f t="shared" si="275"/>
        <v>0</v>
      </c>
      <c r="IL59" s="135">
        <f t="shared" si="276"/>
        <v>0</v>
      </c>
      <c r="IM59" s="135" t="str">
        <f t="shared" si="123"/>
        <v>F</v>
      </c>
      <c r="IN59" s="135" t="str">
        <f>VLOOKUP(RANK(IL59,$IL$10:$IL$109),Sheet1!$A$381:$B$480,2,FALSE)</f>
        <v>1st</v>
      </c>
      <c r="IO59" s="135">
        <f t="shared" si="277"/>
        <v>674</v>
      </c>
      <c r="IP59" s="177">
        <f t="shared" si="278"/>
        <v>39.647058823529399</v>
      </c>
      <c r="IQ59" s="135" t="str">
        <f>VLOOKUP(RANK(IP59,$IP$10:$IP$109),Sheet1!$A$381:$B$480,2,FALSE)</f>
        <v>19th</v>
      </c>
      <c r="IR59" s="178"/>
      <c r="IS59" s="137"/>
      <c r="IT59" s="137"/>
      <c r="IU59" s="137"/>
      <c r="IV59" s="137"/>
      <c r="IW59" s="181"/>
      <c r="IX59" s="184"/>
      <c r="IY59" s="186"/>
      <c r="IZ59" s="186">
        <f t="shared" si="206"/>
        <v>0</v>
      </c>
      <c r="JA59" s="186" t="str">
        <f t="shared" si="124"/>
        <v>75</v>
      </c>
      <c r="JB59" s="186" t="str">
        <f t="shared" si="125"/>
        <v>86</v>
      </c>
      <c r="JC59" s="186">
        <f t="shared" si="279"/>
        <v>161</v>
      </c>
      <c r="JD59" s="186">
        <f t="shared" si="280"/>
        <v>53.6666666666667</v>
      </c>
      <c r="JE59" s="135" t="str">
        <f t="shared" si="126"/>
        <v>C</v>
      </c>
      <c r="JF59" s="151" t="str">
        <f>VLOOKUP(RANK(JD59,$JD$10:$JD$109),Sheet1!$A$381:$B$480,2,FALSE)</f>
        <v>5th</v>
      </c>
      <c r="JG59" s="186"/>
      <c r="JH59" s="186"/>
      <c r="JI59" s="186">
        <f t="shared" si="127"/>
        <v>0</v>
      </c>
      <c r="JJ59" s="186" t="str">
        <f t="shared" si="128"/>
        <v>53</v>
      </c>
      <c r="JK59" s="186" t="str">
        <f t="shared" si="129"/>
        <v>44</v>
      </c>
      <c r="JL59" s="186">
        <f t="shared" si="281"/>
        <v>97</v>
      </c>
      <c r="JM59" s="186">
        <f t="shared" si="282"/>
        <v>32.3333333333333</v>
      </c>
      <c r="JN59" s="135" t="str">
        <f t="shared" si="130"/>
        <v>F</v>
      </c>
      <c r="JO59" s="151" t="str">
        <f>VLOOKUP(RANK(JM59,$JM$10:$JM$109),Sheet1!$A$381:$B$480,2,FALSE)</f>
        <v>51st</v>
      </c>
      <c r="JP59" s="186"/>
      <c r="JQ59" s="186"/>
      <c r="JR59" s="186">
        <f t="shared" si="131"/>
        <v>0</v>
      </c>
      <c r="JS59" s="186" t="str">
        <f t="shared" si="132"/>
        <v>46</v>
      </c>
      <c r="JT59" s="186" t="str">
        <f t="shared" si="133"/>
        <v>60</v>
      </c>
      <c r="JU59" s="186">
        <f t="shared" si="283"/>
        <v>106</v>
      </c>
      <c r="JV59" s="186">
        <f t="shared" si="284"/>
        <v>35.3333333333333</v>
      </c>
      <c r="JW59" s="135" t="str">
        <f t="shared" si="134"/>
        <v>E</v>
      </c>
      <c r="JX59" s="151" t="str">
        <f>VLOOKUP(RANK(JV59,$JV$10:$JV$109),Sheet1!$A$381:$B$480,2,FALSE)</f>
        <v>29th</v>
      </c>
      <c r="JY59" s="186"/>
      <c r="JZ59" s="186"/>
      <c r="KA59" s="186">
        <f t="shared" si="135"/>
        <v>0</v>
      </c>
      <c r="KB59" s="186" t="str">
        <f t="shared" si="136"/>
        <v>55</v>
      </c>
      <c r="KC59" s="186" t="str">
        <f t="shared" si="137"/>
        <v>80</v>
      </c>
      <c r="KD59" s="186">
        <f t="shared" si="285"/>
        <v>135</v>
      </c>
      <c r="KE59" s="186">
        <f t="shared" si="286"/>
        <v>45</v>
      </c>
      <c r="KF59" s="135" t="str">
        <f t="shared" si="138"/>
        <v>D</v>
      </c>
      <c r="KG59" s="151" t="str">
        <f>VLOOKUP(RANK(KE59,$KE$10:$KE$109),Sheet1!$A$381:$B$480,2,FALSE)</f>
        <v>18th</v>
      </c>
      <c r="KH59" s="186"/>
      <c r="KI59" s="186"/>
      <c r="KJ59" s="186">
        <f t="shared" si="139"/>
        <v>0</v>
      </c>
      <c r="KK59" s="186" t="str">
        <f t="shared" si="140"/>
        <v>77</v>
      </c>
      <c r="KL59" s="186" t="str">
        <f t="shared" si="141"/>
        <v>64</v>
      </c>
      <c r="KM59" s="186">
        <f t="shared" si="287"/>
        <v>141</v>
      </c>
      <c r="KN59" s="186">
        <f t="shared" si="288"/>
        <v>47</v>
      </c>
      <c r="KO59" s="135" t="str">
        <f t="shared" si="142"/>
        <v>D</v>
      </c>
      <c r="KP59" s="151" t="str">
        <f>VLOOKUP(RANK(KN59,$KN$10:$KN$109),Sheet1!$A$381:$B$480,2,FALSE)</f>
        <v>16th</v>
      </c>
      <c r="KQ59" s="186"/>
      <c r="KR59" s="186"/>
      <c r="KS59" s="186">
        <f t="shared" si="143"/>
        <v>0</v>
      </c>
      <c r="KT59" s="186" t="str">
        <f t="shared" si="144"/>
        <v>0</v>
      </c>
      <c r="KU59" s="186" t="str">
        <f t="shared" si="145"/>
        <v>0</v>
      </c>
      <c r="KV59" s="186">
        <f t="shared" si="289"/>
        <v>0</v>
      </c>
      <c r="KW59" s="186">
        <f t="shared" si="290"/>
        <v>0</v>
      </c>
      <c r="KX59" s="135" t="str">
        <f t="shared" si="146"/>
        <v>F</v>
      </c>
      <c r="KY59" s="151" t="str">
        <f>VLOOKUP(RANK(KW59,$KW$10:$KW$109),Sheet1!$A$381:$B$480,2,FALSE)</f>
        <v>1st</v>
      </c>
      <c r="KZ59" s="186"/>
      <c r="LA59" s="186"/>
      <c r="LB59" s="186">
        <f t="shared" si="147"/>
        <v>0</v>
      </c>
      <c r="LC59" s="186" t="str">
        <f t="shared" si="148"/>
        <v>0</v>
      </c>
      <c r="LD59" s="186" t="str">
        <f t="shared" si="149"/>
        <v>0</v>
      </c>
      <c r="LE59" s="186">
        <f t="shared" si="291"/>
        <v>0</v>
      </c>
      <c r="LF59" s="186">
        <f t="shared" si="292"/>
        <v>0</v>
      </c>
      <c r="LG59" s="135" t="str">
        <f t="shared" si="150"/>
        <v>F</v>
      </c>
      <c r="LH59" s="151" t="str">
        <f>VLOOKUP(RANK(LF59,$LF$10:$LF$109),Sheet1!$A$381:$B$480,2,FALSE)</f>
        <v>1st</v>
      </c>
      <c r="LI59" s="186"/>
      <c r="LJ59" s="186"/>
      <c r="LK59" s="186">
        <f t="shared" si="151"/>
        <v>0</v>
      </c>
      <c r="LL59" s="186" t="str">
        <f t="shared" si="152"/>
        <v>53</v>
      </c>
      <c r="LM59" s="186" t="str">
        <f t="shared" si="153"/>
        <v>63</v>
      </c>
      <c r="LN59" s="186">
        <f t="shared" si="293"/>
        <v>116</v>
      </c>
      <c r="LO59" s="186">
        <f t="shared" si="294"/>
        <v>38.6666666666667</v>
      </c>
      <c r="LP59" s="135" t="str">
        <f t="shared" si="154"/>
        <v>E</v>
      </c>
      <c r="LQ59" s="151" t="str">
        <f>VLOOKUP(RANK(LO59,$LO$10:$LO$109),Sheet1!$A$381:$B$480,2,FALSE)</f>
        <v>11th</v>
      </c>
      <c r="LR59" s="186"/>
      <c r="LS59" s="186"/>
      <c r="LT59" s="186">
        <f t="shared" si="155"/>
        <v>0</v>
      </c>
      <c r="LU59" s="186" t="str">
        <f t="shared" si="156"/>
        <v>67</v>
      </c>
      <c r="LV59" s="186" t="str">
        <f t="shared" si="157"/>
        <v>47</v>
      </c>
      <c r="LW59" s="186">
        <f t="shared" si="295"/>
        <v>114</v>
      </c>
      <c r="LX59" s="186">
        <f t="shared" si="296"/>
        <v>38</v>
      </c>
      <c r="LY59" s="135" t="str">
        <f t="shared" si="158"/>
        <v>E</v>
      </c>
      <c r="LZ59" s="151" t="str">
        <f>VLOOKUP(RANK(LX59,$LX$10:$LX$109),Sheet1!$A$381:$B$480,2,FALSE)</f>
        <v>31st</v>
      </c>
      <c r="MA59" s="186"/>
      <c r="MB59" s="186"/>
      <c r="MC59" s="186">
        <f t="shared" si="159"/>
        <v>0</v>
      </c>
      <c r="MD59" s="186" t="str">
        <f t="shared" si="160"/>
        <v>39</v>
      </c>
      <c r="ME59" s="186" t="str">
        <f t="shared" si="161"/>
        <v>53</v>
      </c>
      <c r="MF59" s="183">
        <f t="shared" si="297"/>
        <v>92</v>
      </c>
      <c r="MG59" s="151">
        <f t="shared" si="298"/>
        <v>30.6666666666667</v>
      </c>
      <c r="MH59" s="135" t="str">
        <f t="shared" si="162"/>
        <v>F</v>
      </c>
      <c r="MI59" s="151" t="str">
        <f>VLOOKUP(RANK(MG59,$MG$10:$MG$109),Sheet1!$A$381:$B$480,2,FALSE)</f>
        <v>24th</v>
      </c>
      <c r="MJ59" s="186"/>
      <c r="MK59" s="186"/>
      <c r="ML59" s="186">
        <f t="shared" si="163"/>
        <v>0</v>
      </c>
      <c r="MM59" s="186" t="str">
        <f t="shared" si="164"/>
        <v>51</v>
      </c>
      <c r="MN59" s="186" t="str">
        <f t="shared" si="165"/>
        <v>44</v>
      </c>
      <c r="MO59" s="186">
        <f t="shared" si="299"/>
        <v>95</v>
      </c>
      <c r="MP59" s="186">
        <f t="shared" si="300"/>
        <v>31.6666666666667</v>
      </c>
      <c r="MQ59" s="135" t="str">
        <f t="shared" si="166"/>
        <v>F</v>
      </c>
      <c r="MR59" s="151" t="str">
        <f>VLOOKUP(RANK(MP59,$MP$10:$MP$109),Sheet1!$A$381:$B$480,2,FALSE)</f>
        <v>61st</v>
      </c>
      <c r="MS59" s="186"/>
      <c r="MT59" s="186"/>
      <c r="MU59" s="186">
        <f t="shared" si="167"/>
        <v>0</v>
      </c>
      <c r="MV59" s="186" t="str">
        <f t="shared" si="168"/>
        <v>58</v>
      </c>
      <c r="MW59" s="186" t="str">
        <f t="shared" si="169"/>
        <v>68</v>
      </c>
      <c r="MX59" s="186">
        <f t="shared" si="301"/>
        <v>126</v>
      </c>
      <c r="MY59" s="186">
        <f t="shared" si="302"/>
        <v>42</v>
      </c>
      <c r="MZ59" s="135" t="str">
        <f t="shared" si="170"/>
        <v>D</v>
      </c>
      <c r="NA59" s="151" t="str">
        <f>VLOOKUP(RANK(MY59,$MY$10:$MY$109),Sheet1!$A$381:$B$480,2,FALSE)</f>
        <v>20th</v>
      </c>
      <c r="NB59" s="186"/>
      <c r="NC59" s="186"/>
      <c r="ND59" s="186">
        <f t="shared" si="171"/>
        <v>0</v>
      </c>
      <c r="NE59" s="186" t="str">
        <f t="shared" si="172"/>
        <v>43</v>
      </c>
      <c r="NF59" s="186" t="str">
        <f t="shared" si="173"/>
        <v>51</v>
      </c>
      <c r="NG59" s="186">
        <f t="shared" si="303"/>
        <v>94</v>
      </c>
      <c r="NH59" s="186">
        <f t="shared" si="304"/>
        <v>31.3333333333333</v>
      </c>
      <c r="NI59" s="135" t="str">
        <f t="shared" si="174"/>
        <v>F</v>
      </c>
      <c r="NJ59" s="151" t="str">
        <f>VLOOKUP(RANK(NH59,$NH$10:$NH$109),Sheet1!$A$381:$B$480,2,FALSE)</f>
        <v>16th</v>
      </c>
      <c r="NK59" s="186"/>
      <c r="NL59" s="186"/>
      <c r="NM59" s="186">
        <f t="shared" si="175"/>
        <v>0</v>
      </c>
      <c r="NN59" s="186" t="str">
        <f t="shared" si="176"/>
        <v>66</v>
      </c>
      <c r="NO59" s="186" t="str">
        <f t="shared" si="177"/>
        <v>72</v>
      </c>
      <c r="NP59" s="186">
        <f t="shared" si="305"/>
        <v>138</v>
      </c>
      <c r="NQ59" s="186">
        <f t="shared" si="263"/>
        <v>46</v>
      </c>
      <c r="NR59" s="135" t="str">
        <f t="shared" si="179"/>
        <v>D</v>
      </c>
      <c r="NS59" s="151" t="str">
        <f>VLOOKUP(RANK(NQ59,$NQ$10:$NQ$109),Sheet1!$A$381:$B$480,2,FALSE)</f>
        <v>27th</v>
      </c>
      <c r="NT59" s="186"/>
      <c r="NU59" s="186"/>
      <c r="NV59" s="186">
        <f t="shared" si="180"/>
        <v>0</v>
      </c>
      <c r="NW59" s="186" t="str">
        <f t="shared" si="181"/>
        <v>0</v>
      </c>
      <c r="NX59" s="186" t="str">
        <f t="shared" si="182"/>
        <v>0</v>
      </c>
      <c r="NY59" s="186">
        <f t="shared" si="306"/>
        <v>0</v>
      </c>
      <c r="NZ59" s="186">
        <f t="shared" si="264"/>
        <v>0</v>
      </c>
      <c r="OA59" s="135" t="str">
        <f t="shared" si="184"/>
        <v>F</v>
      </c>
      <c r="OB59" s="151" t="str">
        <f>VLOOKUP(RANK(NZ59,$NZ$10:$NZ$109),Sheet1!$A$381:$B$480,2,FALSE)</f>
        <v>1st</v>
      </c>
      <c r="OC59" s="186"/>
      <c r="OD59" s="186"/>
      <c r="OE59" s="186">
        <f t="shared" si="185"/>
        <v>0</v>
      </c>
      <c r="OF59" s="186" t="str">
        <f t="shared" si="186"/>
        <v>0</v>
      </c>
      <c r="OG59" s="186" t="str">
        <f t="shared" si="187"/>
        <v>0</v>
      </c>
      <c r="OH59" s="186">
        <f t="shared" si="307"/>
        <v>0</v>
      </c>
      <c r="OI59" s="186">
        <f t="shared" si="236"/>
        <v>0</v>
      </c>
      <c r="OJ59" s="135" t="str">
        <f t="shared" si="188"/>
        <v>F</v>
      </c>
      <c r="OK59" s="151" t="str">
        <f>VLOOKUP(RANK(OI59,$OI$10:$OI$109),Sheet1!$A$381:$B$480,2,FALSE)</f>
        <v>1st</v>
      </c>
      <c r="OL59" s="151"/>
      <c r="OM59" s="151"/>
      <c r="ON59" s="151">
        <f t="shared" si="308"/>
        <v>0</v>
      </c>
      <c r="OO59" s="151" t="str">
        <f t="shared" si="309"/>
        <v>0</v>
      </c>
      <c r="OP59" s="151" t="str">
        <f t="shared" si="310"/>
        <v>0</v>
      </c>
      <c r="OQ59" s="151">
        <f t="shared" si="311"/>
        <v>0</v>
      </c>
      <c r="OR59" s="151">
        <f t="shared" si="312"/>
        <v>0</v>
      </c>
      <c r="OS59" s="135" t="str">
        <f t="shared" si="189"/>
        <v>F</v>
      </c>
      <c r="OT59" s="151" t="str">
        <f>VLOOKUP(RANK(OR59,$OI$10:$OI$109),Sheet1!$A$381:$B$480,2,FALSE)</f>
        <v>1st</v>
      </c>
      <c r="OU59" s="151">
        <f t="shared" si="313"/>
        <v>471.66666666666703</v>
      </c>
      <c r="OV59" s="151">
        <f t="shared" si="314"/>
        <v>27.745098039215701</v>
      </c>
      <c r="OW59" s="151" t="str">
        <f>VLOOKUP(RANK(OV59,$OV$10:$OV$109),Sheet1!$A$381:$B$480,2,FALSE)</f>
        <v>17th</v>
      </c>
      <c r="OX59" s="151"/>
      <c r="OY59" s="186"/>
      <c r="OZ59" s="186"/>
      <c r="PA59" s="186"/>
      <c r="PB59" s="186"/>
    </row>
    <row r="60" spans="1:418" s="118" customFormat="1" ht="18.75">
      <c r="A60" s="131">
        <v>51</v>
      </c>
      <c r="B60" s="132" t="s">
        <v>149</v>
      </c>
      <c r="C60" s="133" t="s">
        <v>97</v>
      </c>
      <c r="D60" s="134">
        <v>29</v>
      </c>
      <c r="E60" s="134">
        <v>50</v>
      </c>
      <c r="F60" s="137">
        <f t="shared" si="0"/>
        <v>79</v>
      </c>
      <c r="G60" s="137">
        <f t="shared" si="1"/>
        <v>79</v>
      </c>
      <c r="H60" s="135" t="str">
        <f t="shared" si="265"/>
        <v>A</v>
      </c>
      <c r="I60" s="135" t="str">
        <f>VLOOKUP(RANK(G60,$G$10:$G$109),Sheet1!$A$381:$B$480,2,FALSE)</f>
        <v>11th</v>
      </c>
      <c r="J60" s="134">
        <v>29</v>
      </c>
      <c r="K60" s="134">
        <v>18</v>
      </c>
      <c r="L60" s="137">
        <f t="shared" si="2"/>
        <v>47</v>
      </c>
      <c r="M60" s="137">
        <f t="shared" si="3"/>
        <v>47</v>
      </c>
      <c r="N60" s="135" t="str">
        <f t="shared" si="4"/>
        <v>D</v>
      </c>
      <c r="O60" s="141" t="str">
        <f>VLOOKUP(RANK(M60,$M$10:$M$109),Sheet1!$A$381:$B$480,2,FALSE)</f>
        <v>75th</v>
      </c>
      <c r="P60" s="144">
        <v>30</v>
      </c>
      <c r="Q60" s="144">
        <v>20</v>
      </c>
      <c r="R60" s="147">
        <f t="shared" si="5"/>
        <v>50</v>
      </c>
      <c r="S60" s="137">
        <f t="shared" si="6"/>
        <v>50</v>
      </c>
      <c r="T60" s="135" t="str">
        <f t="shared" si="7"/>
        <v>C</v>
      </c>
      <c r="U60" s="135" t="str">
        <f>VLOOKUP(RANK(S60,$S$10:$S$109),Sheet1!$A$381:$B$480,2,FALSE)</f>
        <v>29th</v>
      </c>
      <c r="V60" s="134">
        <v>29</v>
      </c>
      <c r="W60" s="134">
        <v>22</v>
      </c>
      <c r="X60" s="137">
        <f t="shared" si="191"/>
        <v>51</v>
      </c>
      <c r="Y60" s="137">
        <f t="shared" si="244"/>
        <v>51</v>
      </c>
      <c r="Z60" s="135" t="str">
        <f t="shared" si="8"/>
        <v>C</v>
      </c>
      <c r="AA60" s="135" t="str">
        <f>VLOOKUP(RANK(Y60,$Y$10:$Y$109),Sheet1!$A$381:$B$480,2,FALSE)</f>
        <v>54th</v>
      </c>
      <c r="AB60" s="134">
        <v>30</v>
      </c>
      <c r="AC60" s="134">
        <v>33</v>
      </c>
      <c r="AD60" s="137">
        <f t="shared" si="9"/>
        <v>63</v>
      </c>
      <c r="AE60" s="137">
        <f t="shared" si="10"/>
        <v>63</v>
      </c>
      <c r="AF60" s="135" t="str">
        <f t="shared" si="11"/>
        <v>B</v>
      </c>
      <c r="AG60" s="135" t="str">
        <f>VLOOKUP(RANK(AE60,$AE$10:$AE$109),Sheet1!$A$381:$B$480,2,FALSE)</f>
        <v>46th</v>
      </c>
      <c r="AH60" s="137"/>
      <c r="AI60" s="137"/>
      <c r="AJ60" s="137">
        <f t="shared" si="12"/>
        <v>0</v>
      </c>
      <c r="AK60" s="137">
        <f t="shared" si="13"/>
        <v>0</v>
      </c>
      <c r="AL60" s="135" t="str">
        <f t="shared" si="14"/>
        <v>F</v>
      </c>
      <c r="AM60" s="135" t="str">
        <f>VLOOKUP(RANK(AK60,$AK$10:$AK$109),Sheet1!$A$381:$B$480,2,FALSE)</f>
        <v>1st</v>
      </c>
      <c r="AN60" s="134"/>
      <c r="AO60" s="134"/>
      <c r="AP60" s="137">
        <f t="shared" si="15"/>
        <v>0</v>
      </c>
      <c r="AQ60" s="137">
        <f t="shared" si="16"/>
        <v>0</v>
      </c>
      <c r="AR60" s="135" t="str">
        <f t="shared" si="17"/>
        <v>F</v>
      </c>
      <c r="AS60" s="135" t="str">
        <f>VLOOKUP(RANK(AQ60,$AQ$10:$AQ$109),Sheet1!$A$381:$B$480,2,FALSE)</f>
        <v>1st</v>
      </c>
      <c r="AT60" s="144">
        <v>25</v>
      </c>
      <c r="AU60" s="144">
        <v>31</v>
      </c>
      <c r="AV60" s="137">
        <f t="shared" si="18"/>
        <v>56</v>
      </c>
      <c r="AW60" s="137">
        <f t="shared" si="19"/>
        <v>56</v>
      </c>
      <c r="AX60" s="135" t="str">
        <f t="shared" si="20"/>
        <v>C</v>
      </c>
      <c r="AY60" s="141" t="str">
        <f>VLOOKUP(RANK(AW60,$AW$10:$AW$109),Sheet1!$A$381:$B$480,2,FALSE)</f>
        <v>19th</v>
      </c>
      <c r="AZ60" s="144">
        <v>37</v>
      </c>
      <c r="BA60" s="144">
        <v>36</v>
      </c>
      <c r="BB60" s="147">
        <f t="shared" si="21"/>
        <v>73</v>
      </c>
      <c r="BC60" s="137">
        <f t="shared" si="22"/>
        <v>73</v>
      </c>
      <c r="BD60" s="135" t="str">
        <f t="shared" si="23"/>
        <v>B</v>
      </c>
      <c r="BE60" s="135" t="str">
        <f>VLOOKUP(RANK(BC60,$BC$10:$BC$109),Sheet1!$A$381:$B$480,2,FALSE)</f>
        <v>7th</v>
      </c>
      <c r="BF60" s="144">
        <v>12</v>
      </c>
      <c r="BG60" s="144">
        <v>20</v>
      </c>
      <c r="BH60" s="137">
        <f t="shared" si="24"/>
        <v>32</v>
      </c>
      <c r="BI60" s="137">
        <f t="shared" si="25"/>
        <v>32</v>
      </c>
      <c r="BJ60" s="135" t="str">
        <f t="shared" si="26"/>
        <v>F</v>
      </c>
      <c r="BK60" s="141" t="str">
        <f>VLOOKUP(RANK(BI60,$BI$10:$BI$109),Sheet1!$A$381:$B$480,2,FALSE)</f>
        <v>58th</v>
      </c>
      <c r="BL60" s="149">
        <v>28</v>
      </c>
      <c r="BM60" s="149">
        <v>27</v>
      </c>
      <c r="BN60" s="147">
        <f t="shared" si="27"/>
        <v>55</v>
      </c>
      <c r="BO60" s="137">
        <f t="shared" si="28"/>
        <v>55</v>
      </c>
      <c r="BP60" s="135" t="str">
        <f t="shared" si="29"/>
        <v>C</v>
      </c>
      <c r="BQ60" s="141" t="str">
        <f>VLOOKUP(RANK(BO60,$BO$10:$BO$109),Sheet1!$A$381:$B$480,2,FALSE)</f>
        <v>14th</v>
      </c>
      <c r="BR60" s="149">
        <v>26</v>
      </c>
      <c r="BS60" s="149">
        <v>33</v>
      </c>
      <c r="BT60" s="147">
        <f t="shared" si="30"/>
        <v>59</v>
      </c>
      <c r="BU60" s="137">
        <f t="shared" si="31"/>
        <v>59</v>
      </c>
      <c r="BV60" s="135" t="str">
        <f t="shared" si="32"/>
        <v>C</v>
      </c>
      <c r="BW60" s="135" t="str">
        <f>VLOOKUP(RANK(BU60,$BU$10:$BU$109),Sheet1!$A$381:$B$480,2,FALSE)</f>
        <v>25th</v>
      </c>
      <c r="BX60" s="149">
        <v>34</v>
      </c>
      <c r="BY60" s="149">
        <v>10</v>
      </c>
      <c r="BZ60" s="137">
        <f t="shared" si="33"/>
        <v>44</v>
      </c>
      <c r="CA60" s="137">
        <f t="shared" si="34"/>
        <v>44</v>
      </c>
      <c r="CB60" s="135" t="str">
        <f t="shared" si="35"/>
        <v>D</v>
      </c>
      <c r="CC60" s="135" t="str">
        <f>VLOOKUP(RANK(CA60,$CA$10:$CA$109),Sheet1!$A$381:$B$480,2,FALSE)</f>
        <v>20th</v>
      </c>
      <c r="CD60" s="149">
        <v>25</v>
      </c>
      <c r="CE60" s="149">
        <v>30</v>
      </c>
      <c r="CF60" s="137">
        <f t="shared" si="36"/>
        <v>55</v>
      </c>
      <c r="CG60" s="137">
        <f t="shared" si="37"/>
        <v>55</v>
      </c>
      <c r="CH60" s="135" t="str">
        <f t="shared" si="38"/>
        <v>C</v>
      </c>
      <c r="CI60" s="135" t="str">
        <f>VLOOKUP(RANK(CG60,$CG$10:$CG$109),Sheet1!$A$381:$B$480,2,FALSE)</f>
        <v>46th</v>
      </c>
      <c r="CJ60" s="137"/>
      <c r="CK60" s="137"/>
      <c r="CL60" s="137">
        <f t="shared" si="39"/>
        <v>0</v>
      </c>
      <c r="CM60" s="137">
        <f t="shared" si="40"/>
        <v>0</v>
      </c>
      <c r="CN60" s="135" t="str">
        <f t="shared" si="41"/>
        <v>F</v>
      </c>
      <c r="CO60" s="135" t="str">
        <f>VLOOKUP(RANK(CM60,$CM$10:$CM$109),Sheet1!$A$381:$B$480,2,FALSE)</f>
        <v>1st</v>
      </c>
      <c r="CP60" s="137"/>
      <c r="CQ60" s="137"/>
      <c r="CR60" s="137">
        <f t="shared" si="42"/>
        <v>0</v>
      </c>
      <c r="CS60" s="137">
        <f t="shared" si="43"/>
        <v>0</v>
      </c>
      <c r="CT60" s="135" t="str">
        <f t="shared" si="44"/>
        <v>F</v>
      </c>
      <c r="CU60" s="135" t="str">
        <f>VLOOKUP(RANK(CS60,$CS$10:$CS$109),Sheet1!$A$381:$B$480,2,FALSE)</f>
        <v>1st</v>
      </c>
      <c r="CV60" s="151"/>
      <c r="CW60" s="135"/>
      <c r="CX60" s="151">
        <f t="shared" si="266"/>
        <v>0</v>
      </c>
      <c r="CY60" s="151">
        <f t="shared" si="267"/>
        <v>0</v>
      </c>
      <c r="CZ60" s="135" t="str">
        <f t="shared" si="45"/>
        <v>F</v>
      </c>
      <c r="DA60" s="135" t="str">
        <f>VLOOKUP(RANK(CY60,$CY$10:$CY$109),Sheet1!$A$381:$B$480,2,FALSE)</f>
        <v>1st</v>
      </c>
      <c r="DB60" s="135"/>
      <c r="DC60" s="151">
        <f t="shared" si="268"/>
        <v>664</v>
      </c>
      <c r="DD60" s="151">
        <f t="shared" si="269"/>
        <v>39.058823529411796</v>
      </c>
      <c r="DE60" s="135" t="str">
        <f>VLOOKUP(RANK(DD60,$DD$10:$DD$109),Sheet1!$A$381:$B$480,2,FALSE)</f>
        <v>33rd</v>
      </c>
      <c r="DF60" s="137"/>
      <c r="DG60" s="160">
        <f t="shared" si="46"/>
        <v>703.05882352941205</v>
      </c>
      <c r="DH60" s="119"/>
      <c r="DI60" s="162">
        <v>19</v>
      </c>
      <c r="DJ60" s="162">
        <v>43</v>
      </c>
      <c r="DK60" s="137">
        <f t="shared" si="47"/>
        <v>62</v>
      </c>
      <c r="DL60" s="137" t="str">
        <f t="shared" si="245"/>
        <v>79</v>
      </c>
      <c r="DM60" s="137">
        <f t="shared" si="49"/>
        <v>141</v>
      </c>
      <c r="DN60" s="137">
        <f t="shared" si="50"/>
        <v>70.5</v>
      </c>
      <c r="DO60" s="135" t="str">
        <f t="shared" si="51"/>
        <v>B</v>
      </c>
      <c r="DP60" s="135" t="str">
        <f>VLOOKUP(RANK(DN60,$DN$10:$DN$109),Sheet1!$A$381:$B$480,2,FALSE)</f>
        <v>35th</v>
      </c>
      <c r="DQ60" s="166">
        <v>25</v>
      </c>
      <c r="DR60" s="166">
        <v>19</v>
      </c>
      <c r="DS60" s="137">
        <f t="shared" si="52"/>
        <v>44</v>
      </c>
      <c r="DT60" s="137" t="str">
        <f t="shared" si="246"/>
        <v>47</v>
      </c>
      <c r="DU60" s="137">
        <f t="shared" si="54"/>
        <v>91</v>
      </c>
      <c r="DV60" s="137">
        <f t="shared" si="247"/>
        <v>45.5</v>
      </c>
      <c r="DW60" s="135" t="str">
        <f t="shared" si="56"/>
        <v>D</v>
      </c>
      <c r="DX60" s="135" t="str">
        <f>VLOOKUP(RANK(DV60,$DV$10:$DV$109),Sheet1!$A$381:$B$480,2,FALSE)</f>
        <v>68th</v>
      </c>
      <c r="DY60" s="168">
        <v>31</v>
      </c>
      <c r="DZ60" s="168">
        <v>20</v>
      </c>
      <c r="EA60" s="137">
        <f t="shared" si="57"/>
        <v>51</v>
      </c>
      <c r="EB60" s="137" t="str">
        <f t="shared" si="248"/>
        <v>50</v>
      </c>
      <c r="EC60" s="137">
        <f t="shared" si="59"/>
        <v>101</v>
      </c>
      <c r="ED60" s="137">
        <f t="shared" si="60"/>
        <v>50.5</v>
      </c>
      <c r="EE60" s="135" t="str">
        <f t="shared" si="61"/>
        <v>C</v>
      </c>
      <c r="EF60" s="135" t="str">
        <f>VLOOKUP(RANK(ED60,$ED$10:$ED$109),Sheet1!$A$381:$B$480,2,FALSE)</f>
        <v>35th</v>
      </c>
      <c r="EG60" s="162">
        <v>30</v>
      </c>
      <c r="EH60" s="162">
        <v>27</v>
      </c>
      <c r="EI60" s="137">
        <f t="shared" si="62"/>
        <v>57</v>
      </c>
      <c r="EJ60" s="137" t="str">
        <f t="shared" si="249"/>
        <v>51</v>
      </c>
      <c r="EK60" s="137">
        <f t="shared" si="64"/>
        <v>108</v>
      </c>
      <c r="EL60" s="137">
        <f t="shared" si="65"/>
        <v>54</v>
      </c>
      <c r="EM60" s="135" t="str">
        <f t="shared" si="66"/>
        <v>C</v>
      </c>
      <c r="EN60" s="135" t="str">
        <f>VLOOKUP(RANK(EL60,$EL$10:$EL$109),Sheet1!$A$381:$B$480,2,FALSE)</f>
        <v>50th</v>
      </c>
      <c r="EO60" s="162">
        <v>33</v>
      </c>
      <c r="EP60" s="162">
        <v>34</v>
      </c>
      <c r="EQ60" s="137">
        <f t="shared" si="67"/>
        <v>67</v>
      </c>
      <c r="ER60" s="137" t="str">
        <f t="shared" si="250"/>
        <v>63</v>
      </c>
      <c r="ES60" s="137">
        <f t="shared" si="69"/>
        <v>130</v>
      </c>
      <c r="ET60" s="137">
        <f t="shared" si="70"/>
        <v>65</v>
      </c>
      <c r="EU60" s="135" t="str">
        <f t="shared" si="71"/>
        <v>B</v>
      </c>
      <c r="EV60" s="135" t="str">
        <f>VLOOKUP(RANK(ET60,$ET$10:$ET$109),Sheet1!$A$381:$B$480,2,FALSE)</f>
        <v>27th</v>
      </c>
      <c r="EW60" s="137"/>
      <c r="EX60" s="137"/>
      <c r="EY60" s="137">
        <f t="shared" si="72"/>
        <v>0</v>
      </c>
      <c r="EZ60" s="137" t="str">
        <f t="shared" si="251"/>
        <v>0</v>
      </c>
      <c r="FA60" s="137">
        <f t="shared" si="74"/>
        <v>0</v>
      </c>
      <c r="FB60" s="137">
        <f t="shared" si="75"/>
        <v>0</v>
      </c>
      <c r="FC60" s="135" t="str">
        <f t="shared" si="76"/>
        <v>F</v>
      </c>
      <c r="FD60" s="135" t="str">
        <f>VLOOKUP(RANK(FB60,$FB$10:$FB$109),Sheet1!$A$381:$B$480,2,FALSE)</f>
        <v>1st</v>
      </c>
      <c r="FE60" s="137"/>
      <c r="FF60" s="137"/>
      <c r="FG60" s="137">
        <f t="shared" si="77"/>
        <v>0</v>
      </c>
      <c r="FH60" s="137" t="str">
        <f t="shared" si="252"/>
        <v>0</v>
      </c>
      <c r="FI60" s="137">
        <f t="shared" si="79"/>
        <v>0</v>
      </c>
      <c r="FJ60" s="137">
        <f t="shared" si="80"/>
        <v>0</v>
      </c>
      <c r="FK60" s="135" t="str">
        <f t="shared" si="81"/>
        <v>F</v>
      </c>
      <c r="FL60" s="135" t="str">
        <f>VLOOKUP(RANK(FJ60,$FJ$10:$FJ$109),Sheet1!$A$381:$B$480,2,FALSE)</f>
        <v>1st</v>
      </c>
      <c r="FM60" s="166">
        <v>28</v>
      </c>
      <c r="FN60" s="166">
        <v>22</v>
      </c>
      <c r="FO60" s="137">
        <f t="shared" si="82"/>
        <v>50</v>
      </c>
      <c r="FP60" s="137" t="str">
        <f t="shared" si="253"/>
        <v>56</v>
      </c>
      <c r="FQ60" s="137">
        <f t="shared" si="84"/>
        <v>106</v>
      </c>
      <c r="FR60" s="137">
        <f t="shared" si="85"/>
        <v>53</v>
      </c>
      <c r="FS60" s="135" t="str">
        <f t="shared" si="86"/>
        <v>C</v>
      </c>
      <c r="FT60" s="135" t="str">
        <f>VLOOKUP(RANK(FR60,$FR$10:$FR$109),Sheet1!$A$381:$B$480,2,FALSE)</f>
        <v>36th</v>
      </c>
      <c r="FU60" s="149">
        <v>35</v>
      </c>
      <c r="FV60" s="149">
        <v>30</v>
      </c>
      <c r="FW60" s="137">
        <f t="shared" si="87"/>
        <v>65</v>
      </c>
      <c r="FX60" s="137" t="str">
        <f t="shared" si="254"/>
        <v>73</v>
      </c>
      <c r="FY60" s="137">
        <f t="shared" si="196"/>
        <v>65</v>
      </c>
      <c r="FZ60" s="137">
        <f t="shared" si="89"/>
        <v>32.5</v>
      </c>
      <c r="GA60" s="135" t="str">
        <f t="shared" si="90"/>
        <v>F</v>
      </c>
      <c r="GB60" s="135" t="str">
        <f>VLOOKUP(RANK(FZ60,$FZ$10:$FZ$109),Sheet1!$A$381:$B$480,2,FALSE)</f>
        <v>11th</v>
      </c>
      <c r="GC60" s="166">
        <v>22</v>
      </c>
      <c r="GD60" s="166">
        <v>30</v>
      </c>
      <c r="GE60" s="137">
        <f t="shared" si="91"/>
        <v>52</v>
      </c>
      <c r="GF60" s="137" t="str">
        <f t="shared" si="255"/>
        <v>32</v>
      </c>
      <c r="GG60" s="135">
        <f t="shared" si="270"/>
        <v>84</v>
      </c>
      <c r="GH60" s="137">
        <f t="shared" si="271"/>
        <v>42</v>
      </c>
      <c r="GI60" s="135" t="str">
        <f t="shared" si="93"/>
        <v>D</v>
      </c>
      <c r="GJ60" s="135" t="str">
        <f>VLOOKUP(RANK(GH60,$GH$10:$GH$109),Sheet1!$A$381:$B$480,2,FALSE)</f>
        <v>39th</v>
      </c>
      <c r="GK60" s="166">
        <v>27</v>
      </c>
      <c r="GL60" s="166">
        <v>26</v>
      </c>
      <c r="GM60" s="137">
        <f t="shared" si="94"/>
        <v>53</v>
      </c>
      <c r="GN60" s="137" t="str">
        <f t="shared" si="256"/>
        <v>55</v>
      </c>
      <c r="GO60" s="135">
        <f t="shared" si="272"/>
        <v>108</v>
      </c>
      <c r="GP60" s="137">
        <f t="shared" si="96"/>
        <v>54</v>
      </c>
      <c r="GQ60" s="135" t="str">
        <f t="shared" si="97"/>
        <v>C</v>
      </c>
      <c r="GR60" s="135" t="str">
        <f>VLOOKUP(RANK(GP60,$GP$10:$GP$109),Sheet1!$A$381:$B$480,2,FALSE)</f>
        <v>4th</v>
      </c>
      <c r="GS60" s="166">
        <v>27</v>
      </c>
      <c r="GT60" s="166">
        <v>45</v>
      </c>
      <c r="GU60" s="137">
        <f t="shared" si="98"/>
        <v>72</v>
      </c>
      <c r="GV60" s="137" t="str">
        <f t="shared" si="257"/>
        <v>59</v>
      </c>
      <c r="GW60" s="137">
        <f t="shared" si="100"/>
        <v>131</v>
      </c>
      <c r="GX60" s="137">
        <f t="shared" si="101"/>
        <v>65.5</v>
      </c>
      <c r="GY60" s="135" t="str">
        <f t="shared" si="102"/>
        <v>B</v>
      </c>
      <c r="GZ60" s="135" t="str">
        <f>VLOOKUP(RANK(GX60,$GX$10:$GX$109),Sheet1!$A$381:$B$480,2,FALSE)</f>
        <v>17th</v>
      </c>
      <c r="HA60" s="166">
        <v>29</v>
      </c>
      <c r="HB60" s="166">
        <v>18</v>
      </c>
      <c r="HC60" s="137">
        <f t="shared" si="103"/>
        <v>47</v>
      </c>
      <c r="HD60" s="137" t="str">
        <f t="shared" si="258"/>
        <v>44</v>
      </c>
      <c r="HE60" s="137">
        <f t="shared" si="105"/>
        <v>91</v>
      </c>
      <c r="HF60" s="137">
        <f t="shared" si="106"/>
        <v>45.5</v>
      </c>
      <c r="HG60" s="135" t="str">
        <f t="shared" si="107"/>
        <v>D</v>
      </c>
      <c r="HH60" s="135" t="str">
        <f>VLOOKUP(RANK(HF60,$HF$10:$HF$109),Sheet1!$A$381:$B$480,2,FALSE)</f>
        <v>20th</v>
      </c>
      <c r="HI60" s="149">
        <v>28</v>
      </c>
      <c r="HJ60" s="149">
        <v>50</v>
      </c>
      <c r="HK60" s="137">
        <f t="shared" si="108"/>
        <v>78</v>
      </c>
      <c r="HL60" s="137" t="str">
        <f t="shared" si="259"/>
        <v>55</v>
      </c>
      <c r="HM60" s="137">
        <f t="shared" si="110"/>
        <v>133</v>
      </c>
      <c r="HN60" s="137">
        <f t="shared" si="111"/>
        <v>66.5</v>
      </c>
      <c r="HO60" s="135" t="str">
        <f t="shared" si="112"/>
        <v>B</v>
      </c>
      <c r="HP60" s="135" t="str">
        <f>VLOOKUP(RANK(HN60,$HN$10:$HN$109),Sheet1!$A$381:$B$480,2,FALSE)</f>
        <v>39th</v>
      </c>
      <c r="HQ60" s="137"/>
      <c r="HR60" s="137"/>
      <c r="HS60" s="137">
        <f t="shared" si="113"/>
        <v>0</v>
      </c>
      <c r="HT60" s="137" t="str">
        <f t="shared" si="260"/>
        <v>0</v>
      </c>
      <c r="HU60" s="137">
        <f t="shared" si="115"/>
        <v>0</v>
      </c>
      <c r="HV60" s="137">
        <f t="shared" si="116"/>
        <v>0</v>
      </c>
      <c r="HW60" s="135" t="str">
        <f t="shared" si="117"/>
        <v>F</v>
      </c>
      <c r="HX60" s="135" t="str">
        <f>VLOOKUP(RANK(HV60,$HV$10:$HV$109),Sheet1!$A$381:$B$480,2,FALSE)</f>
        <v>1st</v>
      </c>
      <c r="HY60" s="137"/>
      <c r="HZ60" s="137"/>
      <c r="IA60" s="137">
        <f t="shared" si="261"/>
        <v>0</v>
      </c>
      <c r="IB60" s="137" t="str">
        <f t="shared" si="262"/>
        <v>0</v>
      </c>
      <c r="IC60" s="137">
        <f t="shared" si="120"/>
        <v>0</v>
      </c>
      <c r="ID60" s="137">
        <f t="shared" si="121"/>
        <v>0</v>
      </c>
      <c r="IE60" s="135" t="str">
        <f t="shared" si="122"/>
        <v>F</v>
      </c>
      <c r="IF60" s="135" t="str">
        <f>VLOOKUP(RANK(ID60,$ID$10:$ID$109),Sheet1!$A$381:$B$480,2,FALSE)</f>
        <v>1st</v>
      </c>
      <c r="IG60" s="135"/>
      <c r="IH60" s="135"/>
      <c r="II60" s="135">
        <f t="shared" si="273"/>
        <v>0</v>
      </c>
      <c r="IJ60" s="135" t="str">
        <f t="shared" si="274"/>
        <v>0</v>
      </c>
      <c r="IK60" s="135">
        <f t="shared" si="275"/>
        <v>0</v>
      </c>
      <c r="IL60" s="135">
        <f t="shared" si="276"/>
        <v>0</v>
      </c>
      <c r="IM60" s="135" t="str">
        <f t="shared" si="123"/>
        <v>F</v>
      </c>
      <c r="IN60" s="135" t="str">
        <f>VLOOKUP(RANK(IL60,$IL$10:$IL$109),Sheet1!$A$381:$B$480,2,FALSE)</f>
        <v>1st</v>
      </c>
      <c r="IO60" s="135">
        <f t="shared" si="277"/>
        <v>644.5</v>
      </c>
      <c r="IP60" s="177">
        <f t="shared" si="278"/>
        <v>37.911764705882398</v>
      </c>
      <c r="IQ60" s="135" t="str">
        <f>VLOOKUP(RANK(IP60,$IP$10:$IP$109),Sheet1!$A$381:$B$480,2,FALSE)</f>
        <v>30th</v>
      </c>
      <c r="IR60" s="178"/>
      <c r="IS60" s="137"/>
      <c r="IT60" s="137"/>
      <c r="IU60" s="137"/>
      <c r="IV60" s="137"/>
      <c r="IW60" s="181"/>
      <c r="IX60" s="184"/>
      <c r="IY60" s="186"/>
      <c r="IZ60" s="186">
        <f t="shared" si="206"/>
        <v>0</v>
      </c>
      <c r="JA60" s="186" t="str">
        <f t="shared" si="124"/>
        <v>79</v>
      </c>
      <c r="JB60" s="186" t="str">
        <f t="shared" si="125"/>
        <v>62</v>
      </c>
      <c r="JC60" s="186">
        <f t="shared" si="279"/>
        <v>141</v>
      </c>
      <c r="JD60" s="186">
        <f t="shared" si="280"/>
        <v>47</v>
      </c>
      <c r="JE60" s="135" t="str">
        <f t="shared" si="126"/>
        <v>D</v>
      </c>
      <c r="JF60" s="151" t="str">
        <f>VLOOKUP(RANK(JD60,$JD$10:$JD$109),Sheet1!$A$381:$B$480,2,FALSE)</f>
        <v>35th</v>
      </c>
      <c r="JG60" s="186"/>
      <c r="JH60" s="186"/>
      <c r="JI60" s="186">
        <f t="shared" si="127"/>
        <v>0</v>
      </c>
      <c r="JJ60" s="186" t="str">
        <f t="shared" si="128"/>
        <v>47</v>
      </c>
      <c r="JK60" s="186" t="str">
        <f t="shared" si="129"/>
        <v>44</v>
      </c>
      <c r="JL60" s="186">
        <f t="shared" si="281"/>
        <v>91</v>
      </c>
      <c r="JM60" s="186">
        <f t="shared" si="282"/>
        <v>30.3333333333333</v>
      </c>
      <c r="JN60" s="135" t="str">
        <f t="shared" si="130"/>
        <v>F</v>
      </c>
      <c r="JO60" s="151" t="str">
        <f>VLOOKUP(RANK(JM60,$JM$10:$JM$109),Sheet1!$A$381:$B$480,2,FALSE)</f>
        <v>68th</v>
      </c>
      <c r="JP60" s="186"/>
      <c r="JQ60" s="186"/>
      <c r="JR60" s="186">
        <f t="shared" si="131"/>
        <v>0</v>
      </c>
      <c r="JS60" s="186" t="str">
        <f t="shared" si="132"/>
        <v>50</v>
      </c>
      <c r="JT60" s="186" t="str">
        <f t="shared" si="133"/>
        <v>51</v>
      </c>
      <c r="JU60" s="186">
        <f t="shared" si="283"/>
        <v>101</v>
      </c>
      <c r="JV60" s="186">
        <f t="shared" si="284"/>
        <v>33.6666666666667</v>
      </c>
      <c r="JW60" s="135" t="str">
        <f t="shared" si="134"/>
        <v>F</v>
      </c>
      <c r="JX60" s="151" t="str">
        <f>VLOOKUP(RANK(JV60,$JV$10:$JV$109),Sheet1!$A$381:$B$480,2,FALSE)</f>
        <v>35th</v>
      </c>
      <c r="JY60" s="186"/>
      <c r="JZ60" s="186"/>
      <c r="KA60" s="186">
        <f t="shared" si="135"/>
        <v>0</v>
      </c>
      <c r="KB60" s="186" t="str">
        <f t="shared" si="136"/>
        <v>51</v>
      </c>
      <c r="KC60" s="186" t="str">
        <f t="shared" si="137"/>
        <v>57</v>
      </c>
      <c r="KD60" s="186">
        <f t="shared" si="285"/>
        <v>108</v>
      </c>
      <c r="KE60" s="186">
        <f t="shared" si="286"/>
        <v>36</v>
      </c>
      <c r="KF60" s="135" t="str">
        <f t="shared" si="138"/>
        <v>E</v>
      </c>
      <c r="KG60" s="151" t="str">
        <f>VLOOKUP(RANK(KE60,$KE$10:$KE$109),Sheet1!$A$381:$B$480,2,FALSE)</f>
        <v>50th</v>
      </c>
      <c r="KH60" s="186"/>
      <c r="KI60" s="186"/>
      <c r="KJ60" s="186">
        <f t="shared" si="139"/>
        <v>0</v>
      </c>
      <c r="KK60" s="186" t="str">
        <f t="shared" si="140"/>
        <v>63</v>
      </c>
      <c r="KL60" s="186" t="str">
        <f t="shared" si="141"/>
        <v>67</v>
      </c>
      <c r="KM60" s="186">
        <f t="shared" si="287"/>
        <v>130</v>
      </c>
      <c r="KN60" s="186">
        <f t="shared" si="288"/>
        <v>43.3333333333333</v>
      </c>
      <c r="KO60" s="135" t="str">
        <f t="shared" si="142"/>
        <v>D</v>
      </c>
      <c r="KP60" s="151" t="str">
        <f>VLOOKUP(RANK(KN60,$KN$10:$KN$109),Sheet1!$A$381:$B$480,2,FALSE)</f>
        <v>27th</v>
      </c>
      <c r="KQ60" s="186"/>
      <c r="KR60" s="186"/>
      <c r="KS60" s="186">
        <f t="shared" si="143"/>
        <v>0</v>
      </c>
      <c r="KT60" s="186" t="str">
        <f t="shared" si="144"/>
        <v>0</v>
      </c>
      <c r="KU60" s="186" t="str">
        <f t="shared" si="145"/>
        <v>0</v>
      </c>
      <c r="KV60" s="186">
        <f t="shared" si="289"/>
        <v>0</v>
      </c>
      <c r="KW60" s="186">
        <f t="shared" si="290"/>
        <v>0</v>
      </c>
      <c r="KX60" s="135" t="str">
        <f t="shared" si="146"/>
        <v>F</v>
      </c>
      <c r="KY60" s="151" t="str">
        <f>VLOOKUP(RANK(KW60,$KW$10:$KW$109),Sheet1!$A$381:$B$480,2,FALSE)</f>
        <v>1st</v>
      </c>
      <c r="KZ60" s="186"/>
      <c r="LA60" s="186"/>
      <c r="LB60" s="186">
        <f t="shared" si="147"/>
        <v>0</v>
      </c>
      <c r="LC60" s="186" t="str">
        <f t="shared" si="148"/>
        <v>0</v>
      </c>
      <c r="LD60" s="186" t="str">
        <f t="shared" si="149"/>
        <v>0</v>
      </c>
      <c r="LE60" s="186">
        <f t="shared" si="291"/>
        <v>0</v>
      </c>
      <c r="LF60" s="186">
        <f t="shared" si="292"/>
        <v>0</v>
      </c>
      <c r="LG60" s="135" t="str">
        <f t="shared" si="150"/>
        <v>F</v>
      </c>
      <c r="LH60" s="151" t="str">
        <f>VLOOKUP(RANK(LF60,$LF$10:$LF$109),Sheet1!$A$381:$B$480,2,FALSE)</f>
        <v>1st</v>
      </c>
      <c r="LI60" s="186"/>
      <c r="LJ60" s="186"/>
      <c r="LK60" s="186">
        <f t="shared" si="151"/>
        <v>0</v>
      </c>
      <c r="LL60" s="186" t="str">
        <f t="shared" si="152"/>
        <v>56</v>
      </c>
      <c r="LM60" s="186" t="str">
        <f t="shared" si="153"/>
        <v>50</v>
      </c>
      <c r="LN60" s="186">
        <f t="shared" si="293"/>
        <v>106</v>
      </c>
      <c r="LO60" s="186">
        <f t="shared" si="294"/>
        <v>35.3333333333333</v>
      </c>
      <c r="LP60" s="135" t="str">
        <f t="shared" si="154"/>
        <v>E</v>
      </c>
      <c r="LQ60" s="151" t="str">
        <f>VLOOKUP(RANK(LO60,$LO$10:$LO$109),Sheet1!$A$381:$B$480,2,FALSE)</f>
        <v>36th</v>
      </c>
      <c r="LR60" s="186"/>
      <c r="LS60" s="186"/>
      <c r="LT60" s="186">
        <f t="shared" si="155"/>
        <v>0</v>
      </c>
      <c r="LU60" s="186" t="str">
        <f t="shared" si="156"/>
        <v>73</v>
      </c>
      <c r="LV60" s="186" t="str">
        <f t="shared" si="157"/>
        <v>65</v>
      </c>
      <c r="LW60" s="186">
        <f t="shared" si="295"/>
        <v>138</v>
      </c>
      <c r="LX60" s="186">
        <f t="shared" si="296"/>
        <v>46</v>
      </c>
      <c r="LY60" s="135" t="str">
        <f t="shared" si="158"/>
        <v>D</v>
      </c>
      <c r="LZ60" s="151" t="str">
        <f>VLOOKUP(RANK(LX60,$LX$10:$LX$109),Sheet1!$A$381:$B$480,2,FALSE)</f>
        <v>4th</v>
      </c>
      <c r="MA60" s="186"/>
      <c r="MB60" s="186"/>
      <c r="MC60" s="186">
        <f t="shared" si="159"/>
        <v>0</v>
      </c>
      <c r="MD60" s="186" t="str">
        <f t="shared" si="160"/>
        <v>32</v>
      </c>
      <c r="ME60" s="186" t="str">
        <f t="shared" si="161"/>
        <v>52</v>
      </c>
      <c r="MF60" s="183">
        <f t="shared" si="297"/>
        <v>84</v>
      </c>
      <c r="MG60" s="151">
        <f t="shared" si="298"/>
        <v>28</v>
      </c>
      <c r="MH60" s="135" t="str">
        <f t="shared" si="162"/>
        <v>F</v>
      </c>
      <c r="MI60" s="151" t="str">
        <f>VLOOKUP(RANK(MG60,$MG$10:$MG$109),Sheet1!$A$381:$B$480,2,FALSE)</f>
        <v>39th</v>
      </c>
      <c r="MJ60" s="186"/>
      <c r="MK60" s="186"/>
      <c r="ML60" s="186">
        <f t="shared" si="163"/>
        <v>0</v>
      </c>
      <c r="MM60" s="186" t="str">
        <f t="shared" si="164"/>
        <v>55</v>
      </c>
      <c r="MN60" s="186" t="str">
        <f t="shared" si="165"/>
        <v>53</v>
      </c>
      <c r="MO60" s="186">
        <f t="shared" si="299"/>
        <v>108</v>
      </c>
      <c r="MP60" s="186">
        <f t="shared" si="300"/>
        <v>36</v>
      </c>
      <c r="MQ60" s="135" t="str">
        <f t="shared" si="166"/>
        <v>E</v>
      </c>
      <c r="MR60" s="151" t="str">
        <f>VLOOKUP(RANK(MP60,$MP$10:$MP$109),Sheet1!$A$381:$B$480,2,FALSE)</f>
        <v>4th</v>
      </c>
      <c r="MS60" s="186"/>
      <c r="MT60" s="186"/>
      <c r="MU60" s="186">
        <f t="shared" si="167"/>
        <v>0</v>
      </c>
      <c r="MV60" s="186" t="str">
        <f t="shared" si="168"/>
        <v>59</v>
      </c>
      <c r="MW60" s="186" t="str">
        <f t="shared" si="169"/>
        <v>72</v>
      </c>
      <c r="MX60" s="186">
        <f t="shared" si="301"/>
        <v>131</v>
      </c>
      <c r="MY60" s="186">
        <f t="shared" si="302"/>
        <v>43.6666666666667</v>
      </c>
      <c r="MZ60" s="135" t="str">
        <f t="shared" si="170"/>
        <v>D</v>
      </c>
      <c r="NA60" s="151" t="str">
        <f>VLOOKUP(RANK(MY60,$MY$10:$MY$109),Sheet1!$A$381:$B$480,2,FALSE)</f>
        <v>17th</v>
      </c>
      <c r="NB60" s="186"/>
      <c r="NC60" s="186"/>
      <c r="ND60" s="186">
        <f t="shared" si="171"/>
        <v>0</v>
      </c>
      <c r="NE60" s="186" t="str">
        <f t="shared" si="172"/>
        <v>44</v>
      </c>
      <c r="NF60" s="186" t="str">
        <f t="shared" si="173"/>
        <v>47</v>
      </c>
      <c r="NG60" s="186">
        <f t="shared" si="303"/>
        <v>91</v>
      </c>
      <c r="NH60" s="186">
        <f t="shared" si="304"/>
        <v>30.3333333333333</v>
      </c>
      <c r="NI60" s="135" t="str">
        <f t="shared" si="174"/>
        <v>F</v>
      </c>
      <c r="NJ60" s="151" t="str">
        <f>VLOOKUP(RANK(NH60,$NH$10:$NH$109),Sheet1!$A$381:$B$480,2,FALSE)</f>
        <v>20th</v>
      </c>
      <c r="NK60" s="186"/>
      <c r="NL60" s="186"/>
      <c r="NM60" s="186">
        <f t="shared" si="175"/>
        <v>0</v>
      </c>
      <c r="NN60" s="186" t="str">
        <f t="shared" si="176"/>
        <v>55</v>
      </c>
      <c r="NO60" s="186" t="str">
        <f t="shared" si="177"/>
        <v>78</v>
      </c>
      <c r="NP60" s="186">
        <f t="shared" si="305"/>
        <v>133</v>
      </c>
      <c r="NQ60" s="186">
        <f t="shared" si="263"/>
        <v>44.3333333333333</v>
      </c>
      <c r="NR60" s="135" t="str">
        <f t="shared" si="179"/>
        <v>D</v>
      </c>
      <c r="NS60" s="151" t="str">
        <f>VLOOKUP(RANK(NQ60,$NQ$10:$NQ$109),Sheet1!$A$381:$B$480,2,FALSE)</f>
        <v>39th</v>
      </c>
      <c r="NT60" s="186"/>
      <c r="NU60" s="186"/>
      <c r="NV60" s="186">
        <f t="shared" si="180"/>
        <v>0</v>
      </c>
      <c r="NW60" s="186" t="str">
        <f t="shared" si="181"/>
        <v>0</v>
      </c>
      <c r="NX60" s="186" t="str">
        <f t="shared" si="182"/>
        <v>0</v>
      </c>
      <c r="NY60" s="186">
        <f t="shared" si="306"/>
        <v>0</v>
      </c>
      <c r="NZ60" s="186">
        <f t="shared" si="264"/>
        <v>0</v>
      </c>
      <c r="OA60" s="135" t="str">
        <f t="shared" si="184"/>
        <v>F</v>
      </c>
      <c r="OB60" s="151" t="str">
        <f>VLOOKUP(RANK(NZ60,$NZ$10:$NZ$109),Sheet1!$A$381:$B$480,2,FALSE)</f>
        <v>1st</v>
      </c>
      <c r="OC60" s="186"/>
      <c r="OD60" s="186"/>
      <c r="OE60" s="186">
        <f t="shared" si="185"/>
        <v>0</v>
      </c>
      <c r="OF60" s="186" t="str">
        <f t="shared" si="186"/>
        <v>0</v>
      </c>
      <c r="OG60" s="186" t="str">
        <f t="shared" si="187"/>
        <v>0</v>
      </c>
      <c r="OH60" s="186">
        <f t="shared" si="307"/>
        <v>0</v>
      </c>
      <c r="OI60" s="186">
        <f t="shared" si="236"/>
        <v>0</v>
      </c>
      <c r="OJ60" s="135" t="str">
        <f t="shared" si="188"/>
        <v>F</v>
      </c>
      <c r="OK60" s="151" t="str">
        <f>VLOOKUP(RANK(OI60,$OI$10:$OI$109),Sheet1!$A$381:$B$480,2,FALSE)</f>
        <v>1st</v>
      </c>
      <c r="OL60" s="151"/>
      <c r="OM60" s="151"/>
      <c r="ON60" s="151">
        <f t="shared" si="308"/>
        <v>0</v>
      </c>
      <c r="OO60" s="151" t="str">
        <f t="shared" si="309"/>
        <v>0</v>
      </c>
      <c r="OP60" s="151" t="str">
        <f t="shared" si="310"/>
        <v>0</v>
      </c>
      <c r="OQ60" s="151">
        <f t="shared" si="311"/>
        <v>0</v>
      </c>
      <c r="OR60" s="151">
        <f t="shared" si="312"/>
        <v>0</v>
      </c>
      <c r="OS60" s="135" t="str">
        <f t="shared" si="189"/>
        <v>F</v>
      </c>
      <c r="OT60" s="151" t="str">
        <f>VLOOKUP(RANK(OR60,$OI$10:$OI$109),Sheet1!$A$381:$B$480,2,FALSE)</f>
        <v>1st</v>
      </c>
      <c r="OU60" s="151">
        <f t="shared" si="313"/>
        <v>454</v>
      </c>
      <c r="OV60" s="151">
        <f t="shared" si="314"/>
        <v>26.705882352941199</v>
      </c>
      <c r="OW60" s="151" t="str">
        <f>VLOOKUP(RANK(OV60,$OV$10:$OV$109),Sheet1!$A$381:$B$480,2,FALSE)</f>
        <v>25th</v>
      </c>
      <c r="OX60" s="151"/>
      <c r="OY60" s="186"/>
      <c r="OZ60" s="186"/>
      <c r="PA60" s="186"/>
      <c r="PB60" s="186"/>
    </row>
    <row r="61" spans="1:418" s="118" customFormat="1" ht="18.75">
      <c r="A61" s="131">
        <v>52</v>
      </c>
      <c r="B61" s="132" t="s">
        <v>150</v>
      </c>
      <c r="C61" s="133" t="s">
        <v>97</v>
      </c>
      <c r="D61" s="134">
        <v>25</v>
      </c>
      <c r="E61" s="134">
        <v>47</v>
      </c>
      <c r="F61" s="137">
        <f t="shared" si="0"/>
        <v>72</v>
      </c>
      <c r="G61" s="137">
        <f t="shared" si="1"/>
        <v>72</v>
      </c>
      <c r="H61" s="135" t="str">
        <f t="shared" si="265"/>
        <v>B</v>
      </c>
      <c r="I61" s="135" t="str">
        <f>VLOOKUP(RANK(G61,$G$10:$G$109),Sheet1!$A$381:$B$480,2,FALSE)</f>
        <v>28th</v>
      </c>
      <c r="J61" s="134">
        <v>29</v>
      </c>
      <c r="K61" s="134">
        <v>28</v>
      </c>
      <c r="L61" s="137">
        <f t="shared" si="2"/>
        <v>57</v>
      </c>
      <c r="M61" s="137">
        <f t="shared" si="3"/>
        <v>57</v>
      </c>
      <c r="N61" s="135" t="str">
        <f t="shared" si="4"/>
        <v>C</v>
      </c>
      <c r="O61" s="141" t="str">
        <f>VLOOKUP(RANK(M61,$M$10:$M$109),Sheet1!$A$381:$B$480,2,FALSE)</f>
        <v>31st</v>
      </c>
      <c r="P61" s="144">
        <v>30</v>
      </c>
      <c r="Q61" s="144">
        <v>20</v>
      </c>
      <c r="R61" s="147">
        <f t="shared" si="5"/>
        <v>50</v>
      </c>
      <c r="S61" s="137">
        <f t="shared" si="6"/>
        <v>50</v>
      </c>
      <c r="T61" s="135" t="str">
        <f t="shared" si="7"/>
        <v>C</v>
      </c>
      <c r="U61" s="135" t="str">
        <f>VLOOKUP(RANK(S61,$S$10:$S$109),Sheet1!$A$381:$B$480,2,FALSE)</f>
        <v>29th</v>
      </c>
      <c r="V61" s="134">
        <v>25</v>
      </c>
      <c r="W61" s="134">
        <v>30</v>
      </c>
      <c r="X61" s="137">
        <f t="shared" si="191"/>
        <v>55</v>
      </c>
      <c r="Y61" s="137">
        <f t="shared" si="244"/>
        <v>55</v>
      </c>
      <c r="Z61" s="135" t="str">
        <f t="shared" si="8"/>
        <v>C</v>
      </c>
      <c r="AA61" s="135" t="str">
        <f>VLOOKUP(RANK(Y61,$Y$10:$Y$109),Sheet1!$A$381:$B$480,2,FALSE)</f>
        <v>45th</v>
      </c>
      <c r="AB61" s="134">
        <v>30</v>
      </c>
      <c r="AC61" s="134">
        <v>35</v>
      </c>
      <c r="AD61" s="137">
        <f t="shared" si="9"/>
        <v>65</v>
      </c>
      <c r="AE61" s="137">
        <f t="shared" si="10"/>
        <v>65</v>
      </c>
      <c r="AF61" s="135" t="str">
        <f t="shared" si="11"/>
        <v>B</v>
      </c>
      <c r="AG61" s="135" t="str">
        <f>VLOOKUP(RANK(AE61,$AE$10:$AE$109),Sheet1!$A$381:$B$480,2,FALSE)</f>
        <v>39th</v>
      </c>
      <c r="AH61" s="137"/>
      <c r="AI61" s="137"/>
      <c r="AJ61" s="137">
        <f t="shared" si="12"/>
        <v>0</v>
      </c>
      <c r="AK61" s="137">
        <f t="shared" si="13"/>
        <v>0</v>
      </c>
      <c r="AL61" s="135" t="str">
        <f t="shared" si="14"/>
        <v>F</v>
      </c>
      <c r="AM61" s="135" t="str">
        <f>VLOOKUP(RANK(AK61,$AK$10:$AK$109),Sheet1!$A$381:$B$480,2,FALSE)</f>
        <v>1st</v>
      </c>
      <c r="AN61" s="134"/>
      <c r="AO61" s="134"/>
      <c r="AP61" s="137">
        <f t="shared" si="15"/>
        <v>0</v>
      </c>
      <c r="AQ61" s="137">
        <f t="shared" si="16"/>
        <v>0</v>
      </c>
      <c r="AR61" s="135" t="str">
        <f t="shared" si="17"/>
        <v>F</v>
      </c>
      <c r="AS61" s="135" t="str">
        <f>VLOOKUP(RANK(AQ61,$AQ$10:$AQ$109),Sheet1!$A$381:$B$480,2,FALSE)</f>
        <v>1st</v>
      </c>
      <c r="AT61" s="144">
        <v>24</v>
      </c>
      <c r="AU61" s="144">
        <v>30</v>
      </c>
      <c r="AV61" s="137">
        <f t="shared" si="18"/>
        <v>54</v>
      </c>
      <c r="AW61" s="137">
        <f t="shared" si="19"/>
        <v>54</v>
      </c>
      <c r="AX61" s="135" t="str">
        <f t="shared" si="20"/>
        <v>C</v>
      </c>
      <c r="AY61" s="141" t="str">
        <f>VLOOKUP(RANK(AW61,$AW$10:$AW$109),Sheet1!$A$381:$B$480,2,FALSE)</f>
        <v>26th</v>
      </c>
      <c r="AZ61" s="144">
        <v>32</v>
      </c>
      <c r="BA61" s="144">
        <v>16</v>
      </c>
      <c r="BB61" s="147">
        <f t="shared" si="21"/>
        <v>48</v>
      </c>
      <c r="BC61" s="137">
        <f t="shared" si="22"/>
        <v>48</v>
      </c>
      <c r="BD61" s="135" t="str">
        <f t="shared" si="23"/>
        <v>D</v>
      </c>
      <c r="BE61" s="135" t="str">
        <f>VLOOKUP(RANK(BC61,$BC$10:$BC$109),Sheet1!$A$381:$B$480,2,FALSE)</f>
        <v>63rd</v>
      </c>
      <c r="BF61" s="144">
        <v>12</v>
      </c>
      <c r="BG61" s="144">
        <v>18</v>
      </c>
      <c r="BH61" s="137">
        <f t="shared" si="24"/>
        <v>30</v>
      </c>
      <c r="BI61" s="137">
        <f t="shared" si="25"/>
        <v>30</v>
      </c>
      <c r="BJ61" s="135" t="str">
        <f t="shared" si="26"/>
        <v>F</v>
      </c>
      <c r="BK61" s="141" t="str">
        <f>VLOOKUP(RANK(BI61,$BI$10:$BI$109),Sheet1!$A$381:$B$480,2,FALSE)</f>
        <v>67th</v>
      </c>
      <c r="BL61" s="149">
        <v>24</v>
      </c>
      <c r="BM61" s="149">
        <v>25</v>
      </c>
      <c r="BN61" s="147">
        <f t="shared" si="27"/>
        <v>49</v>
      </c>
      <c r="BO61" s="137">
        <f t="shared" si="28"/>
        <v>49</v>
      </c>
      <c r="BP61" s="135" t="str">
        <f t="shared" si="29"/>
        <v>D</v>
      </c>
      <c r="BQ61" s="141" t="str">
        <f>VLOOKUP(RANK(BO61,$BO$10:$BO$109),Sheet1!$A$381:$B$480,2,FALSE)</f>
        <v>95th</v>
      </c>
      <c r="BR61" s="149">
        <v>27</v>
      </c>
      <c r="BS61" s="149">
        <v>25</v>
      </c>
      <c r="BT61" s="147">
        <f t="shared" si="30"/>
        <v>52</v>
      </c>
      <c r="BU61" s="137">
        <f t="shared" si="31"/>
        <v>52</v>
      </c>
      <c r="BV61" s="135" t="str">
        <f t="shared" si="32"/>
        <v>C</v>
      </c>
      <c r="BW61" s="135" t="str">
        <f>VLOOKUP(RANK(BU61,$BU$10:$BU$109),Sheet1!$A$381:$B$480,2,FALSE)</f>
        <v>40th</v>
      </c>
      <c r="BX61" s="149">
        <v>33</v>
      </c>
      <c r="BY61" s="149">
        <v>19</v>
      </c>
      <c r="BZ61" s="137">
        <f t="shared" si="33"/>
        <v>52</v>
      </c>
      <c r="CA61" s="137">
        <f t="shared" si="34"/>
        <v>52</v>
      </c>
      <c r="CB61" s="135" t="str">
        <f t="shared" si="35"/>
        <v>C</v>
      </c>
      <c r="CC61" s="135" t="str">
        <f>VLOOKUP(RANK(CA61,$CA$10:$CA$109),Sheet1!$A$381:$B$480,2,FALSE)</f>
        <v>7th</v>
      </c>
      <c r="CD61" s="149">
        <v>22</v>
      </c>
      <c r="CE61" s="149">
        <v>20</v>
      </c>
      <c r="CF61" s="137">
        <f t="shared" si="36"/>
        <v>42</v>
      </c>
      <c r="CG61" s="137">
        <f t="shared" si="37"/>
        <v>42</v>
      </c>
      <c r="CH61" s="135" t="str">
        <f t="shared" si="38"/>
        <v>D</v>
      </c>
      <c r="CI61" s="135" t="str">
        <f>VLOOKUP(RANK(CG61,$CG$10:$CG$109),Sheet1!$A$381:$B$480,2,FALSE)</f>
        <v>87th</v>
      </c>
      <c r="CJ61" s="137"/>
      <c r="CK61" s="137"/>
      <c r="CL61" s="137">
        <f t="shared" si="39"/>
        <v>0</v>
      </c>
      <c r="CM61" s="137">
        <f t="shared" si="40"/>
        <v>0</v>
      </c>
      <c r="CN61" s="135" t="str">
        <f t="shared" si="41"/>
        <v>F</v>
      </c>
      <c r="CO61" s="135" t="str">
        <f>VLOOKUP(RANK(CM61,$CM$10:$CM$109),Sheet1!$A$381:$B$480,2,FALSE)</f>
        <v>1st</v>
      </c>
      <c r="CP61" s="137"/>
      <c r="CQ61" s="137"/>
      <c r="CR61" s="137">
        <f t="shared" si="42"/>
        <v>0</v>
      </c>
      <c r="CS61" s="137">
        <f t="shared" si="43"/>
        <v>0</v>
      </c>
      <c r="CT61" s="135" t="str">
        <f t="shared" si="44"/>
        <v>F</v>
      </c>
      <c r="CU61" s="135" t="str">
        <f>VLOOKUP(RANK(CS61,$CS$10:$CS$109),Sheet1!$A$381:$B$480,2,FALSE)</f>
        <v>1st</v>
      </c>
      <c r="CV61" s="151"/>
      <c r="CW61" s="135"/>
      <c r="CX61" s="151">
        <f t="shared" si="266"/>
        <v>0</v>
      </c>
      <c r="CY61" s="151">
        <f t="shared" si="267"/>
        <v>0</v>
      </c>
      <c r="CZ61" s="135" t="str">
        <f t="shared" si="45"/>
        <v>F</v>
      </c>
      <c r="DA61" s="135" t="str">
        <f>VLOOKUP(RANK(CY61,$CY$10:$CY$109),Sheet1!$A$381:$B$480,2,FALSE)</f>
        <v>1st</v>
      </c>
      <c r="DB61" s="135"/>
      <c r="DC61" s="151">
        <f t="shared" si="268"/>
        <v>626</v>
      </c>
      <c r="DD61" s="151">
        <f t="shared" si="269"/>
        <v>36.823529411764703</v>
      </c>
      <c r="DE61" s="135" t="str">
        <f>VLOOKUP(RANK(DD61,$DD$10:$DD$109),Sheet1!$A$381:$B$480,2,FALSE)</f>
        <v>47th</v>
      </c>
      <c r="DF61" s="137"/>
      <c r="DG61" s="160">
        <f t="shared" si="46"/>
        <v>662.82352941176498</v>
      </c>
      <c r="DH61" s="119"/>
      <c r="DI61" s="162">
        <v>24</v>
      </c>
      <c r="DJ61" s="162">
        <v>48</v>
      </c>
      <c r="DK61" s="137">
        <f t="shared" si="47"/>
        <v>72</v>
      </c>
      <c r="DL61" s="137" t="str">
        <f t="shared" si="245"/>
        <v>72</v>
      </c>
      <c r="DM61" s="137">
        <f t="shared" si="49"/>
        <v>144</v>
      </c>
      <c r="DN61" s="137">
        <f t="shared" si="50"/>
        <v>72</v>
      </c>
      <c r="DO61" s="135" t="str">
        <f t="shared" si="51"/>
        <v>B</v>
      </c>
      <c r="DP61" s="135" t="str">
        <f>VLOOKUP(RANK(DN61,$DN$10:$DN$109),Sheet1!$A$381:$B$480,2,FALSE)</f>
        <v>29th</v>
      </c>
      <c r="DQ61" s="166">
        <v>24</v>
      </c>
      <c r="DR61" s="166">
        <v>10</v>
      </c>
      <c r="DS61" s="137">
        <f t="shared" si="52"/>
        <v>34</v>
      </c>
      <c r="DT61" s="137" t="str">
        <f t="shared" si="246"/>
        <v>57</v>
      </c>
      <c r="DU61" s="137">
        <f t="shared" si="54"/>
        <v>91</v>
      </c>
      <c r="DV61" s="137">
        <f t="shared" si="247"/>
        <v>45.5</v>
      </c>
      <c r="DW61" s="135" t="str">
        <f t="shared" si="56"/>
        <v>D</v>
      </c>
      <c r="DX61" s="135" t="str">
        <f>VLOOKUP(RANK(DV61,$DV$10:$DV$109),Sheet1!$A$381:$B$480,2,FALSE)</f>
        <v>68th</v>
      </c>
      <c r="DY61" s="168">
        <v>36</v>
      </c>
      <c r="DZ61" s="168">
        <v>16</v>
      </c>
      <c r="EA61" s="137">
        <f t="shared" si="57"/>
        <v>52</v>
      </c>
      <c r="EB61" s="137" t="str">
        <f t="shared" si="248"/>
        <v>50</v>
      </c>
      <c r="EC61" s="137">
        <f t="shared" si="59"/>
        <v>102</v>
      </c>
      <c r="ED61" s="137">
        <f t="shared" si="60"/>
        <v>51</v>
      </c>
      <c r="EE61" s="135" t="str">
        <f t="shared" si="61"/>
        <v>C</v>
      </c>
      <c r="EF61" s="135" t="str">
        <f>VLOOKUP(RANK(ED61,$ED$10:$ED$109),Sheet1!$A$381:$B$480,2,FALSE)</f>
        <v>34th</v>
      </c>
      <c r="EG61" s="162">
        <v>27</v>
      </c>
      <c r="EH61" s="162">
        <v>31</v>
      </c>
      <c r="EI61" s="137">
        <f t="shared" si="62"/>
        <v>58</v>
      </c>
      <c r="EJ61" s="137" t="str">
        <f t="shared" si="249"/>
        <v>55</v>
      </c>
      <c r="EK61" s="137">
        <f t="shared" si="64"/>
        <v>113</v>
      </c>
      <c r="EL61" s="137">
        <f t="shared" si="65"/>
        <v>56.5</v>
      </c>
      <c r="EM61" s="135" t="str">
        <f t="shared" si="66"/>
        <v>C</v>
      </c>
      <c r="EN61" s="135" t="str">
        <f>VLOOKUP(RANK(EL61,$EL$10:$EL$109),Sheet1!$A$381:$B$480,2,FALSE)</f>
        <v>45th</v>
      </c>
      <c r="EO61" s="162">
        <v>32</v>
      </c>
      <c r="EP61" s="162">
        <v>32</v>
      </c>
      <c r="EQ61" s="137">
        <f t="shared" si="67"/>
        <v>64</v>
      </c>
      <c r="ER61" s="137" t="str">
        <f t="shared" si="250"/>
        <v>65</v>
      </c>
      <c r="ES61" s="137">
        <f t="shared" si="69"/>
        <v>129</v>
      </c>
      <c r="ET61" s="137">
        <f t="shared" si="70"/>
        <v>64.5</v>
      </c>
      <c r="EU61" s="135" t="str">
        <f t="shared" si="71"/>
        <v>B</v>
      </c>
      <c r="EV61" s="135" t="str">
        <f>VLOOKUP(RANK(ET61,$ET$10:$ET$109),Sheet1!$A$381:$B$480,2,FALSE)</f>
        <v>30th</v>
      </c>
      <c r="EW61" s="137"/>
      <c r="EX61" s="137"/>
      <c r="EY61" s="137">
        <f t="shared" si="72"/>
        <v>0</v>
      </c>
      <c r="EZ61" s="137" t="str">
        <f t="shared" si="251"/>
        <v>0</v>
      </c>
      <c r="FA61" s="137">
        <f t="shared" si="74"/>
        <v>0</v>
      </c>
      <c r="FB61" s="137">
        <f t="shared" si="75"/>
        <v>0</v>
      </c>
      <c r="FC61" s="135" t="str">
        <f t="shared" si="76"/>
        <v>F</v>
      </c>
      <c r="FD61" s="135" t="str">
        <f>VLOOKUP(RANK(FB61,$FB$10:$FB$109),Sheet1!$A$381:$B$480,2,FALSE)</f>
        <v>1st</v>
      </c>
      <c r="FE61" s="137"/>
      <c r="FF61" s="137"/>
      <c r="FG61" s="137">
        <f t="shared" si="77"/>
        <v>0</v>
      </c>
      <c r="FH61" s="137" t="str">
        <f t="shared" si="252"/>
        <v>0</v>
      </c>
      <c r="FI61" s="137">
        <f t="shared" si="79"/>
        <v>0</v>
      </c>
      <c r="FJ61" s="137">
        <f t="shared" si="80"/>
        <v>0</v>
      </c>
      <c r="FK61" s="135" t="str">
        <f t="shared" si="81"/>
        <v>F</v>
      </c>
      <c r="FL61" s="135" t="str">
        <f>VLOOKUP(RANK(FJ61,$FJ$10:$FJ$109),Sheet1!$A$381:$B$480,2,FALSE)</f>
        <v>1st</v>
      </c>
      <c r="FM61" s="166">
        <v>28</v>
      </c>
      <c r="FN61" s="166">
        <v>28</v>
      </c>
      <c r="FO61" s="137">
        <f t="shared" si="82"/>
        <v>56</v>
      </c>
      <c r="FP61" s="137" t="str">
        <f t="shared" si="253"/>
        <v>54</v>
      </c>
      <c r="FQ61" s="137">
        <f t="shared" si="84"/>
        <v>110</v>
      </c>
      <c r="FR61" s="137">
        <f t="shared" si="85"/>
        <v>55</v>
      </c>
      <c r="FS61" s="135" t="str">
        <f t="shared" si="86"/>
        <v>C</v>
      </c>
      <c r="FT61" s="135" t="str">
        <f>VLOOKUP(RANK(FR61,$FR$10:$FR$109),Sheet1!$A$381:$B$480,2,FALSE)</f>
        <v>23rd</v>
      </c>
      <c r="FU61" s="149">
        <v>38</v>
      </c>
      <c r="FV61" s="149">
        <v>30</v>
      </c>
      <c r="FW61" s="137">
        <f t="shared" si="87"/>
        <v>68</v>
      </c>
      <c r="FX61" s="137" t="str">
        <f t="shared" si="254"/>
        <v>48</v>
      </c>
      <c r="FY61" s="137">
        <f t="shared" si="196"/>
        <v>68</v>
      </c>
      <c r="FZ61" s="137">
        <f t="shared" si="89"/>
        <v>34</v>
      </c>
      <c r="GA61" s="135" t="str">
        <f t="shared" si="90"/>
        <v>F</v>
      </c>
      <c r="GB61" s="135" t="str">
        <f>VLOOKUP(RANK(FZ61,$FZ$10:$FZ$109),Sheet1!$A$381:$B$480,2,FALSE)</f>
        <v>4th</v>
      </c>
      <c r="GC61" s="166">
        <v>23</v>
      </c>
      <c r="GD61" s="166">
        <v>31</v>
      </c>
      <c r="GE61" s="137">
        <f t="shared" si="91"/>
        <v>54</v>
      </c>
      <c r="GF61" s="137" t="str">
        <f t="shared" si="255"/>
        <v>30</v>
      </c>
      <c r="GG61" s="135">
        <f t="shared" si="270"/>
        <v>84</v>
      </c>
      <c r="GH61" s="137">
        <f t="shared" si="271"/>
        <v>42</v>
      </c>
      <c r="GI61" s="135" t="str">
        <f t="shared" si="93"/>
        <v>D</v>
      </c>
      <c r="GJ61" s="135" t="str">
        <f>VLOOKUP(RANK(GH61,$GH$10:$GH$109),Sheet1!$A$381:$B$480,2,FALSE)</f>
        <v>39th</v>
      </c>
      <c r="GK61" s="166">
        <v>26</v>
      </c>
      <c r="GL61" s="166">
        <v>19</v>
      </c>
      <c r="GM61" s="137">
        <f t="shared" si="94"/>
        <v>45</v>
      </c>
      <c r="GN61" s="137" t="str">
        <f t="shared" si="256"/>
        <v>49</v>
      </c>
      <c r="GO61" s="135">
        <f t="shared" si="272"/>
        <v>94</v>
      </c>
      <c r="GP61" s="137">
        <f t="shared" si="96"/>
        <v>47</v>
      </c>
      <c r="GQ61" s="135" t="str">
        <f t="shared" si="97"/>
        <v>D</v>
      </c>
      <c r="GR61" s="135" t="str">
        <f>VLOOKUP(RANK(GP61,$GP$10:$GP$109),Sheet1!$A$381:$B$480,2,FALSE)</f>
        <v>70th</v>
      </c>
      <c r="GS61" s="166">
        <v>35</v>
      </c>
      <c r="GT61" s="166">
        <v>35</v>
      </c>
      <c r="GU61" s="137">
        <f t="shared" si="98"/>
        <v>70</v>
      </c>
      <c r="GV61" s="137" t="str">
        <f t="shared" si="257"/>
        <v>52</v>
      </c>
      <c r="GW61" s="137">
        <f t="shared" si="100"/>
        <v>122</v>
      </c>
      <c r="GX61" s="137">
        <f t="shared" si="101"/>
        <v>61</v>
      </c>
      <c r="GY61" s="135" t="str">
        <f t="shared" si="102"/>
        <v>B</v>
      </c>
      <c r="GZ61" s="135" t="str">
        <f>VLOOKUP(RANK(GX61,$GX$10:$GX$109),Sheet1!$A$381:$B$480,2,FALSE)</f>
        <v>22nd</v>
      </c>
      <c r="HA61" s="166">
        <v>32</v>
      </c>
      <c r="HB61" s="166">
        <v>25</v>
      </c>
      <c r="HC61" s="137">
        <f t="shared" si="103"/>
        <v>57</v>
      </c>
      <c r="HD61" s="137" t="str">
        <f t="shared" si="258"/>
        <v>52</v>
      </c>
      <c r="HE61" s="137">
        <f t="shared" si="105"/>
        <v>109</v>
      </c>
      <c r="HF61" s="137">
        <f t="shared" si="106"/>
        <v>54.5</v>
      </c>
      <c r="HG61" s="135" t="str">
        <f t="shared" si="107"/>
        <v>C</v>
      </c>
      <c r="HH61" s="135" t="str">
        <f>VLOOKUP(RANK(HF61,$HF$10:$HF$109),Sheet1!$A$381:$B$480,2,FALSE)</f>
        <v>6th</v>
      </c>
      <c r="HI61" s="149">
        <v>28</v>
      </c>
      <c r="HJ61" s="149">
        <v>58</v>
      </c>
      <c r="HK61" s="137">
        <f t="shared" si="108"/>
        <v>86</v>
      </c>
      <c r="HL61" s="137" t="str">
        <f t="shared" si="259"/>
        <v>42</v>
      </c>
      <c r="HM61" s="137">
        <f t="shared" si="110"/>
        <v>128</v>
      </c>
      <c r="HN61" s="137">
        <f t="shared" si="111"/>
        <v>64</v>
      </c>
      <c r="HO61" s="135" t="str">
        <f t="shared" si="112"/>
        <v>B</v>
      </c>
      <c r="HP61" s="135" t="str">
        <f>VLOOKUP(RANK(HN61,$HN$10:$HN$109),Sheet1!$A$381:$B$480,2,FALSE)</f>
        <v>50th</v>
      </c>
      <c r="HQ61" s="137"/>
      <c r="HR61" s="137"/>
      <c r="HS61" s="137">
        <f t="shared" si="113"/>
        <v>0</v>
      </c>
      <c r="HT61" s="137" t="str">
        <f t="shared" si="260"/>
        <v>0</v>
      </c>
      <c r="HU61" s="137">
        <f t="shared" si="115"/>
        <v>0</v>
      </c>
      <c r="HV61" s="137">
        <f t="shared" si="116"/>
        <v>0</v>
      </c>
      <c r="HW61" s="135" t="str">
        <f t="shared" si="117"/>
        <v>F</v>
      </c>
      <c r="HX61" s="135" t="str">
        <f>VLOOKUP(RANK(HV61,$HV$10:$HV$109),Sheet1!$A$381:$B$480,2,FALSE)</f>
        <v>1st</v>
      </c>
      <c r="HY61" s="137"/>
      <c r="HZ61" s="137"/>
      <c r="IA61" s="137">
        <f t="shared" si="261"/>
        <v>0</v>
      </c>
      <c r="IB61" s="137" t="str">
        <f t="shared" si="262"/>
        <v>0</v>
      </c>
      <c r="IC61" s="137">
        <f t="shared" si="120"/>
        <v>0</v>
      </c>
      <c r="ID61" s="137">
        <f t="shared" si="121"/>
        <v>0</v>
      </c>
      <c r="IE61" s="135" t="str">
        <f t="shared" si="122"/>
        <v>F</v>
      </c>
      <c r="IF61" s="135" t="str">
        <f>VLOOKUP(RANK(ID61,$ID$10:$ID$109),Sheet1!$A$381:$B$480,2,FALSE)</f>
        <v>1st</v>
      </c>
      <c r="IG61" s="135"/>
      <c r="IH61" s="135"/>
      <c r="II61" s="135">
        <f t="shared" si="273"/>
        <v>0</v>
      </c>
      <c r="IJ61" s="135" t="str">
        <f t="shared" si="274"/>
        <v>0</v>
      </c>
      <c r="IK61" s="135">
        <f t="shared" si="275"/>
        <v>0</v>
      </c>
      <c r="IL61" s="135">
        <f t="shared" si="276"/>
        <v>0</v>
      </c>
      <c r="IM61" s="135" t="str">
        <f t="shared" si="123"/>
        <v>F</v>
      </c>
      <c r="IN61" s="135" t="str">
        <f>VLOOKUP(RANK(IL61,$IL$10:$IL$109),Sheet1!$A$381:$B$480,2,FALSE)</f>
        <v>1st</v>
      </c>
      <c r="IO61" s="135">
        <f t="shared" si="277"/>
        <v>647</v>
      </c>
      <c r="IP61" s="177">
        <f t="shared" si="278"/>
        <v>38.058823529411796</v>
      </c>
      <c r="IQ61" s="135" t="str">
        <f>VLOOKUP(RANK(IP61,$IP$10:$IP$109),Sheet1!$A$381:$B$480,2,FALSE)</f>
        <v>29th</v>
      </c>
      <c r="IR61" s="178"/>
      <c r="IS61" s="137"/>
      <c r="IT61" s="137"/>
      <c r="IU61" s="137"/>
      <c r="IV61" s="137"/>
      <c r="IW61" s="181"/>
      <c r="IX61" s="184"/>
      <c r="IY61" s="186"/>
      <c r="IZ61" s="186">
        <f t="shared" si="206"/>
        <v>0</v>
      </c>
      <c r="JA61" s="186" t="str">
        <f t="shared" si="124"/>
        <v>72</v>
      </c>
      <c r="JB61" s="186" t="str">
        <f t="shared" si="125"/>
        <v>72</v>
      </c>
      <c r="JC61" s="186">
        <f t="shared" si="279"/>
        <v>144</v>
      </c>
      <c r="JD61" s="186">
        <f t="shared" si="280"/>
        <v>48</v>
      </c>
      <c r="JE61" s="135" t="str">
        <f t="shared" si="126"/>
        <v>D</v>
      </c>
      <c r="JF61" s="151" t="str">
        <f>VLOOKUP(RANK(JD61,$JD$10:$JD$109),Sheet1!$A$381:$B$480,2,FALSE)</f>
        <v>29th</v>
      </c>
      <c r="JG61" s="186"/>
      <c r="JH61" s="186"/>
      <c r="JI61" s="186">
        <f t="shared" si="127"/>
        <v>0</v>
      </c>
      <c r="JJ61" s="186" t="str">
        <f t="shared" si="128"/>
        <v>57</v>
      </c>
      <c r="JK61" s="186" t="str">
        <f t="shared" si="129"/>
        <v>34</v>
      </c>
      <c r="JL61" s="186">
        <f t="shared" si="281"/>
        <v>91</v>
      </c>
      <c r="JM61" s="186">
        <f t="shared" si="282"/>
        <v>30.3333333333333</v>
      </c>
      <c r="JN61" s="135" t="str">
        <f t="shared" si="130"/>
        <v>F</v>
      </c>
      <c r="JO61" s="151" t="str">
        <f>VLOOKUP(RANK(JM61,$JM$10:$JM$109),Sheet1!$A$381:$B$480,2,FALSE)</f>
        <v>68th</v>
      </c>
      <c r="JP61" s="186"/>
      <c r="JQ61" s="186"/>
      <c r="JR61" s="186">
        <f t="shared" si="131"/>
        <v>0</v>
      </c>
      <c r="JS61" s="186" t="str">
        <f t="shared" si="132"/>
        <v>50</v>
      </c>
      <c r="JT61" s="186" t="str">
        <f t="shared" si="133"/>
        <v>52</v>
      </c>
      <c r="JU61" s="186">
        <f t="shared" si="283"/>
        <v>102</v>
      </c>
      <c r="JV61" s="186">
        <f t="shared" si="284"/>
        <v>34</v>
      </c>
      <c r="JW61" s="135" t="str">
        <f t="shared" si="134"/>
        <v>F</v>
      </c>
      <c r="JX61" s="151" t="str">
        <f>VLOOKUP(RANK(JV61,$JV$10:$JV$109),Sheet1!$A$381:$B$480,2,FALSE)</f>
        <v>34th</v>
      </c>
      <c r="JY61" s="186"/>
      <c r="JZ61" s="186"/>
      <c r="KA61" s="186">
        <f t="shared" si="135"/>
        <v>0</v>
      </c>
      <c r="KB61" s="186" t="str">
        <f t="shared" si="136"/>
        <v>55</v>
      </c>
      <c r="KC61" s="186" t="str">
        <f t="shared" si="137"/>
        <v>58</v>
      </c>
      <c r="KD61" s="186">
        <f t="shared" si="285"/>
        <v>113</v>
      </c>
      <c r="KE61" s="186">
        <f t="shared" si="286"/>
        <v>37.6666666666667</v>
      </c>
      <c r="KF61" s="135" t="str">
        <f t="shared" si="138"/>
        <v>E</v>
      </c>
      <c r="KG61" s="151" t="str">
        <f>VLOOKUP(RANK(KE61,$KE$10:$KE$109),Sheet1!$A$381:$B$480,2,FALSE)</f>
        <v>45th</v>
      </c>
      <c r="KH61" s="186"/>
      <c r="KI61" s="186"/>
      <c r="KJ61" s="186">
        <f t="shared" si="139"/>
        <v>0</v>
      </c>
      <c r="KK61" s="186" t="str">
        <f t="shared" si="140"/>
        <v>65</v>
      </c>
      <c r="KL61" s="186" t="str">
        <f t="shared" si="141"/>
        <v>64</v>
      </c>
      <c r="KM61" s="186">
        <f t="shared" si="287"/>
        <v>129</v>
      </c>
      <c r="KN61" s="186">
        <f t="shared" si="288"/>
        <v>43</v>
      </c>
      <c r="KO61" s="135" t="str">
        <f t="shared" si="142"/>
        <v>D</v>
      </c>
      <c r="KP61" s="151" t="str">
        <f>VLOOKUP(RANK(KN61,$KN$10:$KN$109),Sheet1!$A$381:$B$480,2,FALSE)</f>
        <v>30th</v>
      </c>
      <c r="KQ61" s="186"/>
      <c r="KR61" s="186"/>
      <c r="KS61" s="186">
        <f t="shared" si="143"/>
        <v>0</v>
      </c>
      <c r="KT61" s="186" t="str">
        <f t="shared" si="144"/>
        <v>0</v>
      </c>
      <c r="KU61" s="186" t="str">
        <f t="shared" si="145"/>
        <v>0</v>
      </c>
      <c r="KV61" s="186">
        <f t="shared" si="289"/>
        <v>0</v>
      </c>
      <c r="KW61" s="186">
        <f t="shared" si="290"/>
        <v>0</v>
      </c>
      <c r="KX61" s="135" t="str">
        <f t="shared" si="146"/>
        <v>F</v>
      </c>
      <c r="KY61" s="151" t="str">
        <f>VLOOKUP(RANK(KW61,$KW$10:$KW$109),Sheet1!$A$381:$B$480,2,FALSE)</f>
        <v>1st</v>
      </c>
      <c r="KZ61" s="186"/>
      <c r="LA61" s="186"/>
      <c r="LB61" s="186">
        <f t="shared" si="147"/>
        <v>0</v>
      </c>
      <c r="LC61" s="186" t="str">
        <f t="shared" si="148"/>
        <v>0</v>
      </c>
      <c r="LD61" s="186" t="str">
        <f t="shared" si="149"/>
        <v>0</v>
      </c>
      <c r="LE61" s="186">
        <f t="shared" si="291"/>
        <v>0</v>
      </c>
      <c r="LF61" s="186">
        <f t="shared" si="292"/>
        <v>0</v>
      </c>
      <c r="LG61" s="135" t="str">
        <f t="shared" si="150"/>
        <v>F</v>
      </c>
      <c r="LH61" s="151" t="str">
        <f>VLOOKUP(RANK(LF61,$LF$10:$LF$109),Sheet1!$A$381:$B$480,2,FALSE)</f>
        <v>1st</v>
      </c>
      <c r="LI61" s="186"/>
      <c r="LJ61" s="186"/>
      <c r="LK61" s="186">
        <f t="shared" si="151"/>
        <v>0</v>
      </c>
      <c r="LL61" s="186" t="str">
        <f t="shared" si="152"/>
        <v>54</v>
      </c>
      <c r="LM61" s="186" t="str">
        <f t="shared" si="153"/>
        <v>56</v>
      </c>
      <c r="LN61" s="186">
        <f t="shared" si="293"/>
        <v>110</v>
      </c>
      <c r="LO61" s="186">
        <f t="shared" si="294"/>
        <v>36.6666666666667</v>
      </c>
      <c r="LP61" s="135" t="str">
        <f t="shared" si="154"/>
        <v>E</v>
      </c>
      <c r="LQ61" s="151" t="str">
        <f>VLOOKUP(RANK(LO61,$LO$10:$LO$109),Sheet1!$A$381:$B$480,2,FALSE)</f>
        <v>23rd</v>
      </c>
      <c r="LR61" s="186"/>
      <c r="LS61" s="186"/>
      <c r="LT61" s="186">
        <f t="shared" si="155"/>
        <v>0</v>
      </c>
      <c r="LU61" s="186" t="str">
        <f t="shared" si="156"/>
        <v>48</v>
      </c>
      <c r="LV61" s="186" t="str">
        <f t="shared" si="157"/>
        <v>68</v>
      </c>
      <c r="LW61" s="186">
        <f t="shared" si="295"/>
        <v>116</v>
      </c>
      <c r="LX61" s="186">
        <f t="shared" si="296"/>
        <v>38.6666666666667</v>
      </c>
      <c r="LY61" s="135" t="str">
        <f t="shared" si="158"/>
        <v>E</v>
      </c>
      <c r="LZ61" s="151" t="str">
        <f>VLOOKUP(RANK(LX61,$LX$10:$LX$109),Sheet1!$A$381:$B$480,2,FALSE)</f>
        <v>27th</v>
      </c>
      <c r="MA61" s="186"/>
      <c r="MB61" s="186"/>
      <c r="MC61" s="186">
        <f t="shared" si="159"/>
        <v>0</v>
      </c>
      <c r="MD61" s="186" t="str">
        <f t="shared" si="160"/>
        <v>30</v>
      </c>
      <c r="ME61" s="186" t="str">
        <f t="shared" si="161"/>
        <v>54</v>
      </c>
      <c r="MF61" s="183">
        <f t="shared" si="297"/>
        <v>84</v>
      </c>
      <c r="MG61" s="151">
        <f t="shared" si="298"/>
        <v>28</v>
      </c>
      <c r="MH61" s="135" t="str">
        <f t="shared" si="162"/>
        <v>F</v>
      </c>
      <c r="MI61" s="151" t="str">
        <f>VLOOKUP(RANK(MG61,$MG$10:$MG$109),Sheet1!$A$381:$B$480,2,FALSE)</f>
        <v>39th</v>
      </c>
      <c r="MJ61" s="186"/>
      <c r="MK61" s="186"/>
      <c r="ML61" s="186">
        <f t="shared" si="163"/>
        <v>0</v>
      </c>
      <c r="MM61" s="186" t="str">
        <f t="shared" si="164"/>
        <v>49</v>
      </c>
      <c r="MN61" s="186" t="str">
        <f t="shared" si="165"/>
        <v>45</v>
      </c>
      <c r="MO61" s="186">
        <f t="shared" si="299"/>
        <v>94</v>
      </c>
      <c r="MP61" s="186">
        <f t="shared" si="300"/>
        <v>31.3333333333333</v>
      </c>
      <c r="MQ61" s="135" t="str">
        <f t="shared" si="166"/>
        <v>F</v>
      </c>
      <c r="MR61" s="151" t="str">
        <f>VLOOKUP(RANK(MP61,$MP$10:$MP$109),Sheet1!$A$381:$B$480,2,FALSE)</f>
        <v>70th</v>
      </c>
      <c r="MS61" s="186"/>
      <c r="MT61" s="186"/>
      <c r="MU61" s="186">
        <f t="shared" si="167"/>
        <v>0</v>
      </c>
      <c r="MV61" s="186" t="str">
        <f t="shared" si="168"/>
        <v>52</v>
      </c>
      <c r="MW61" s="186" t="str">
        <f t="shared" si="169"/>
        <v>70</v>
      </c>
      <c r="MX61" s="186">
        <f t="shared" si="301"/>
        <v>122</v>
      </c>
      <c r="MY61" s="186">
        <f t="shared" si="302"/>
        <v>40.6666666666667</v>
      </c>
      <c r="MZ61" s="135" t="str">
        <f t="shared" si="170"/>
        <v>D</v>
      </c>
      <c r="NA61" s="151" t="str">
        <f>VLOOKUP(RANK(MY61,$MY$10:$MY$109),Sheet1!$A$381:$B$480,2,FALSE)</f>
        <v>22nd</v>
      </c>
      <c r="NB61" s="186"/>
      <c r="NC61" s="186"/>
      <c r="ND61" s="186">
        <f t="shared" si="171"/>
        <v>0</v>
      </c>
      <c r="NE61" s="186" t="str">
        <f t="shared" si="172"/>
        <v>52</v>
      </c>
      <c r="NF61" s="186" t="str">
        <f t="shared" si="173"/>
        <v>57</v>
      </c>
      <c r="NG61" s="186">
        <f t="shared" si="303"/>
        <v>109</v>
      </c>
      <c r="NH61" s="186">
        <f t="shared" si="304"/>
        <v>36.3333333333333</v>
      </c>
      <c r="NI61" s="135" t="str">
        <f t="shared" si="174"/>
        <v>E</v>
      </c>
      <c r="NJ61" s="151" t="str">
        <f>VLOOKUP(RANK(NH61,$NH$10:$NH$109),Sheet1!$A$381:$B$480,2,FALSE)</f>
        <v>6th</v>
      </c>
      <c r="NK61" s="186"/>
      <c r="NL61" s="186"/>
      <c r="NM61" s="186">
        <f t="shared" si="175"/>
        <v>0</v>
      </c>
      <c r="NN61" s="186" t="str">
        <f t="shared" si="176"/>
        <v>42</v>
      </c>
      <c r="NO61" s="186" t="str">
        <f t="shared" si="177"/>
        <v>86</v>
      </c>
      <c r="NP61" s="186">
        <f t="shared" si="305"/>
        <v>128</v>
      </c>
      <c r="NQ61" s="186">
        <f t="shared" si="263"/>
        <v>42.6666666666667</v>
      </c>
      <c r="NR61" s="135" t="str">
        <f t="shared" si="179"/>
        <v>D</v>
      </c>
      <c r="NS61" s="151" t="str">
        <f>VLOOKUP(RANK(NQ61,$NQ$10:$NQ$109),Sheet1!$A$381:$B$480,2,FALSE)</f>
        <v>50th</v>
      </c>
      <c r="NT61" s="186"/>
      <c r="NU61" s="186"/>
      <c r="NV61" s="186">
        <f t="shared" si="180"/>
        <v>0</v>
      </c>
      <c r="NW61" s="186" t="str">
        <f t="shared" si="181"/>
        <v>0</v>
      </c>
      <c r="NX61" s="186" t="str">
        <f t="shared" si="182"/>
        <v>0</v>
      </c>
      <c r="NY61" s="186">
        <f t="shared" si="306"/>
        <v>0</v>
      </c>
      <c r="NZ61" s="186">
        <f t="shared" si="264"/>
        <v>0</v>
      </c>
      <c r="OA61" s="135" t="str">
        <f t="shared" si="184"/>
        <v>F</v>
      </c>
      <c r="OB61" s="151" t="str">
        <f>VLOOKUP(RANK(NZ61,$NZ$10:$NZ$109),Sheet1!$A$381:$B$480,2,FALSE)</f>
        <v>1st</v>
      </c>
      <c r="OC61" s="186"/>
      <c r="OD61" s="186"/>
      <c r="OE61" s="186">
        <f t="shared" si="185"/>
        <v>0</v>
      </c>
      <c r="OF61" s="186" t="str">
        <f t="shared" si="186"/>
        <v>0</v>
      </c>
      <c r="OG61" s="186" t="str">
        <f t="shared" si="187"/>
        <v>0</v>
      </c>
      <c r="OH61" s="186">
        <f t="shared" si="307"/>
        <v>0</v>
      </c>
      <c r="OI61" s="186">
        <f t="shared" si="236"/>
        <v>0</v>
      </c>
      <c r="OJ61" s="135" t="str">
        <f t="shared" si="188"/>
        <v>F</v>
      </c>
      <c r="OK61" s="151" t="str">
        <f>VLOOKUP(RANK(OI61,$OI$10:$OI$109),Sheet1!$A$381:$B$480,2,FALSE)</f>
        <v>1st</v>
      </c>
      <c r="OL61" s="151"/>
      <c r="OM61" s="151"/>
      <c r="ON61" s="151">
        <f t="shared" si="308"/>
        <v>0</v>
      </c>
      <c r="OO61" s="151" t="str">
        <f t="shared" si="309"/>
        <v>0</v>
      </c>
      <c r="OP61" s="151" t="str">
        <f t="shared" si="310"/>
        <v>0</v>
      </c>
      <c r="OQ61" s="151">
        <f t="shared" si="311"/>
        <v>0</v>
      </c>
      <c r="OR61" s="151">
        <f t="shared" si="312"/>
        <v>0</v>
      </c>
      <c r="OS61" s="135" t="str">
        <f t="shared" si="189"/>
        <v>F</v>
      </c>
      <c r="OT61" s="151" t="str">
        <f>VLOOKUP(RANK(OR61,$OI$10:$OI$109),Sheet1!$A$381:$B$480,2,FALSE)</f>
        <v>1st</v>
      </c>
      <c r="OU61" s="151">
        <f t="shared" si="313"/>
        <v>447.33333333333297</v>
      </c>
      <c r="OV61" s="151">
        <f t="shared" si="314"/>
        <v>26.313725490196099</v>
      </c>
      <c r="OW61" s="151" t="str">
        <f>VLOOKUP(RANK(OV61,$OV$10:$OV$109),Sheet1!$A$381:$B$480,2,FALSE)</f>
        <v>32nd</v>
      </c>
      <c r="OX61" s="151"/>
      <c r="OY61" s="186"/>
      <c r="OZ61" s="186"/>
      <c r="PA61" s="186"/>
      <c r="PB61" s="186"/>
    </row>
    <row r="62" spans="1:418" s="118" customFormat="1" ht="18.75">
      <c r="A62" s="131">
        <v>53</v>
      </c>
      <c r="B62" s="132" t="s">
        <v>151</v>
      </c>
      <c r="C62" s="133" t="s">
        <v>152</v>
      </c>
      <c r="D62" s="134">
        <v>23</v>
      </c>
      <c r="E62" s="134">
        <v>47</v>
      </c>
      <c r="F62" s="137">
        <f t="shared" si="0"/>
        <v>70</v>
      </c>
      <c r="G62" s="137">
        <f t="shared" si="1"/>
        <v>70</v>
      </c>
      <c r="H62" s="135" t="str">
        <f t="shared" si="265"/>
        <v>B</v>
      </c>
      <c r="I62" s="135" t="str">
        <f>VLOOKUP(RANK(G62,$G$10:$G$109),Sheet1!$A$381:$B$480,2,FALSE)</f>
        <v>36th</v>
      </c>
      <c r="J62" s="134">
        <v>25</v>
      </c>
      <c r="K62" s="134">
        <v>26</v>
      </c>
      <c r="L62" s="137">
        <f t="shared" si="2"/>
        <v>51</v>
      </c>
      <c r="M62" s="137">
        <f t="shared" si="3"/>
        <v>51</v>
      </c>
      <c r="N62" s="135" t="str">
        <f t="shared" si="4"/>
        <v>C</v>
      </c>
      <c r="O62" s="141" t="str">
        <f>VLOOKUP(RANK(M62,$M$10:$M$109),Sheet1!$A$381:$B$480,2,FALSE)</f>
        <v>56th</v>
      </c>
      <c r="P62" s="144">
        <v>28</v>
      </c>
      <c r="Q62" s="144">
        <v>10</v>
      </c>
      <c r="R62" s="147">
        <f t="shared" si="5"/>
        <v>38</v>
      </c>
      <c r="S62" s="137">
        <f t="shared" si="6"/>
        <v>38</v>
      </c>
      <c r="T62" s="135" t="str">
        <f t="shared" si="7"/>
        <v>E</v>
      </c>
      <c r="U62" s="135" t="str">
        <f>VLOOKUP(RANK(S62,$S$10:$S$109),Sheet1!$A$381:$B$480,2,FALSE)</f>
        <v>67th</v>
      </c>
      <c r="V62" s="134">
        <v>31</v>
      </c>
      <c r="W62" s="134">
        <v>18</v>
      </c>
      <c r="X62" s="137">
        <f t="shared" si="191"/>
        <v>49</v>
      </c>
      <c r="Y62" s="137">
        <f t="shared" si="244"/>
        <v>49</v>
      </c>
      <c r="Z62" s="135" t="str">
        <f t="shared" si="8"/>
        <v>D</v>
      </c>
      <c r="AA62" s="135" t="str">
        <f>VLOOKUP(RANK(Y62,$Y$10:$Y$109),Sheet1!$A$381:$B$480,2,FALSE)</f>
        <v>71st</v>
      </c>
      <c r="AB62" s="134">
        <v>29</v>
      </c>
      <c r="AC62" s="134">
        <v>10</v>
      </c>
      <c r="AD62" s="137">
        <f t="shared" si="9"/>
        <v>39</v>
      </c>
      <c r="AE62" s="137">
        <f t="shared" si="10"/>
        <v>39</v>
      </c>
      <c r="AF62" s="135" t="str">
        <f t="shared" si="11"/>
        <v>E</v>
      </c>
      <c r="AG62" s="135" t="str">
        <f>VLOOKUP(RANK(AE62,$AE$10:$AE$109),Sheet1!$A$381:$B$480,2,FALSE)</f>
        <v>79th</v>
      </c>
      <c r="AH62" s="137"/>
      <c r="AI62" s="137"/>
      <c r="AJ62" s="137">
        <f t="shared" si="12"/>
        <v>0</v>
      </c>
      <c r="AK62" s="137">
        <f t="shared" si="13"/>
        <v>0</v>
      </c>
      <c r="AL62" s="135" t="str">
        <f t="shared" si="14"/>
        <v>F</v>
      </c>
      <c r="AM62" s="135" t="str">
        <f>VLOOKUP(RANK(AK62,$AK$10:$AK$109),Sheet1!$A$381:$B$480,2,FALSE)</f>
        <v>1st</v>
      </c>
      <c r="AN62" s="134"/>
      <c r="AO62" s="134"/>
      <c r="AP62" s="137">
        <f t="shared" si="15"/>
        <v>0</v>
      </c>
      <c r="AQ62" s="137">
        <f t="shared" si="16"/>
        <v>0</v>
      </c>
      <c r="AR62" s="135" t="str">
        <f t="shared" si="17"/>
        <v>F</v>
      </c>
      <c r="AS62" s="135" t="str">
        <f>VLOOKUP(RANK(AQ62,$AQ$10:$AQ$109),Sheet1!$A$381:$B$480,2,FALSE)</f>
        <v>1st</v>
      </c>
      <c r="AT62" s="142">
        <v>25</v>
      </c>
      <c r="AU62" s="145">
        <v>25</v>
      </c>
      <c r="AV62" s="137">
        <f t="shared" si="18"/>
        <v>50</v>
      </c>
      <c r="AW62" s="137">
        <f t="shared" si="19"/>
        <v>50</v>
      </c>
      <c r="AX62" s="135" t="str">
        <f t="shared" si="20"/>
        <v>C</v>
      </c>
      <c r="AY62" s="141" t="str">
        <f>VLOOKUP(RANK(AW62,$AW$10:$AW$109),Sheet1!$A$381:$B$480,2,FALSE)</f>
        <v>58th</v>
      </c>
      <c r="AZ62" s="144">
        <v>32</v>
      </c>
      <c r="BA62" s="144">
        <v>16</v>
      </c>
      <c r="BB62" s="147">
        <f t="shared" si="21"/>
        <v>48</v>
      </c>
      <c r="BC62" s="137">
        <f t="shared" si="22"/>
        <v>48</v>
      </c>
      <c r="BD62" s="135" t="str">
        <f t="shared" si="23"/>
        <v>D</v>
      </c>
      <c r="BE62" s="135" t="str">
        <f>VLOOKUP(RANK(BC62,$BC$10:$BC$109),Sheet1!$A$381:$B$480,2,FALSE)</f>
        <v>63rd</v>
      </c>
      <c r="BF62" s="144">
        <v>21</v>
      </c>
      <c r="BG62" s="144">
        <v>12</v>
      </c>
      <c r="BH62" s="137">
        <f t="shared" si="24"/>
        <v>33</v>
      </c>
      <c r="BI62" s="137">
        <f t="shared" si="25"/>
        <v>33</v>
      </c>
      <c r="BJ62" s="135" t="str">
        <f t="shared" si="26"/>
        <v>F</v>
      </c>
      <c r="BK62" s="141" t="str">
        <f>VLOOKUP(RANK(BI62,$BI$10:$BI$109),Sheet1!$A$381:$B$480,2,FALSE)</f>
        <v>56th</v>
      </c>
      <c r="BL62" s="149">
        <v>26</v>
      </c>
      <c r="BM62" s="149">
        <v>25</v>
      </c>
      <c r="BN62" s="147">
        <f t="shared" si="27"/>
        <v>51</v>
      </c>
      <c r="BO62" s="137">
        <f t="shared" si="28"/>
        <v>51</v>
      </c>
      <c r="BP62" s="135" t="str">
        <f t="shared" si="29"/>
        <v>C</v>
      </c>
      <c r="BQ62" s="141" t="str">
        <f>VLOOKUP(RANK(BO62,$BO$10:$BO$109),Sheet1!$A$381:$B$480,2,FALSE)</f>
        <v>69th</v>
      </c>
      <c r="BR62" s="149">
        <v>29</v>
      </c>
      <c r="BS62" s="149">
        <v>5</v>
      </c>
      <c r="BT62" s="147">
        <f t="shared" si="30"/>
        <v>34</v>
      </c>
      <c r="BU62" s="137">
        <f t="shared" si="31"/>
        <v>34</v>
      </c>
      <c r="BV62" s="135" t="str">
        <f t="shared" si="32"/>
        <v>F</v>
      </c>
      <c r="BW62" s="135" t="str">
        <f>VLOOKUP(RANK(BU62,$BU$10:$BU$109),Sheet1!$A$381:$B$480,2,FALSE)</f>
        <v>83rd</v>
      </c>
      <c r="BX62" s="149">
        <v>35</v>
      </c>
      <c r="BY62" s="149">
        <v>10</v>
      </c>
      <c r="BZ62" s="137">
        <f t="shared" si="33"/>
        <v>45</v>
      </c>
      <c r="CA62" s="137">
        <f t="shared" si="34"/>
        <v>45</v>
      </c>
      <c r="CB62" s="135" t="str">
        <f t="shared" si="35"/>
        <v>D</v>
      </c>
      <c r="CC62" s="135" t="str">
        <f>VLOOKUP(RANK(CA62,$CA$10:$CA$109),Sheet1!$A$381:$B$480,2,FALSE)</f>
        <v>13th</v>
      </c>
      <c r="CD62" s="149">
        <v>25</v>
      </c>
      <c r="CE62" s="149">
        <v>20</v>
      </c>
      <c r="CF62" s="137">
        <f t="shared" si="36"/>
        <v>45</v>
      </c>
      <c r="CG62" s="137">
        <f t="shared" si="37"/>
        <v>45</v>
      </c>
      <c r="CH62" s="135" t="str">
        <f t="shared" si="38"/>
        <v>D</v>
      </c>
      <c r="CI62" s="135" t="str">
        <f>VLOOKUP(RANK(CG62,$CG$10:$CG$109),Sheet1!$A$381:$B$480,2,FALSE)</f>
        <v>82nd</v>
      </c>
      <c r="CJ62" s="137"/>
      <c r="CK62" s="137"/>
      <c r="CL62" s="137">
        <f t="shared" si="39"/>
        <v>0</v>
      </c>
      <c r="CM62" s="137">
        <f t="shared" si="40"/>
        <v>0</v>
      </c>
      <c r="CN62" s="135" t="str">
        <f t="shared" si="41"/>
        <v>F</v>
      </c>
      <c r="CO62" s="135" t="str">
        <f>VLOOKUP(RANK(CM62,$CM$10:$CM$109),Sheet1!$A$381:$B$480,2,FALSE)</f>
        <v>1st</v>
      </c>
      <c r="CP62" s="137"/>
      <c r="CQ62" s="137"/>
      <c r="CR62" s="137">
        <f t="shared" si="42"/>
        <v>0</v>
      </c>
      <c r="CS62" s="137">
        <f t="shared" si="43"/>
        <v>0</v>
      </c>
      <c r="CT62" s="135" t="str">
        <f t="shared" si="44"/>
        <v>F</v>
      </c>
      <c r="CU62" s="135" t="str">
        <f>VLOOKUP(RANK(CS62,$CS$10:$CS$109),Sheet1!$A$381:$B$480,2,FALSE)</f>
        <v>1st</v>
      </c>
      <c r="CV62" s="151"/>
      <c r="CW62" s="135"/>
      <c r="CX62" s="151">
        <f t="shared" si="266"/>
        <v>0</v>
      </c>
      <c r="CY62" s="151">
        <f t="shared" si="267"/>
        <v>0</v>
      </c>
      <c r="CZ62" s="135" t="str">
        <f t="shared" si="45"/>
        <v>F</v>
      </c>
      <c r="DA62" s="135" t="str">
        <f>VLOOKUP(RANK(CY62,$CY$10:$CY$109),Sheet1!$A$381:$B$480,2,FALSE)</f>
        <v>1st</v>
      </c>
      <c r="DB62" s="135"/>
      <c r="DC62" s="151">
        <f t="shared" si="268"/>
        <v>553</v>
      </c>
      <c r="DD62" s="151">
        <f t="shared" si="269"/>
        <v>32.529411764705898</v>
      </c>
      <c r="DE62" s="135" t="str">
        <f>VLOOKUP(RANK(DD62,$DD$10:$DD$109),Sheet1!$A$381:$B$480,2,FALSE)</f>
        <v>77th</v>
      </c>
      <c r="DF62" s="137"/>
      <c r="DG62" s="160">
        <f t="shared" si="46"/>
        <v>585.52941176470597</v>
      </c>
      <c r="DH62" s="119"/>
      <c r="DI62" s="162" t="s">
        <v>105</v>
      </c>
      <c r="DJ62" s="162" t="s">
        <v>105</v>
      </c>
      <c r="DK62" s="137">
        <f t="shared" si="47"/>
        <v>0</v>
      </c>
      <c r="DL62" s="137" t="str">
        <f t="shared" si="245"/>
        <v>70</v>
      </c>
      <c r="DM62" s="137">
        <f t="shared" si="49"/>
        <v>70</v>
      </c>
      <c r="DN62" s="137">
        <f t="shared" si="50"/>
        <v>35</v>
      </c>
      <c r="DO62" s="135" t="str">
        <f t="shared" si="51"/>
        <v>E</v>
      </c>
      <c r="DP62" s="135" t="str">
        <f>VLOOKUP(RANK(DN62,$DN$10:$DN$109),Sheet1!$A$381:$B$480,2,FALSE)</f>
        <v>96th</v>
      </c>
      <c r="DQ62" s="166">
        <v>0</v>
      </c>
      <c r="DR62" s="166">
        <v>0</v>
      </c>
      <c r="DS62" s="137">
        <f t="shared" si="52"/>
        <v>0</v>
      </c>
      <c r="DT62" s="137" t="str">
        <f t="shared" si="246"/>
        <v>51</v>
      </c>
      <c r="DU62" s="137">
        <f t="shared" si="54"/>
        <v>51</v>
      </c>
      <c r="DV62" s="137">
        <f t="shared" si="247"/>
        <v>25.5</v>
      </c>
      <c r="DW62" s="135" t="str">
        <f t="shared" si="56"/>
        <v>F</v>
      </c>
      <c r="DX62" s="135" t="str">
        <f>VLOOKUP(RANK(DV62,$DV$10:$DV$109),Sheet1!$A$381:$B$480,2,FALSE)</f>
        <v>97th</v>
      </c>
      <c r="DY62" s="168">
        <v>16</v>
      </c>
      <c r="DZ62" s="168">
        <v>0</v>
      </c>
      <c r="EA62" s="137">
        <f t="shared" si="57"/>
        <v>16</v>
      </c>
      <c r="EB62" s="137" t="str">
        <f t="shared" si="248"/>
        <v>38</v>
      </c>
      <c r="EC62" s="137">
        <f t="shared" si="59"/>
        <v>54</v>
      </c>
      <c r="ED62" s="137">
        <f t="shared" si="60"/>
        <v>27</v>
      </c>
      <c r="EE62" s="135" t="str">
        <f t="shared" si="61"/>
        <v>F</v>
      </c>
      <c r="EF62" s="135" t="str">
        <f>VLOOKUP(RANK(ED62,$ED$10:$ED$109),Sheet1!$A$381:$B$480,2,FALSE)</f>
        <v>95th</v>
      </c>
      <c r="EG62" s="162">
        <v>23</v>
      </c>
      <c r="EH62" s="162" t="s">
        <v>105</v>
      </c>
      <c r="EI62" s="137">
        <f t="shared" si="62"/>
        <v>23</v>
      </c>
      <c r="EJ62" s="137" t="str">
        <f t="shared" si="249"/>
        <v>49</v>
      </c>
      <c r="EK62" s="137">
        <f t="shared" si="64"/>
        <v>72</v>
      </c>
      <c r="EL62" s="137">
        <f t="shared" si="65"/>
        <v>36</v>
      </c>
      <c r="EM62" s="135" t="str">
        <f t="shared" si="66"/>
        <v>E</v>
      </c>
      <c r="EN62" s="135" t="str">
        <f>VLOOKUP(RANK(EL62,$EL$10:$EL$109),Sheet1!$A$381:$B$480,2,FALSE)</f>
        <v>91st</v>
      </c>
      <c r="EO62" s="162">
        <v>29</v>
      </c>
      <c r="EP62" s="162"/>
      <c r="EQ62" s="137">
        <f t="shared" si="67"/>
        <v>29</v>
      </c>
      <c r="ER62" s="137" t="str">
        <f t="shared" si="250"/>
        <v>39</v>
      </c>
      <c r="ES62" s="137">
        <f t="shared" si="69"/>
        <v>68</v>
      </c>
      <c r="ET62" s="137">
        <f t="shared" si="70"/>
        <v>34</v>
      </c>
      <c r="EU62" s="135" t="str">
        <f t="shared" si="71"/>
        <v>F</v>
      </c>
      <c r="EV62" s="135" t="str">
        <f>VLOOKUP(RANK(ET62,$ET$10:$ET$109),Sheet1!$A$381:$B$480,2,FALSE)</f>
        <v>90th</v>
      </c>
      <c r="EW62" s="137"/>
      <c r="EX62" s="137"/>
      <c r="EY62" s="137">
        <f t="shared" si="72"/>
        <v>0</v>
      </c>
      <c r="EZ62" s="137" t="str">
        <f t="shared" si="251"/>
        <v>0</v>
      </c>
      <c r="FA62" s="137">
        <f t="shared" si="74"/>
        <v>0</v>
      </c>
      <c r="FB62" s="137">
        <f t="shared" si="75"/>
        <v>0</v>
      </c>
      <c r="FC62" s="135" t="str">
        <f t="shared" si="76"/>
        <v>F</v>
      </c>
      <c r="FD62" s="135" t="str">
        <f>VLOOKUP(RANK(FB62,$FB$10:$FB$109),Sheet1!$A$381:$B$480,2,FALSE)</f>
        <v>1st</v>
      </c>
      <c r="FE62" s="137"/>
      <c r="FF62" s="137"/>
      <c r="FG62" s="137">
        <f t="shared" si="77"/>
        <v>0</v>
      </c>
      <c r="FH62" s="137" t="str">
        <f t="shared" si="252"/>
        <v>0</v>
      </c>
      <c r="FI62" s="137">
        <f t="shared" si="79"/>
        <v>0</v>
      </c>
      <c r="FJ62" s="137">
        <f t="shared" si="80"/>
        <v>0</v>
      </c>
      <c r="FK62" s="135" t="str">
        <f t="shared" si="81"/>
        <v>F</v>
      </c>
      <c r="FL62" s="135" t="str">
        <f>VLOOKUP(RANK(FJ62,$FJ$10:$FJ$109),Sheet1!$A$381:$B$480,2,FALSE)</f>
        <v>1st</v>
      </c>
      <c r="FM62" s="164"/>
      <c r="FN62" s="165"/>
      <c r="FO62" s="137">
        <f t="shared" si="82"/>
        <v>0</v>
      </c>
      <c r="FP62" s="137" t="str">
        <f t="shared" si="253"/>
        <v>50</v>
      </c>
      <c r="FQ62" s="137">
        <f t="shared" si="84"/>
        <v>50</v>
      </c>
      <c r="FR62" s="137">
        <f t="shared" si="85"/>
        <v>25</v>
      </c>
      <c r="FS62" s="135" t="str">
        <f t="shared" si="86"/>
        <v>F</v>
      </c>
      <c r="FT62" s="135" t="str">
        <f>VLOOKUP(RANK(FR62,$FR$10:$FR$109),Sheet1!$A$381:$B$480,2,FALSE)</f>
        <v>98th</v>
      </c>
      <c r="FU62" s="149">
        <v>11</v>
      </c>
      <c r="FV62" s="149">
        <v>0</v>
      </c>
      <c r="FW62" s="137">
        <f t="shared" si="87"/>
        <v>11</v>
      </c>
      <c r="FX62" s="137" t="str">
        <f t="shared" si="254"/>
        <v>48</v>
      </c>
      <c r="FY62" s="137">
        <f t="shared" si="196"/>
        <v>11</v>
      </c>
      <c r="FZ62" s="137">
        <f t="shared" si="89"/>
        <v>5.5</v>
      </c>
      <c r="GA62" s="135" t="str">
        <f t="shared" si="90"/>
        <v>F</v>
      </c>
      <c r="GB62" s="135" t="str">
        <f>VLOOKUP(RANK(FZ62,$FZ$10:$FZ$109),Sheet1!$A$381:$B$480,2,FALSE)</f>
        <v>98th</v>
      </c>
      <c r="GC62" s="166">
        <v>10</v>
      </c>
      <c r="GD62" s="166">
        <v>0</v>
      </c>
      <c r="GE62" s="137">
        <f t="shared" si="91"/>
        <v>10</v>
      </c>
      <c r="GF62" s="137" t="str">
        <f t="shared" si="255"/>
        <v>33</v>
      </c>
      <c r="GG62" s="135">
        <f t="shared" si="270"/>
        <v>43</v>
      </c>
      <c r="GH62" s="137">
        <f t="shared" si="271"/>
        <v>21.5</v>
      </c>
      <c r="GI62" s="135" t="str">
        <f t="shared" si="93"/>
        <v>F</v>
      </c>
      <c r="GJ62" s="135" t="str">
        <f>VLOOKUP(RANK(GH62,$GH$10:$GH$109),Sheet1!$A$381:$B$480,2,FALSE)</f>
        <v>96th</v>
      </c>
      <c r="GK62" s="166" t="s">
        <v>105</v>
      </c>
      <c r="GL62" s="166" t="s">
        <v>105</v>
      </c>
      <c r="GM62" s="137">
        <f t="shared" si="94"/>
        <v>0</v>
      </c>
      <c r="GN62" s="137" t="str">
        <f t="shared" si="256"/>
        <v>51</v>
      </c>
      <c r="GO62" s="135">
        <f t="shared" si="272"/>
        <v>51</v>
      </c>
      <c r="GP62" s="137">
        <f t="shared" si="96"/>
        <v>25.5</v>
      </c>
      <c r="GQ62" s="135" t="str">
        <f t="shared" si="97"/>
        <v>F</v>
      </c>
      <c r="GR62" s="135" t="str">
        <f>VLOOKUP(RANK(GP62,$GP$10:$GP$109),Sheet1!$A$381:$B$480,2,FALSE)</f>
        <v>97th</v>
      </c>
      <c r="GS62" s="166">
        <v>25</v>
      </c>
      <c r="GT62" s="166">
        <v>0</v>
      </c>
      <c r="GU62" s="137">
        <f t="shared" si="98"/>
        <v>25</v>
      </c>
      <c r="GV62" s="137" t="str">
        <f t="shared" si="257"/>
        <v>34</v>
      </c>
      <c r="GW62" s="137">
        <f t="shared" si="100"/>
        <v>59</v>
      </c>
      <c r="GX62" s="137">
        <f t="shared" si="101"/>
        <v>29.5</v>
      </c>
      <c r="GY62" s="135" t="str">
        <f t="shared" si="102"/>
        <v>F</v>
      </c>
      <c r="GZ62" s="135" t="str">
        <f>VLOOKUP(RANK(GX62,$GX$10:$GX$109),Sheet1!$A$381:$B$480,2,FALSE)</f>
        <v>94th</v>
      </c>
      <c r="HA62" s="166">
        <v>31</v>
      </c>
      <c r="HB62" s="166">
        <v>0</v>
      </c>
      <c r="HC62" s="137">
        <f t="shared" si="103"/>
        <v>31</v>
      </c>
      <c r="HD62" s="137" t="str">
        <f t="shared" si="258"/>
        <v>45</v>
      </c>
      <c r="HE62" s="137">
        <f t="shared" si="105"/>
        <v>76</v>
      </c>
      <c r="HF62" s="137">
        <f t="shared" si="106"/>
        <v>38</v>
      </c>
      <c r="HG62" s="135" t="str">
        <f t="shared" si="107"/>
        <v>E</v>
      </c>
      <c r="HH62" s="135" t="str">
        <f>VLOOKUP(RANK(HF62,$HF$10:$HF$109),Sheet1!$A$381:$B$480,2,FALSE)</f>
        <v>80th</v>
      </c>
      <c r="HI62" s="149">
        <v>30</v>
      </c>
      <c r="HJ62" s="138" t="s">
        <v>143</v>
      </c>
      <c r="HK62" s="137">
        <f t="shared" si="108"/>
        <v>30</v>
      </c>
      <c r="HL62" s="137" t="str">
        <f t="shared" si="259"/>
        <v>45</v>
      </c>
      <c r="HM62" s="137">
        <f t="shared" si="110"/>
        <v>75</v>
      </c>
      <c r="HN62" s="137">
        <f t="shared" si="111"/>
        <v>37.5</v>
      </c>
      <c r="HO62" s="135" t="str">
        <f t="shared" si="112"/>
        <v>E</v>
      </c>
      <c r="HP62" s="135" t="str">
        <f>VLOOKUP(RANK(HN62,$HN$10:$HN$109),Sheet1!$A$381:$B$480,2,FALSE)</f>
        <v>97th</v>
      </c>
      <c r="HQ62" s="137"/>
      <c r="HR62" s="137"/>
      <c r="HS62" s="137">
        <f t="shared" si="113"/>
        <v>0</v>
      </c>
      <c r="HT62" s="137" t="str">
        <f t="shared" si="260"/>
        <v>0</v>
      </c>
      <c r="HU62" s="137">
        <f t="shared" si="115"/>
        <v>0</v>
      </c>
      <c r="HV62" s="137">
        <f t="shared" si="116"/>
        <v>0</v>
      </c>
      <c r="HW62" s="135" t="str">
        <f t="shared" si="117"/>
        <v>F</v>
      </c>
      <c r="HX62" s="135" t="str">
        <f>VLOOKUP(RANK(HV62,$HV$10:$HV$109),Sheet1!$A$381:$B$480,2,FALSE)</f>
        <v>1st</v>
      </c>
      <c r="HY62" s="137"/>
      <c r="HZ62" s="137"/>
      <c r="IA62" s="137">
        <f t="shared" si="261"/>
        <v>0</v>
      </c>
      <c r="IB62" s="137" t="str">
        <f t="shared" si="262"/>
        <v>0</v>
      </c>
      <c r="IC62" s="137">
        <f t="shared" si="120"/>
        <v>0</v>
      </c>
      <c r="ID62" s="137">
        <f t="shared" si="121"/>
        <v>0</v>
      </c>
      <c r="IE62" s="135" t="str">
        <f t="shared" si="122"/>
        <v>F</v>
      </c>
      <c r="IF62" s="135" t="str">
        <f>VLOOKUP(RANK(ID62,$ID$10:$ID$109),Sheet1!$A$381:$B$480,2,FALSE)</f>
        <v>1st</v>
      </c>
      <c r="IG62" s="135"/>
      <c r="IH62" s="135"/>
      <c r="II62" s="135">
        <f t="shared" si="273"/>
        <v>0</v>
      </c>
      <c r="IJ62" s="135" t="str">
        <f t="shared" si="274"/>
        <v>0</v>
      </c>
      <c r="IK62" s="135">
        <f t="shared" si="275"/>
        <v>0</v>
      </c>
      <c r="IL62" s="135">
        <f t="shared" si="276"/>
        <v>0</v>
      </c>
      <c r="IM62" s="135" t="str">
        <f t="shared" si="123"/>
        <v>F</v>
      </c>
      <c r="IN62" s="135" t="str">
        <f>VLOOKUP(RANK(IL62,$IL$10:$IL$109),Sheet1!$A$381:$B$480,2,FALSE)</f>
        <v>1st</v>
      </c>
      <c r="IO62" s="135">
        <f t="shared" si="277"/>
        <v>340</v>
      </c>
      <c r="IP62" s="177">
        <f t="shared" si="278"/>
        <v>20</v>
      </c>
      <c r="IQ62" s="135" t="str">
        <f>VLOOKUP(RANK(IP62,$IP$10:$IP$109),Sheet1!$A$381:$B$480,2,FALSE)</f>
        <v>98th</v>
      </c>
      <c r="IR62" s="178"/>
      <c r="IS62" s="137"/>
      <c r="IT62" s="137"/>
      <c r="IU62" s="137"/>
      <c r="IV62" s="137"/>
      <c r="IW62" s="181"/>
      <c r="IX62" s="184"/>
      <c r="IY62" s="186"/>
      <c r="IZ62" s="186">
        <f t="shared" si="206"/>
        <v>0</v>
      </c>
      <c r="JA62" s="186" t="str">
        <f t="shared" si="124"/>
        <v>70</v>
      </c>
      <c r="JB62" s="186" t="str">
        <f t="shared" si="125"/>
        <v>0</v>
      </c>
      <c r="JC62" s="186">
        <f t="shared" si="279"/>
        <v>70</v>
      </c>
      <c r="JD62" s="186">
        <f t="shared" si="280"/>
        <v>23.3333333333333</v>
      </c>
      <c r="JE62" s="135" t="str">
        <f t="shared" si="126"/>
        <v>F</v>
      </c>
      <c r="JF62" s="151" t="str">
        <f>VLOOKUP(RANK(JD62,$JD$10:$JD$109),Sheet1!$A$381:$B$480,2,FALSE)</f>
        <v>96th</v>
      </c>
      <c r="JG62" s="186"/>
      <c r="JH62" s="186"/>
      <c r="JI62" s="186">
        <f t="shared" si="127"/>
        <v>0</v>
      </c>
      <c r="JJ62" s="186" t="str">
        <f t="shared" si="128"/>
        <v>51</v>
      </c>
      <c r="JK62" s="186" t="str">
        <f t="shared" si="129"/>
        <v>0</v>
      </c>
      <c r="JL62" s="186">
        <f t="shared" si="281"/>
        <v>51</v>
      </c>
      <c r="JM62" s="186">
        <f t="shared" si="282"/>
        <v>17</v>
      </c>
      <c r="JN62" s="135" t="str">
        <f t="shared" si="130"/>
        <v>F</v>
      </c>
      <c r="JO62" s="151" t="str">
        <f>VLOOKUP(RANK(JM62,$JM$10:$JM$109),Sheet1!$A$381:$B$480,2,FALSE)</f>
        <v>97th</v>
      </c>
      <c r="JP62" s="186"/>
      <c r="JQ62" s="186"/>
      <c r="JR62" s="186">
        <f t="shared" si="131"/>
        <v>0</v>
      </c>
      <c r="JS62" s="186" t="str">
        <f t="shared" si="132"/>
        <v>38</v>
      </c>
      <c r="JT62" s="186" t="str">
        <f t="shared" si="133"/>
        <v>16</v>
      </c>
      <c r="JU62" s="186">
        <f t="shared" si="283"/>
        <v>54</v>
      </c>
      <c r="JV62" s="186">
        <f t="shared" si="284"/>
        <v>18</v>
      </c>
      <c r="JW62" s="135" t="str">
        <f t="shared" si="134"/>
        <v>F</v>
      </c>
      <c r="JX62" s="151" t="str">
        <f>VLOOKUP(RANK(JV62,$JV$10:$JV$109),Sheet1!$A$381:$B$480,2,FALSE)</f>
        <v>95th</v>
      </c>
      <c r="JY62" s="186"/>
      <c r="JZ62" s="186"/>
      <c r="KA62" s="186">
        <f t="shared" si="135"/>
        <v>0</v>
      </c>
      <c r="KB62" s="186" t="str">
        <f t="shared" si="136"/>
        <v>49</v>
      </c>
      <c r="KC62" s="186" t="str">
        <f t="shared" si="137"/>
        <v>23</v>
      </c>
      <c r="KD62" s="186">
        <f t="shared" si="285"/>
        <v>72</v>
      </c>
      <c r="KE62" s="186">
        <f t="shared" si="286"/>
        <v>24</v>
      </c>
      <c r="KF62" s="135" t="str">
        <f t="shared" si="138"/>
        <v>F</v>
      </c>
      <c r="KG62" s="151" t="str">
        <f>VLOOKUP(RANK(KE62,$KE$10:$KE$109),Sheet1!$A$381:$B$480,2,FALSE)</f>
        <v>91st</v>
      </c>
      <c r="KH62" s="186"/>
      <c r="KI62" s="186"/>
      <c r="KJ62" s="186">
        <f t="shared" si="139"/>
        <v>0</v>
      </c>
      <c r="KK62" s="186" t="str">
        <f t="shared" si="140"/>
        <v>39</v>
      </c>
      <c r="KL62" s="186" t="str">
        <f t="shared" si="141"/>
        <v>29</v>
      </c>
      <c r="KM62" s="186">
        <f t="shared" si="287"/>
        <v>68</v>
      </c>
      <c r="KN62" s="186">
        <f t="shared" si="288"/>
        <v>22.6666666666667</v>
      </c>
      <c r="KO62" s="135" t="str">
        <f t="shared" si="142"/>
        <v>F</v>
      </c>
      <c r="KP62" s="151" t="str">
        <f>VLOOKUP(RANK(KN62,$KN$10:$KN$109),Sheet1!$A$381:$B$480,2,FALSE)</f>
        <v>90th</v>
      </c>
      <c r="KQ62" s="186"/>
      <c r="KR62" s="186"/>
      <c r="KS62" s="186">
        <f t="shared" si="143"/>
        <v>0</v>
      </c>
      <c r="KT62" s="186" t="str">
        <f t="shared" si="144"/>
        <v>0</v>
      </c>
      <c r="KU62" s="186" t="str">
        <f t="shared" si="145"/>
        <v>0</v>
      </c>
      <c r="KV62" s="186">
        <f t="shared" si="289"/>
        <v>0</v>
      </c>
      <c r="KW62" s="186">
        <f t="shared" si="290"/>
        <v>0</v>
      </c>
      <c r="KX62" s="135" t="str">
        <f t="shared" si="146"/>
        <v>F</v>
      </c>
      <c r="KY62" s="151" t="str">
        <f>VLOOKUP(RANK(KW62,$KW$10:$KW$109),Sheet1!$A$381:$B$480,2,FALSE)</f>
        <v>1st</v>
      </c>
      <c r="KZ62" s="186"/>
      <c r="LA62" s="186"/>
      <c r="LB62" s="186">
        <f t="shared" si="147"/>
        <v>0</v>
      </c>
      <c r="LC62" s="186" t="str">
        <f t="shared" si="148"/>
        <v>0</v>
      </c>
      <c r="LD62" s="186" t="str">
        <f t="shared" si="149"/>
        <v>0</v>
      </c>
      <c r="LE62" s="186">
        <f t="shared" si="291"/>
        <v>0</v>
      </c>
      <c r="LF62" s="186">
        <f t="shared" si="292"/>
        <v>0</v>
      </c>
      <c r="LG62" s="135" t="str">
        <f t="shared" si="150"/>
        <v>F</v>
      </c>
      <c r="LH62" s="151" t="str">
        <f>VLOOKUP(RANK(LF62,$LF$10:$LF$109),Sheet1!$A$381:$B$480,2,FALSE)</f>
        <v>1st</v>
      </c>
      <c r="LI62" s="186"/>
      <c r="LJ62" s="186"/>
      <c r="LK62" s="186">
        <f t="shared" si="151"/>
        <v>0</v>
      </c>
      <c r="LL62" s="186" t="str">
        <f t="shared" si="152"/>
        <v>50</v>
      </c>
      <c r="LM62" s="186" t="str">
        <f t="shared" si="153"/>
        <v>0</v>
      </c>
      <c r="LN62" s="186">
        <f t="shared" si="293"/>
        <v>50</v>
      </c>
      <c r="LO62" s="186">
        <f t="shared" si="294"/>
        <v>16.6666666666667</v>
      </c>
      <c r="LP62" s="135" t="str">
        <f t="shared" si="154"/>
        <v>F</v>
      </c>
      <c r="LQ62" s="151" t="str">
        <f>VLOOKUP(RANK(LO62,$LO$10:$LO$109),Sheet1!$A$381:$B$480,2,FALSE)</f>
        <v>98th</v>
      </c>
      <c r="LR62" s="186"/>
      <c r="LS62" s="186"/>
      <c r="LT62" s="186">
        <f t="shared" si="155"/>
        <v>0</v>
      </c>
      <c r="LU62" s="186" t="str">
        <f t="shared" si="156"/>
        <v>48</v>
      </c>
      <c r="LV62" s="186" t="str">
        <f t="shared" si="157"/>
        <v>11</v>
      </c>
      <c r="LW62" s="186">
        <f t="shared" si="295"/>
        <v>59</v>
      </c>
      <c r="LX62" s="186">
        <f t="shared" si="296"/>
        <v>19.6666666666667</v>
      </c>
      <c r="LY62" s="135" t="str">
        <f t="shared" si="158"/>
        <v>F</v>
      </c>
      <c r="LZ62" s="151" t="str">
        <f>VLOOKUP(RANK(LX62,$LX$10:$LX$109),Sheet1!$A$381:$B$480,2,FALSE)</f>
        <v>98th</v>
      </c>
      <c r="MA62" s="186"/>
      <c r="MB62" s="186"/>
      <c r="MC62" s="186">
        <f t="shared" si="159"/>
        <v>0</v>
      </c>
      <c r="MD62" s="186" t="str">
        <f t="shared" si="160"/>
        <v>33</v>
      </c>
      <c r="ME62" s="186" t="str">
        <f t="shared" si="161"/>
        <v>10</v>
      </c>
      <c r="MF62" s="183">
        <f t="shared" si="297"/>
        <v>43</v>
      </c>
      <c r="MG62" s="151">
        <f t="shared" si="298"/>
        <v>14.3333333333333</v>
      </c>
      <c r="MH62" s="135" t="str">
        <f t="shared" si="162"/>
        <v>F</v>
      </c>
      <c r="MI62" s="151" t="str">
        <f>VLOOKUP(RANK(MG62,$MG$10:$MG$109),Sheet1!$A$381:$B$480,2,FALSE)</f>
        <v>96th</v>
      </c>
      <c r="MJ62" s="186"/>
      <c r="MK62" s="186"/>
      <c r="ML62" s="186">
        <f t="shared" si="163"/>
        <v>0</v>
      </c>
      <c r="MM62" s="186" t="str">
        <f t="shared" si="164"/>
        <v>51</v>
      </c>
      <c r="MN62" s="186" t="str">
        <f t="shared" si="165"/>
        <v>0</v>
      </c>
      <c r="MO62" s="186">
        <f t="shared" si="299"/>
        <v>51</v>
      </c>
      <c r="MP62" s="186">
        <f t="shared" si="300"/>
        <v>17</v>
      </c>
      <c r="MQ62" s="135" t="str">
        <f t="shared" si="166"/>
        <v>F</v>
      </c>
      <c r="MR62" s="151" t="str">
        <f>VLOOKUP(RANK(MP62,$MP$10:$MP$109),Sheet1!$A$381:$B$480,2,FALSE)</f>
        <v>97th</v>
      </c>
      <c r="MS62" s="186"/>
      <c r="MT62" s="186"/>
      <c r="MU62" s="186">
        <f t="shared" si="167"/>
        <v>0</v>
      </c>
      <c r="MV62" s="186" t="str">
        <f t="shared" si="168"/>
        <v>34</v>
      </c>
      <c r="MW62" s="186" t="str">
        <f t="shared" si="169"/>
        <v>25</v>
      </c>
      <c r="MX62" s="186">
        <f t="shared" si="301"/>
        <v>59</v>
      </c>
      <c r="MY62" s="186">
        <f t="shared" si="302"/>
        <v>19.6666666666667</v>
      </c>
      <c r="MZ62" s="135" t="str">
        <f t="shared" si="170"/>
        <v>F</v>
      </c>
      <c r="NA62" s="151" t="str">
        <f>VLOOKUP(RANK(MY62,$MY$10:$MY$109),Sheet1!$A$381:$B$480,2,FALSE)</f>
        <v>94th</v>
      </c>
      <c r="NB62" s="186"/>
      <c r="NC62" s="186"/>
      <c r="ND62" s="186">
        <f t="shared" si="171"/>
        <v>0</v>
      </c>
      <c r="NE62" s="186" t="str">
        <f t="shared" si="172"/>
        <v>45</v>
      </c>
      <c r="NF62" s="186" t="str">
        <f t="shared" si="173"/>
        <v>31</v>
      </c>
      <c r="NG62" s="186">
        <f t="shared" si="303"/>
        <v>76</v>
      </c>
      <c r="NH62" s="186">
        <f t="shared" si="304"/>
        <v>25.3333333333333</v>
      </c>
      <c r="NI62" s="135" t="str">
        <f t="shared" si="174"/>
        <v>F</v>
      </c>
      <c r="NJ62" s="151" t="str">
        <f>VLOOKUP(RANK(NH62,$NH$10:$NH$109),Sheet1!$A$381:$B$480,2,FALSE)</f>
        <v>80th</v>
      </c>
      <c r="NK62" s="186"/>
      <c r="NL62" s="186"/>
      <c r="NM62" s="186">
        <f t="shared" si="175"/>
        <v>0</v>
      </c>
      <c r="NN62" s="186" t="str">
        <f t="shared" si="176"/>
        <v>45</v>
      </c>
      <c r="NO62" s="186" t="str">
        <f t="shared" si="177"/>
        <v>30</v>
      </c>
      <c r="NP62" s="186">
        <f t="shared" si="305"/>
        <v>75</v>
      </c>
      <c r="NQ62" s="186">
        <f t="shared" si="263"/>
        <v>25</v>
      </c>
      <c r="NR62" s="135" t="str">
        <f t="shared" si="179"/>
        <v>F</v>
      </c>
      <c r="NS62" s="151" t="str">
        <f>VLOOKUP(RANK(NQ62,$NQ$10:$NQ$109),Sheet1!$A$381:$B$480,2,FALSE)</f>
        <v>97th</v>
      </c>
      <c r="NT62" s="186"/>
      <c r="NU62" s="186"/>
      <c r="NV62" s="186">
        <f t="shared" si="180"/>
        <v>0</v>
      </c>
      <c r="NW62" s="186" t="str">
        <f t="shared" si="181"/>
        <v>0</v>
      </c>
      <c r="NX62" s="186" t="str">
        <f t="shared" si="182"/>
        <v>0</v>
      </c>
      <c r="NY62" s="186">
        <f t="shared" si="306"/>
        <v>0</v>
      </c>
      <c r="NZ62" s="186">
        <f t="shared" si="264"/>
        <v>0</v>
      </c>
      <c r="OA62" s="135" t="str">
        <f t="shared" si="184"/>
        <v>F</v>
      </c>
      <c r="OB62" s="151" t="str">
        <f>VLOOKUP(RANK(NZ62,$NZ$10:$NZ$109),Sheet1!$A$381:$B$480,2,FALSE)</f>
        <v>1st</v>
      </c>
      <c r="OC62" s="186"/>
      <c r="OD62" s="186"/>
      <c r="OE62" s="186">
        <f t="shared" si="185"/>
        <v>0</v>
      </c>
      <c r="OF62" s="186" t="str">
        <f t="shared" si="186"/>
        <v>0</v>
      </c>
      <c r="OG62" s="186" t="str">
        <f t="shared" si="187"/>
        <v>0</v>
      </c>
      <c r="OH62" s="186">
        <f t="shared" si="307"/>
        <v>0</v>
      </c>
      <c r="OI62" s="186">
        <f t="shared" si="236"/>
        <v>0</v>
      </c>
      <c r="OJ62" s="135" t="str">
        <f t="shared" si="188"/>
        <v>F</v>
      </c>
      <c r="OK62" s="151" t="str">
        <f>VLOOKUP(RANK(OI62,$OI$10:$OI$109),Sheet1!$A$381:$B$480,2,FALSE)</f>
        <v>1st</v>
      </c>
      <c r="OL62" s="151"/>
      <c r="OM62" s="151"/>
      <c r="ON62" s="151">
        <f t="shared" si="308"/>
        <v>0</v>
      </c>
      <c r="OO62" s="151" t="str">
        <f t="shared" si="309"/>
        <v>0</v>
      </c>
      <c r="OP62" s="151" t="str">
        <f t="shared" si="310"/>
        <v>0</v>
      </c>
      <c r="OQ62" s="151">
        <f t="shared" si="311"/>
        <v>0</v>
      </c>
      <c r="OR62" s="151">
        <f t="shared" si="312"/>
        <v>0</v>
      </c>
      <c r="OS62" s="135" t="str">
        <f t="shared" si="189"/>
        <v>F</v>
      </c>
      <c r="OT62" s="151" t="str">
        <f>VLOOKUP(RANK(OR62,$OI$10:$OI$109),Sheet1!$A$381:$B$480,2,FALSE)</f>
        <v>1st</v>
      </c>
      <c r="OU62" s="151">
        <f t="shared" si="313"/>
        <v>242.666666666667</v>
      </c>
      <c r="OV62" s="151">
        <f t="shared" si="314"/>
        <v>14.2745098039216</v>
      </c>
      <c r="OW62" s="151" t="str">
        <f>VLOOKUP(RANK(OV62,$OV$10:$OV$109),Sheet1!$A$381:$B$480,2,FALSE)</f>
        <v>98th</v>
      </c>
      <c r="OX62" s="151"/>
      <c r="OY62" s="186"/>
      <c r="OZ62" s="186"/>
      <c r="PA62" s="186"/>
      <c r="PB62" s="186"/>
    </row>
    <row r="63" spans="1:418" s="118" customFormat="1" ht="18.75">
      <c r="A63" s="131">
        <v>54</v>
      </c>
      <c r="B63" s="132" t="s">
        <v>153</v>
      </c>
      <c r="C63" s="133" t="s">
        <v>97</v>
      </c>
      <c r="D63" s="134">
        <v>20</v>
      </c>
      <c r="E63" s="134">
        <v>41</v>
      </c>
      <c r="F63" s="137">
        <f t="shared" si="0"/>
        <v>61</v>
      </c>
      <c r="G63" s="137">
        <f t="shared" si="1"/>
        <v>61</v>
      </c>
      <c r="H63" s="135" t="str">
        <f t="shared" si="265"/>
        <v>B</v>
      </c>
      <c r="I63" s="135" t="str">
        <f>VLOOKUP(RANK(G63,$G$10:$G$109),Sheet1!$A$381:$B$480,2,FALSE)</f>
        <v>80th</v>
      </c>
      <c r="J63" s="134">
        <v>29</v>
      </c>
      <c r="K63" s="134">
        <v>25</v>
      </c>
      <c r="L63" s="137">
        <f t="shared" si="2"/>
        <v>54</v>
      </c>
      <c r="M63" s="137">
        <f t="shared" si="3"/>
        <v>54</v>
      </c>
      <c r="N63" s="135" t="str">
        <f t="shared" si="4"/>
        <v>C</v>
      </c>
      <c r="O63" s="141" t="str">
        <f>VLOOKUP(RANK(M63,$M$10:$M$109),Sheet1!$A$381:$B$480,2,FALSE)</f>
        <v>42nd</v>
      </c>
      <c r="P63" s="144">
        <v>25</v>
      </c>
      <c r="Q63" s="144">
        <v>15</v>
      </c>
      <c r="R63" s="147">
        <f t="shared" si="5"/>
        <v>40</v>
      </c>
      <c r="S63" s="137">
        <f t="shared" si="6"/>
        <v>40</v>
      </c>
      <c r="T63" s="135" t="str">
        <f t="shared" si="7"/>
        <v>D</v>
      </c>
      <c r="U63" s="135" t="str">
        <f>VLOOKUP(RANK(S63,$S$10:$S$109),Sheet1!$A$381:$B$480,2,FALSE)</f>
        <v>57th</v>
      </c>
      <c r="V63" s="134">
        <v>23</v>
      </c>
      <c r="W63" s="134">
        <v>12</v>
      </c>
      <c r="X63" s="137">
        <f t="shared" si="191"/>
        <v>35</v>
      </c>
      <c r="Y63" s="137">
        <f t="shared" si="244"/>
        <v>35</v>
      </c>
      <c r="Z63" s="135" t="str">
        <f t="shared" si="8"/>
        <v>E</v>
      </c>
      <c r="AA63" s="135" t="str">
        <f>VLOOKUP(RANK(Y63,$Y$10:$Y$109),Sheet1!$A$381:$B$480,2,FALSE)</f>
        <v>92nd</v>
      </c>
      <c r="AB63" s="134">
        <v>30</v>
      </c>
      <c r="AC63" s="134">
        <v>35</v>
      </c>
      <c r="AD63" s="137">
        <f t="shared" si="9"/>
        <v>65</v>
      </c>
      <c r="AE63" s="137">
        <f t="shared" si="10"/>
        <v>65</v>
      </c>
      <c r="AF63" s="135" t="str">
        <f t="shared" si="11"/>
        <v>B</v>
      </c>
      <c r="AG63" s="135" t="str">
        <f>VLOOKUP(RANK(AE63,$AE$10:$AE$109),Sheet1!$A$381:$B$480,2,FALSE)</f>
        <v>39th</v>
      </c>
      <c r="AH63" s="137"/>
      <c r="AI63" s="137"/>
      <c r="AJ63" s="137">
        <f t="shared" si="12"/>
        <v>0</v>
      </c>
      <c r="AK63" s="137">
        <f t="shared" si="13"/>
        <v>0</v>
      </c>
      <c r="AL63" s="135" t="str">
        <f t="shared" si="14"/>
        <v>F</v>
      </c>
      <c r="AM63" s="135" t="str">
        <f>VLOOKUP(RANK(AK63,$AK$10:$AK$109),Sheet1!$A$381:$B$480,2,FALSE)</f>
        <v>1st</v>
      </c>
      <c r="AN63" s="134"/>
      <c r="AO63" s="134"/>
      <c r="AP63" s="137">
        <f t="shared" si="15"/>
        <v>0</v>
      </c>
      <c r="AQ63" s="137">
        <f t="shared" si="16"/>
        <v>0</v>
      </c>
      <c r="AR63" s="135" t="str">
        <f t="shared" si="17"/>
        <v>F</v>
      </c>
      <c r="AS63" s="135" t="str">
        <f>VLOOKUP(RANK(AQ63,$AQ$10:$AQ$109),Sheet1!$A$381:$B$480,2,FALSE)</f>
        <v>1st</v>
      </c>
      <c r="AT63" s="142">
        <v>25</v>
      </c>
      <c r="AU63" s="145">
        <v>25</v>
      </c>
      <c r="AV63" s="137">
        <f t="shared" si="18"/>
        <v>50</v>
      </c>
      <c r="AW63" s="137">
        <f t="shared" si="19"/>
        <v>50</v>
      </c>
      <c r="AX63" s="135" t="str">
        <f t="shared" si="20"/>
        <v>C</v>
      </c>
      <c r="AY63" s="141" t="str">
        <f>VLOOKUP(RANK(AW63,$AW$10:$AW$109),Sheet1!$A$381:$B$480,2,FALSE)</f>
        <v>58th</v>
      </c>
      <c r="AZ63" s="144">
        <v>33</v>
      </c>
      <c r="BA63" s="144">
        <v>25</v>
      </c>
      <c r="BB63" s="147">
        <f t="shared" si="21"/>
        <v>58</v>
      </c>
      <c r="BC63" s="137">
        <f t="shared" si="22"/>
        <v>58</v>
      </c>
      <c r="BD63" s="135" t="str">
        <f t="shared" si="23"/>
        <v>C</v>
      </c>
      <c r="BE63" s="135" t="str">
        <f>VLOOKUP(RANK(BC63,$BC$10:$BC$109),Sheet1!$A$381:$B$480,2,FALSE)</f>
        <v>33rd</v>
      </c>
      <c r="BF63" s="144">
        <v>12</v>
      </c>
      <c r="BG63" s="144">
        <v>16</v>
      </c>
      <c r="BH63" s="137">
        <f t="shared" si="24"/>
        <v>28</v>
      </c>
      <c r="BI63" s="137">
        <f t="shared" si="25"/>
        <v>28</v>
      </c>
      <c r="BJ63" s="135" t="str">
        <f t="shared" si="26"/>
        <v>F</v>
      </c>
      <c r="BK63" s="141" t="str">
        <f>VLOOKUP(RANK(BI63,$BI$10:$BI$109),Sheet1!$A$381:$B$480,2,FALSE)</f>
        <v>71st</v>
      </c>
      <c r="BL63" s="149">
        <v>27</v>
      </c>
      <c r="BM63" s="149">
        <v>24</v>
      </c>
      <c r="BN63" s="147">
        <f t="shared" si="27"/>
        <v>51</v>
      </c>
      <c r="BO63" s="137">
        <f t="shared" si="28"/>
        <v>51</v>
      </c>
      <c r="BP63" s="135" t="str">
        <f t="shared" si="29"/>
        <v>C</v>
      </c>
      <c r="BQ63" s="141" t="str">
        <f>VLOOKUP(RANK(BO63,$BO$10:$BO$109),Sheet1!$A$381:$B$480,2,FALSE)</f>
        <v>69th</v>
      </c>
      <c r="BR63" s="149">
        <v>27</v>
      </c>
      <c r="BS63" s="149">
        <v>37</v>
      </c>
      <c r="BT63" s="147">
        <f t="shared" si="30"/>
        <v>64</v>
      </c>
      <c r="BU63" s="137">
        <f t="shared" si="31"/>
        <v>64</v>
      </c>
      <c r="BV63" s="135" t="str">
        <f t="shared" si="32"/>
        <v>B</v>
      </c>
      <c r="BW63" s="135" t="str">
        <f>VLOOKUP(RANK(BU63,$BU$10:$BU$109),Sheet1!$A$381:$B$480,2,FALSE)</f>
        <v>19th</v>
      </c>
      <c r="BX63" s="149">
        <v>26</v>
      </c>
      <c r="BY63" s="149">
        <v>10</v>
      </c>
      <c r="BZ63" s="137">
        <f t="shared" si="33"/>
        <v>36</v>
      </c>
      <c r="CA63" s="137">
        <f t="shared" si="34"/>
        <v>36</v>
      </c>
      <c r="CB63" s="135" t="str">
        <f t="shared" si="35"/>
        <v>E</v>
      </c>
      <c r="CC63" s="135" t="str">
        <f>VLOOKUP(RANK(CA63,$CA$10:$CA$109),Sheet1!$A$381:$B$480,2,FALSE)</f>
        <v>91st</v>
      </c>
      <c r="CD63" s="149">
        <v>30</v>
      </c>
      <c r="CE63" s="149">
        <v>40</v>
      </c>
      <c r="CF63" s="137">
        <f t="shared" si="36"/>
        <v>70</v>
      </c>
      <c r="CG63" s="137">
        <f t="shared" si="37"/>
        <v>70</v>
      </c>
      <c r="CH63" s="135" t="str">
        <f t="shared" si="38"/>
        <v>B</v>
      </c>
      <c r="CI63" s="135" t="str">
        <f>VLOOKUP(RANK(CG63,$CG$10:$CG$109),Sheet1!$A$381:$B$480,2,FALSE)</f>
        <v>17th</v>
      </c>
      <c r="CJ63" s="137"/>
      <c r="CK63" s="137"/>
      <c r="CL63" s="137">
        <f t="shared" si="39"/>
        <v>0</v>
      </c>
      <c r="CM63" s="137">
        <f t="shared" si="40"/>
        <v>0</v>
      </c>
      <c r="CN63" s="135" t="str">
        <f t="shared" si="41"/>
        <v>F</v>
      </c>
      <c r="CO63" s="135" t="str">
        <f>VLOOKUP(RANK(CM63,$CM$10:$CM$109),Sheet1!$A$381:$B$480,2,FALSE)</f>
        <v>1st</v>
      </c>
      <c r="CP63" s="137"/>
      <c r="CQ63" s="137"/>
      <c r="CR63" s="137">
        <f t="shared" si="42"/>
        <v>0</v>
      </c>
      <c r="CS63" s="137">
        <f t="shared" si="43"/>
        <v>0</v>
      </c>
      <c r="CT63" s="135" t="str">
        <f t="shared" si="44"/>
        <v>F</v>
      </c>
      <c r="CU63" s="135" t="str">
        <f>VLOOKUP(RANK(CS63,$CS$10:$CS$109),Sheet1!$A$381:$B$480,2,FALSE)</f>
        <v>1st</v>
      </c>
      <c r="CV63" s="151"/>
      <c r="CW63" s="135"/>
      <c r="CX63" s="151">
        <f t="shared" si="266"/>
        <v>0</v>
      </c>
      <c r="CY63" s="151">
        <f t="shared" si="267"/>
        <v>0</v>
      </c>
      <c r="CZ63" s="135" t="str">
        <f t="shared" si="45"/>
        <v>F</v>
      </c>
      <c r="DA63" s="135" t="str">
        <f>VLOOKUP(RANK(CY63,$CY$10:$CY$109),Sheet1!$A$381:$B$480,2,FALSE)</f>
        <v>1st</v>
      </c>
      <c r="DB63" s="135"/>
      <c r="DC63" s="151">
        <f t="shared" si="268"/>
        <v>612</v>
      </c>
      <c r="DD63" s="151">
        <f t="shared" si="269"/>
        <v>36</v>
      </c>
      <c r="DE63" s="135" t="str">
        <f>VLOOKUP(RANK(DD63,$DD$10:$DD$109),Sheet1!$A$381:$B$480,2,FALSE)</f>
        <v>51st</v>
      </c>
      <c r="DF63" s="137"/>
      <c r="DG63" s="160">
        <f t="shared" si="46"/>
        <v>648</v>
      </c>
      <c r="DH63" s="119"/>
      <c r="DI63" s="162">
        <v>5</v>
      </c>
      <c r="DJ63" s="162">
        <v>15</v>
      </c>
      <c r="DK63" s="137">
        <f t="shared" si="47"/>
        <v>20</v>
      </c>
      <c r="DL63" s="137" t="str">
        <f t="shared" si="245"/>
        <v>61</v>
      </c>
      <c r="DM63" s="137">
        <f t="shared" si="49"/>
        <v>81</v>
      </c>
      <c r="DN63" s="137">
        <f t="shared" si="50"/>
        <v>40.5</v>
      </c>
      <c r="DO63" s="135" t="str">
        <f t="shared" si="51"/>
        <v>D</v>
      </c>
      <c r="DP63" s="135" t="str">
        <f>VLOOKUP(RANK(DN63,$DN$10:$DN$109),Sheet1!$A$381:$B$480,2,FALSE)</f>
        <v>93rd</v>
      </c>
      <c r="DQ63" s="166">
        <v>23</v>
      </c>
      <c r="DR63" s="166">
        <v>10</v>
      </c>
      <c r="DS63" s="137">
        <f t="shared" si="52"/>
        <v>33</v>
      </c>
      <c r="DT63" s="137" t="str">
        <f t="shared" si="246"/>
        <v>54</v>
      </c>
      <c r="DU63" s="137">
        <f t="shared" si="54"/>
        <v>87</v>
      </c>
      <c r="DV63" s="137">
        <f t="shared" si="247"/>
        <v>43.5</v>
      </c>
      <c r="DW63" s="135" t="str">
        <f t="shared" si="56"/>
        <v>D</v>
      </c>
      <c r="DX63" s="135" t="str">
        <f>VLOOKUP(RANK(DV63,$DV$10:$DV$109),Sheet1!$A$381:$B$480,2,FALSE)</f>
        <v>79th</v>
      </c>
      <c r="DY63" s="168">
        <v>21</v>
      </c>
      <c r="DZ63" s="168">
        <v>14</v>
      </c>
      <c r="EA63" s="137">
        <f t="shared" si="57"/>
        <v>35</v>
      </c>
      <c r="EB63" s="137" t="str">
        <f t="shared" si="248"/>
        <v>40</v>
      </c>
      <c r="EC63" s="137">
        <f t="shared" si="59"/>
        <v>75</v>
      </c>
      <c r="ED63" s="137">
        <f t="shared" si="60"/>
        <v>37.5</v>
      </c>
      <c r="EE63" s="135" t="str">
        <f t="shared" si="61"/>
        <v>E</v>
      </c>
      <c r="EF63" s="135" t="str">
        <f>VLOOKUP(RANK(ED63,$ED$10:$ED$109),Sheet1!$A$381:$B$480,2,FALSE)</f>
        <v>74th</v>
      </c>
      <c r="EG63" s="162">
        <v>13</v>
      </c>
      <c r="EH63" s="162">
        <v>22</v>
      </c>
      <c r="EI63" s="137">
        <f t="shared" si="62"/>
        <v>35</v>
      </c>
      <c r="EJ63" s="137" t="str">
        <f t="shared" si="249"/>
        <v>35</v>
      </c>
      <c r="EK63" s="137">
        <f t="shared" si="64"/>
        <v>70</v>
      </c>
      <c r="EL63" s="137">
        <f t="shared" si="65"/>
        <v>35</v>
      </c>
      <c r="EM63" s="135" t="str">
        <f t="shared" si="66"/>
        <v>E</v>
      </c>
      <c r="EN63" s="135" t="str">
        <f>VLOOKUP(RANK(EL63,$EL$10:$EL$109),Sheet1!$A$381:$B$480,2,FALSE)</f>
        <v>92nd</v>
      </c>
      <c r="EO63" s="162">
        <v>20</v>
      </c>
      <c r="EP63" s="162">
        <v>23</v>
      </c>
      <c r="EQ63" s="137">
        <f t="shared" si="67"/>
        <v>43</v>
      </c>
      <c r="ER63" s="137" t="str">
        <f t="shared" si="250"/>
        <v>65</v>
      </c>
      <c r="ES63" s="137">
        <f t="shared" si="69"/>
        <v>108</v>
      </c>
      <c r="ET63" s="137">
        <f t="shared" si="70"/>
        <v>54</v>
      </c>
      <c r="EU63" s="135" t="str">
        <f t="shared" si="71"/>
        <v>C</v>
      </c>
      <c r="EV63" s="135" t="str">
        <f>VLOOKUP(RANK(ET63,$ET$10:$ET$109),Sheet1!$A$381:$B$480,2,FALSE)</f>
        <v>51st</v>
      </c>
      <c r="EW63" s="137"/>
      <c r="EX63" s="137"/>
      <c r="EY63" s="137">
        <f t="shared" si="72"/>
        <v>0</v>
      </c>
      <c r="EZ63" s="137" t="str">
        <f t="shared" si="251"/>
        <v>0</v>
      </c>
      <c r="FA63" s="137">
        <f t="shared" si="74"/>
        <v>0</v>
      </c>
      <c r="FB63" s="137">
        <f t="shared" si="75"/>
        <v>0</v>
      </c>
      <c r="FC63" s="135" t="str">
        <f t="shared" si="76"/>
        <v>F</v>
      </c>
      <c r="FD63" s="135" t="str">
        <f>VLOOKUP(RANK(FB63,$FB$10:$FB$109),Sheet1!$A$381:$B$480,2,FALSE)</f>
        <v>1st</v>
      </c>
      <c r="FE63" s="137"/>
      <c r="FF63" s="137"/>
      <c r="FG63" s="137">
        <f t="shared" si="77"/>
        <v>0</v>
      </c>
      <c r="FH63" s="137" t="str">
        <f t="shared" si="252"/>
        <v>0</v>
      </c>
      <c r="FI63" s="137">
        <f t="shared" si="79"/>
        <v>0</v>
      </c>
      <c r="FJ63" s="137">
        <f t="shared" si="80"/>
        <v>0</v>
      </c>
      <c r="FK63" s="135" t="str">
        <f t="shared" si="81"/>
        <v>F</v>
      </c>
      <c r="FL63" s="135" t="str">
        <f>VLOOKUP(RANK(FJ63,$FJ$10:$FJ$109),Sheet1!$A$381:$B$480,2,FALSE)</f>
        <v>1st</v>
      </c>
      <c r="FM63" s="164">
        <v>24</v>
      </c>
      <c r="FN63" s="165">
        <v>27</v>
      </c>
      <c r="FO63" s="137">
        <f t="shared" si="82"/>
        <v>51</v>
      </c>
      <c r="FP63" s="137" t="str">
        <f t="shared" si="253"/>
        <v>50</v>
      </c>
      <c r="FQ63" s="137">
        <f t="shared" si="84"/>
        <v>101</v>
      </c>
      <c r="FR63" s="137">
        <f t="shared" si="85"/>
        <v>50.5</v>
      </c>
      <c r="FS63" s="135" t="str">
        <f t="shared" si="86"/>
        <v>C</v>
      </c>
      <c r="FT63" s="135" t="str">
        <f>VLOOKUP(RANK(FR63,$FR$10:$FR$109),Sheet1!$A$381:$B$480,2,FALSE)</f>
        <v>65th</v>
      </c>
      <c r="FU63" s="149">
        <v>22</v>
      </c>
      <c r="FV63" s="149">
        <v>15</v>
      </c>
      <c r="FW63" s="137">
        <f t="shared" si="87"/>
        <v>37</v>
      </c>
      <c r="FX63" s="137" t="str">
        <f t="shared" si="254"/>
        <v>58</v>
      </c>
      <c r="FY63" s="137">
        <f t="shared" si="196"/>
        <v>37</v>
      </c>
      <c r="FZ63" s="137">
        <f t="shared" si="89"/>
        <v>18.5</v>
      </c>
      <c r="GA63" s="135" t="str">
        <f t="shared" si="90"/>
        <v>F</v>
      </c>
      <c r="GB63" s="135" t="str">
        <f>VLOOKUP(RANK(FZ63,$FZ$10:$FZ$109),Sheet1!$A$381:$B$480,2,FALSE)</f>
        <v>81st</v>
      </c>
      <c r="GC63" s="166">
        <v>5</v>
      </c>
      <c r="GD63" s="166">
        <v>30</v>
      </c>
      <c r="GE63" s="137">
        <f t="shared" si="91"/>
        <v>35</v>
      </c>
      <c r="GF63" s="137" t="str">
        <f t="shared" si="255"/>
        <v>28</v>
      </c>
      <c r="GG63" s="135">
        <f t="shared" si="270"/>
        <v>63</v>
      </c>
      <c r="GH63" s="137">
        <f t="shared" si="271"/>
        <v>31.5</v>
      </c>
      <c r="GI63" s="135" t="str">
        <f t="shared" si="93"/>
        <v>F</v>
      </c>
      <c r="GJ63" s="135" t="str">
        <f>VLOOKUP(RANK(GH63,$GH$10:$GH$109),Sheet1!$A$381:$B$480,2,FALSE)</f>
        <v>75th</v>
      </c>
      <c r="GK63" s="166">
        <v>28</v>
      </c>
      <c r="GL63" s="166">
        <v>20</v>
      </c>
      <c r="GM63" s="137">
        <f t="shared" si="94"/>
        <v>48</v>
      </c>
      <c r="GN63" s="137" t="str">
        <f t="shared" si="256"/>
        <v>51</v>
      </c>
      <c r="GO63" s="135">
        <f t="shared" si="272"/>
        <v>99</v>
      </c>
      <c r="GP63" s="137">
        <f t="shared" si="96"/>
        <v>49.5</v>
      </c>
      <c r="GQ63" s="135" t="str">
        <f t="shared" si="97"/>
        <v>D</v>
      </c>
      <c r="GR63" s="135" t="str">
        <f>VLOOKUP(RANK(GP63,$GP$10:$GP$109),Sheet1!$A$381:$B$480,2,FALSE)</f>
        <v>28th</v>
      </c>
      <c r="GS63" s="166">
        <v>19</v>
      </c>
      <c r="GT63" s="166">
        <v>16</v>
      </c>
      <c r="GU63" s="137">
        <f t="shared" si="98"/>
        <v>35</v>
      </c>
      <c r="GV63" s="137" t="str">
        <f t="shared" si="257"/>
        <v>64</v>
      </c>
      <c r="GW63" s="137">
        <f t="shared" si="100"/>
        <v>99</v>
      </c>
      <c r="GX63" s="137">
        <f t="shared" si="101"/>
        <v>49.5</v>
      </c>
      <c r="GY63" s="135" t="str">
        <f t="shared" si="102"/>
        <v>D</v>
      </c>
      <c r="GZ63" s="135" t="str">
        <f>VLOOKUP(RANK(GX63,$GX$10:$GX$109),Sheet1!$A$381:$B$480,2,FALSE)</f>
        <v>50th</v>
      </c>
      <c r="HA63" s="166">
        <v>28</v>
      </c>
      <c r="HB63" s="166">
        <v>11</v>
      </c>
      <c r="HC63" s="137">
        <f t="shared" si="103"/>
        <v>39</v>
      </c>
      <c r="HD63" s="137" t="str">
        <f t="shared" si="258"/>
        <v>36</v>
      </c>
      <c r="HE63" s="137">
        <f t="shared" si="105"/>
        <v>75</v>
      </c>
      <c r="HF63" s="137">
        <f t="shared" si="106"/>
        <v>37.5</v>
      </c>
      <c r="HG63" s="135" t="str">
        <f t="shared" si="107"/>
        <v>E</v>
      </c>
      <c r="HH63" s="135" t="str">
        <f>VLOOKUP(RANK(HF63,$HF$10:$HF$109),Sheet1!$A$381:$B$480,2,FALSE)</f>
        <v>86th</v>
      </c>
      <c r="HI63" s="149">
        <v>28</v>
      </c>
      <c r="HJ63" s="149">
        <v>50</v>
      </c>
      <c r="HK63" s="137">
        <f t="shared" si="108"/>
        <v>78</v>
      </c>
      <c r="HL63" s="137" t="str">
        <f t="shared" si="259"/>
        <v>70</v>
      </c>
      <c r="HM63" s="137">
        <f t="shared" si="110"/>
        <v>148</v>
      </c>
      <c r="HN63" s="137">
        <f t="shared" si="111"/>
        <v>74</v>
      </c>
      <c r="HO63" s="135" t="str">
        <f t="shared" si="112"/>
        <v>B</v>
      </c>
      <c r="HP63" s="135" t="str">
        <f>VLOOKUP(RANK(HN63,$HN$10:$HN$109),Sheet1!$A$381:$B$480,2,FALSE)</f>
        <v>16th</v>
      </c>
      <c r="HQ63" s="137"/>
      <c r="HR63" s="137"/>
      <c r="HS63" s="137">
        <f t="shared" si="113"/>
        <v>0</v>
      </c>
      <c r="HT63" s="137" t="str">
        <f t="shared" si="260"/>
        <v>0</v>
      </c>
      <c r="HU63" s="137">
        <f t="shared" si="115"/>
        <v>0</v>
      </c>
      <c r="HV63" s="137">
        <f t="shared" si="116"/>
        <v>0</v>
      </c>
      <c r="HW63" s="135" t="str">
        <f t="shared" si="117"/>
        <v>F</v>
      </c>
      <c r="HX63" s="135" t="str">
        <f>VLOOKUP(RANK(HV63,$HV$10:$HV$109),Sheet1!$A$381:$B$480,2,FALSE)</f>
        <v>1st</v>
      </c>
      <c r="HY63" s="137"/>
      <c r="HZ63" s="137"/>
      <c r="IA63" s="137">
        <f t="shared" si="261"/>
        <v>0</v>
      </c>
      <c r="IB63" s="137" t="str">
        <f t="shared" si="262"/>
        <v>0</v>
      </c>
      <c r="IC63" s="137">
        <f t="shared" si="120"/>
        <v>0</v>
      </c>
      <c r="ID63" s="137">
        <f t="shared" si="121"/>
        <v>0</v>
      </c>
      <c r="IE63" s="135" t="str">
        <f t="shared" si="122"/>
        <v>F</v>
      </c>
      <c r="IF63" s="135" t="str">
        <f>VLOOKUP(RANK(ID63,$ID$10:$ID$109),Sheet1!$A$381:$B$480,2,FALSE)</f>
        <v>1st</v>
      </c>
      <c r="IG63" s="135"/>
      <c r="IH63" s="135"/>
      <c r="II63" s="135">
        <f t="shared" si="273"/>
        <v>0</v>
      </c>
      <c r="IJ63" s="135" t="str">
        <f t="shared" si="274"/>
        <v>0</v>
      </c>
      <c r="IK63" s="135">
        <f t="shared" si="275"/>
        <v>0</v>
      </c>
      <c r="IL63" s="135">
        <f t="shared" si="276"/>
        <v>0</v>
      </c>
      <c r="IM63" s="135" t="str">
        <f t="shared" si="123"/>
        <v>F</v>
      </c>
      <c r="IN63" s="135" t="str">
        <f>VLOOKUP(RANK(IL63,$IL$10:$IL$109),Sheet1!$A$381:$B$480,2,FALSE)</f>
        <v>1st</v>
      </c>
      <c r="IO63" s="135">
        <f t="shared" si="277"/>
        <v>521.5</v>
      </c>
      <c r="IP63" s="177">
        <f t="shared" si="278"/>
        <v>30.676470588235301</v>
      </c>
      <c r="IQ63" s="135" t="str">
        <f>VLOOKUP(RANK(IP63,$IP$10:$IP$109),Sheet1!$A$381:$B$480,2,FALSE)</f>
        <v>77th</v>
      </c>
      <c r="IR63" s="178"/>
      <c r="IS63" s="137"/>
      <c r="IT63" s="137"/>
      <c r="IU63" s="137"/>
      <c r="IV63" s="137"/>
      <c r="IW63" s="181"/>
      <c r="IX63" s="184"/>
      <c r="IY63" s="186"/>
      <c r="IZ63" s="186">
        <f t="shared" si="206"/>
        <v>0</v>
      </c>
      <c r="JA63" s="186" t="str">
        <f t="shared" si="124"/>
        <v>61</v>
      </c>
      <c r="JB63" s="186" t="str">
        <f t="shared" si="125"/>
        <v>20</v>
      </c>
      <c r="JC63" s="186">
        <f t="shared" si="279"/>
        <v>81</v>
      </c>
      <c r="JD63" s="186">
        <f t="shared" si="280"/>
        <v>27</v>
      </c>
      <c r="JE63" s="135" t="str">
        <f t="shared" si="126"/>
        <v>F</v>
      </c>
      <c r="JF63" s="151" t="str">
        <f>VLOOKUP(RANK(JD63,$JD$10:$JD$109),Sheet1!$A$381:$B$480,2,FALSE)</f>
        <v>93rd</v>
      </c>
      <c r="JG63" s="186"/>
      <c r="JH63" s="186"/>
      <c r="JI63" s="186">
        <f t="shared" si="127"/>
        <v>0</v>
      </c>
      <c r="JJ63" s="186" t="str">
        <f t="shared" si="128"/>
        <v>54</v>
      </c>
      <c r="JK63" s="186" t="str">
        <f t="shared" si="129"/>
        <v>33</v>
      </c>
      <c r="JL63" s="186">
        <f t="shared" si="281"/>
        <v>87</v>
      </c>
      <c r="JM63" s="186">
        <f t="shared" si="282"/>
        <v>29</v>
      </c>
      <c r="JN63" s="135" t="str">
        <f t="shared" si="130"/>
        <v>F</v>
      </c>
      <c r="JO63" s="151" t="str">
        <f>VLOOKUP(RANK(JM63,$JM$10:$JM$109),Sheet1!$A$381:$B$480,2,FALSE)</f>
        <v>79th</v>
      </c>
      <c r="JP63" s="186"/>
      <c r="JQ63" s="186"/>
      <c r="JR63" s="186">
        <f t="shared" si="131"/>
        <v>0</v>
      </c>
      <c r="JS63" s="186" t="str">
        <f t="shared" si="132"/>
        <v>40</v>
      </c>
      <c r="JT63" s="186" t="str">
        <f t="shared" si="133"/>
        <v>35</v>
      </c>
      <c r="JU63" s="186">
        <f t="shared" si="283"/>
        <v>75</v>
      </c>
      <c r="JV63" s="186">
        <f t="shared" si="284"/>
        <v>25</v>
      </c>
      <c r="JW63" s="135" t="str">
        <f t="shared" si="134"/>
        <v>F</v>
      </c>
      <c r="JX63" s="151" t="str">
        <f>VLOOKUP(RANK(JV63,$JV$10:$JV$109),Sheet1!$A$381:$B$480,2,FALSE)</f>
        <v>74th</v>
      </c>
      <c r="JY63" s="186"/>
      <c r="JZ63" s="186"/>
      <c r="KA63" s="186">
        <f t="shared" si="135"/>
        <v>0</v>
      </c>
      <c r="KB63" s="186" t="str">
        <f t="shared" si="136"/>
        <v>35</v>
      </c>
      <c r="KC63" s="186" t="str">
        <f t="shared" si="137"/>
        <v>35</v>
      </c>
      <c r="KD63" s="186">
        <f t="shared" si="285"/>
        <v>70</v>
      </c>
      <c r="KE63" s="186">
        <f t="shared" si="286"/>
        <v>23.3333333333333</v>
      </c>
      <c r="KF63" s="135" t="str">
        <f t="shared" si="138"/>
        <v>F</v>
      </c>
      <c r="KG63" s="151" t="str">
        <f>VLOOKUP(RANK(KE63,$KE$10:$KE$109),Sheet1!$A$381:$B$480,2,FALSE)</f>
        <v>92nd</v>
      </c>
      <c r="KH63" s="186"/>
      <c r="KI63" s="186"/>
      <c r="KJ63" s="186">
        <f t="shared" si="139"/>
        <v>0</v>
      </c>
      <c r="KK63" s="186" t="str">
        <f t="shared" si="140"/>
        <v>65</v>
      </c>
      <c r="KL63" s="186" t="str">
        <f t="shared" si="141"/>
        <v>43</v>
      </c>
      <c r="KM63" s="186">
        <f t="shared" si="287"/>
        <v>108</v>
      </c>
      <c r="KN63" s="186">
        <f t="shared" si="288"/>
        <v>36</v>
      </c>
      <c r="KO63" s="135" t="str">
        <f t="shared" si="142"/>
        <v>E</v>
      </c>
      <c r="KP63" s="151" t="str">
        <f>VLOOKUP(RANK(KN63,$KN$10:$KN$109),Sheet1!$A$381:$B$480,2,FALSE)</f>
        <v>51st</v>
      </c>
      <c r="KQ63" s="186"/>
      <c r="KR63" s="186"/>
      <c r="KS63" s="186">
        <f t="shared" si="143"/>
        <v>0</v>
      </c>
      <c r="KT63" s="186" t="str">
        <f t="shared" si="144"/>
        <v>0</v>
      </c>
      <c r="KU63" s="186" t="str">
        <f t="shared" si="145"/>
        <v>0</v>
      </c>
      <c r="KV63" s="186">
        <f t="shared" si="289"/>
        <v>0</v>
      </c>
      <c r="KW63" s="186">
        <f t="shared" si="290"/>
        <v>0</v>
      </c>
      <c r="KX63" s="135" t="str">
        <f t="shared" si="146"/>
        <v>F</v>
      </c>
      <c r="KY63" s="151" t="str">
        <f>VLOOKUP(RANK(KW63,$KW$10:$KW$109),Sheet1!$A$381:$B$480,2,FALSE)</f>
        <v>1st</v>
      </c>
      <c r="KZ63" s="186"/>
      <c r="LA63" s="186"/>
      <c r="LB63" s="186">
        <f t="shared" si="147"/>
        <v>0</v>
      </c>
      <c r="LC63" s="186" t="str">
        <f t="shared" si="148"/>
        <v>0</v>
      </c>
      <c r="LD63" s="186" t="str">
        <f t="shared" si="149"/>
        <v>0</v>
      </c>
      <c r="LE63" s="186">
        <f t="shared" si="291"/>
        <v>0</v>
      </c>
      <c r="LF63" s="186">
        <f t="shared" si="292"/>
        <v>0</v>
      </c>
      <c r="LG63" s="135" t="str">
        <f t="shared" si="150"/>
        <v>F</v>
      </c>
      <c r="LH63" s="151" t="str">
        <f>VLOOKUP(RANK(LF63,$LF$10:$LF$109),Sheet1!$A$381:$B$480,2,FALSE)</f>
        <v>1st</v>
      </c>
      <c r="LI63" s="186"/>
      <c r="LJ63" s="186"/>
      <c r="LK63" s="186">
        <f t="shared" si="151"/>
        <v>0</v>
      </c>
      <c r="LL63" s="186" t="str">
        <f t="shared" si="152"/>
        <v>50</v>
      </c>
      <c r="LM63" s="186" t="str">
        <f t="shared" si="153"/>
        <v>51</v>
      </c>
      <c r="LN63" s="186">
        <f t="shared" si="293"/>
        <v>101</v>
      </c>
      <c r="LO63" s="186">
        <f t="shared" si="294"/>
        <v>33.6666666666667</v>
      </c>
      <c r="LP63" s="135" t="str">
        <f t="shared" si="154"/>
        <v>F</v>
      </c>
      <c r="LQ63" s="151" t="str">
        <f>VLOOKUP(RANK(LO63,$LO$10:$LO$109),Sheet1!$A$381:$B$480,2,FALSE)</f>
        <v>65th</v>
      </c>
      <c r="LR63" s="186"/>
      <c r="LS63" s="186"/>
      <c r="LT63" s="186">
        <f t="shared" si="155"/>
        <v>0</v>
      </c>
      <c r="LU63" s="186" t="str">
        <f t="shared" si="156"/>
        <v>58</v>
      </c>
      <c r="LV63" s="186" t="str">
        <f t="shared" si="157"/>
        <v>37</v>
      </c>
      <c r="LW63" s="186">
        <f t="shared" si="295"/>
        <v>95</v>
      </c>
      <c r="LX63" s="186">
        <f t="shared" si="296"/>
        <v>31.6666666666667</v>
      </c>
      <c r="LY63" s="135" t="str">
        <f t="shared" si="158"/>
        <v>F</v>
      </c>
      <c r="LZ63" s="151" t="str">
        <f>VLOOKUP(RANK(LX63,$LX$10:$LX$109),Sheet1!$A$381:$B$480,2,FALSE)</f>
        <v>68th</v>
      </c>
      <c r="MA63" s="186"/>
      <c r="MB63" s="186"/>
      <c r="MC63" s="186">
        <f t="shared" si="159"/>
        <v>0</v>
      </c>
      <c r="MD63" s="186" t="str">
        <f t="shared" si="160"/>
        <v>28</v>
      </c>
      <c r="ME63" s="186" t="str">
        <f t="shared" si="161"/>
        <v>35</v>
      </c>
      <c r="MF63" s="183">
        <f t="shared" si="297"/>
        <v>63</v>
      </c>
      <c r="MG63" s="151">
        <f t="shared" si="298"/>
        <v>21</v>
      </c>
      <c r="MH63" s="135" t="str">
        <f t="shared" si="162"/>
        <v>F</v>
      </c>
      <c r="MI63" s="151" t="str">
        <f>VLOOKUP(RANK(MG63,$MG$10:$MG$109),Sheet1!$A$381:$B$480,2,FALSE)</f>
        <v>75th</v>
      </c>
      <c r="MJ63" s="186"/>
      <c r="MK63" s="186"/>
      <c r="ML63" s="186">
        <f t="shared" si="163"/>
        <v>0</v>
      </c>
      <c r="MM63" s="186" t="str">
        <f t="shared" si="164"/>
        <v>51</v>
      </c>
      <c r="MN63" s="186" t="str">
        <f t="shared" si="165"/>
        <v>48</v>
      </c>
      <c r="MO63" s="186">
        <f t="shared" si="299"/>
        <v>99</v>
      </c>
      <c r="MP63" s="186">
        <f t="shared" si="300"/>
        <v>33</v>
      </c>
      <c r="MQ63" s="135" t="str">
        <f t="shared" si="166"/>
        <v>F</v>
      </c>
      <c r="MR63" s="151" t="str">
        <f>VLOOKUP(RANK(MP63,$MP$10:$MP$109),Sheet1!$A$381:$B$480,2,FALSE)</f>
        <v>28th</v>
      </c>
      <c r="MS63" s="186"/>
      <c r="MT63" s="186"/>
      <c r="MU63" s="186">
        <f t="shared" si="167"/>
        <v>0</v>
      </c>
      <c r="MV63" s="186" t="str">
        <f t="shared" si="168"/>
        <v>64</v>
      </c>
      <c r="MW63" s="186" t="str">
        <f t="shared" si="169"/>
        <v>35</v>
      </c>
      <c r="MX63" s="186">
        <f t="shared" si="301"/>
        <v>99</v>
      </c>
      <c r="MY63" s="186">
        <f t="shared" si="302"/>
        <v>33</v>
      </c>
      <c r="MZ63" s="135" t="str">
        <f t="shared" si="170"/>
        <v>F</v>
      </c>
      <c r="NA63" s="151" t="str">
        <f>VLOOKUP(RANK(MY63,$MY$10:$MY$109),Sheet1!$A$381:$B$480,2,FALSE)</f>
        <v>50th</v>
      </c>
      <c r="NB63" s="186"/>
      <c r="NC63" s="186"/>
      <c r="ND63" s="186">
        <f t="shared" si="171"/>
        <v>0</v>
      </c>
      <c r="NE63" s="186" t="str">
        <f t="shared" si="172"/>
        <v>36</v>
      </c>
      <c r="NF63" s="186" t="str">
        <f t="shared" si="173"/>
        <v>39</v>
      </c>
      <c r="NG63" s="186">
        <f t="shared" si="303"/>
        <v>75</v>
      </c>
      <c r="NH63" s="186">
        <f t="shared" si="304"/>
        <v>25</v>
      </c>
      <c r="NI63" s="135" t="str">
        <f t="shared" si="174"/>
        <v>F</v>
      </c>
      <c r="NJ63" s="151" t="str">
        <f>VLOOKUP(RANK(NH63,$NH$10:$NH$109),Sheet1!$A$381:$B$480,2,FALSE)</f>
        <v>86th</v>
      </c>
      <c r="NK63" s="186"/>
      <c r="NL63" s="186"/>
      <c r="NM63" s="186">
        <f t="shared" si="175"/>
        <v>0</v>
      </c>
      <c r="NN63" s="186" t="str">
        <f t="shared" si="176"/>
        <v>70</v>
      </c>
      <c r="NO63" s="186" t="str">
        <f t="shared" si="177"/>
        <v>78</v>
      </c>
      <c r="NP63" s="186">
        <f t="shared" si="305"/>
        <v>148</v>
      </c>
      <c r="NQ63" s="186">
        <f t="shared" si="263"/>
        <v>49.3333333333333</v>
      </c>
      <c r="NR63" s="135" t="str">
        <f t="shared" si="179"/>
        <v>D</v>
      </c>
      <c r="NS63" s="151" t="str">
        <f>VLOOKUP(RANK(NQ63,$NQ$10:$NQ$109),Sheet1!$A$381:$B$480,2,FALSE)</f>
        <v>16th</v>
      </c>
      <c r="NT63" s="186"/>
      <c r="NU63" s="186"/>
      <c r="NV63" s="186">
        <f t="shared" si="180"/>
        <v>0</v>
      </c>
      <c r="NW63" s="186" t="str">
        <f t="shared" si="181"/>
        <v>0</v>
      </c>
      <c r="NX63" s="186" t="str">
        <f t="shared" si="182"/>
        <v>0</v>
      </c>
      <c r="NY63" s="186">
        <f t="shared" si="306"/>
        <v>0</v>
      </c>
      <c r="NZ63" s="186">
        <f t="shared" si="264"/>
        <v>0</v>
      </c>
      <c r="OA63" s="135" t="str">
        <f t="shared" si="184"/>
        <v>F</v>
      </c>
      <c r="OB63" s="151" t="str">
        <f>VLOOKUP(RANK(NZ63,$NZ$10:$NZ$109),Sheet1!$A$381:$B$480,2,FALSE)</f>
        <v>1st</v>
      </c>
      <c r="OC63" s="186"/>
      <c r="OD63" s="186"/>
      <c r="OE63" s="186">
        <f t="shared" si="185"/>
        <v>0</v>
      </c>
      <c r="OF63" s="186" t="str">
        <f t="shared" si="186"/>
        <v>0</v>
      </c>
      <c r="OG63" s="186" t="str">
        <f t="shared" si="187"/>
        <v>0</v>
      </c>
      <c r="OH63" s="186">
        <f t="shared" si="307"/>
        <v>0</v>
      </c>
      <c r="OI63" s="186">
        <f t="shared" si="236"/>
        <v>0</v>
      </c>
      <c r="OJ63" s="135" t="str">
        <f t="shared" si="188"/>
        <v>F</v>
      </c>
      <c r="OK63" s="151" t="str">
        <f>VLOOKUP(RANK(OI63,$OI$10:$OI$109),Sheet1!$A$381:$B$480,2,FALSE)</f>
        <v>1st</v>
      </c>
      <c r="OL63" s="151"/>
      <c r="OM63" s="151"/>
      <c r="ON63" s="151">
        <f t="shared" si="308"/>
        <v>0</v>
      </c>
      <c r="OO63" s="151" t="str">
        <f t="shared" si="309"/>
        <v>0</v>
      </c>
      <c r="OP63" s="151" t="str">
        <f t="shared" si="310"/>
        <v>0</v>
      </c>
      <c r="OQ63" s="151">
        <f t="shared" si="311"/>
        <v>0</v>
      </c>
      <c r="OR63" s="151">
        <f t="shared" si="312"/>
        <v>0</v>
      </c>
      <c r="OS63" s="135" t="str">
        <f t="shared" si="189"/>
        <v>F</v>
      </c>
      <c r="OT63" s="151" t="str">
        <f>VLOOKUP(RANK(OR63,$OI$10:$OI$109),Sheet1!$A$381:$B$480,2,FALSE)</f>
        <v>1st</v>
      </c>
      <c r="OU63" s="151">
        <f t="shared" si="313"/>
        <v>367</v>
      </c>
      <c r="OV63" s="151">
        <f t="shared" si="314"/>
        <v>21.588235294117599</v>
      </c>
      <c r="OW63" s="151" t="str">
        <f>VLOOKUP(RANK(OV63,$OV$10:$OV$109),Sheet1!$A$381:$B$480,2,FALSE)</f>
        <v>77th</v>
      </c>
      <c r="OX63" s="151"/>
      <c r="OY63" s="186"/>
      <c r="OZ63" s="186"/>
      <c r="PA63" s="186"/>
      <c r="PB63" s="186"/>
    </row>
    <row r="64" spans="1:418" s="118" customFormat="1" ht="18.75">
      <c r="A64" s="131">
        <v>55</v>
      </c>
      <c r="B64" s="132" t="s">
        <v>154</v>
      </c>
      <c r="C64" s="133" t="s">
        <v>97</v>
      </c>
      <c r="D64" s="134">
        <v>23</v>
      </c>
      <c r="E64" s="134">
        <v>48</v>
      </c>
      <c r="F64" s="137">
        <f t="shared" si="0"/>
        <v>71</v>
      </c>
      <c r="G64" s="137">
        <f t="shared" si="1"/>
        <v>71</v>
      </c>
      <c r="H64" s="135" t="str">
        <f t="shared" si="265"/>
        <v>B</v>
      </c>
      <c r="I64" s="135" t="str">
        <f>VLOOKUP(RANK(G64,$G$10:$G$109),Sheet1!$A$381:$B$480,2,FALSE)</f>
        <v>30th</v>
      </c>
      <c r="J64" s="134">
        <v>27</v>
      </c>
      <c r="K64" s="134">
        <v>25</v>
      </c>
      <c r="L64" s="137">
        <f t="shared" si="2"/>
        <v>52</v>
      </c>
      <c r="M64" s="137">
        <f t="shared" si="3"/>
        <v>52</v>
      </c>
      <c r="N64" s="135" t="str">
        <f t="shared" si="4"/>
        <v>C</v>
      </c>
      <c r="O64" s="141" t="str">
        <f>VLOOKUP(RANK(M64,$M$10:$M$109),Sheet1!$A$381:$B$480,2,FALSE)</f>
        <v>52nd</v>
      </c>
      <c r="P64" s="144">
        <v>35</v>
      </c>
      <c r="Q64" s="144">
        <v>25</v>
      </c>
      <c r="R64" s="147">
        <f t="shared" si="5"/>
        <v>60</v>
      </c>
      <c r="S64" s="137">
        <f t="shared" si="6"/>
        <v>60</v>
      </c>
      <c r="T64" s="135" t="str">
        <f t="shared" si="7"/>
        <v>B</v>
      </c>
      <c r="U64" s="135" t="str">
        <f>VLOOKUP(RANK(S64,$S$10:$S$109),Sheet1!$A$381:$B$480,2,FALSE)</f>
        <v>13th</v>
      </c>
      <c r="V64" s="134">
        <v>24</v>
      </c>
      <c r="W64" s="134">
        <v>20</v>
      </c>
      <c r="X64" s="137">
        <f t="shared" si="191"/>
        <v>44</v>
      </c>
      <c r="Y64" s="137">
        <f t="shared" si="244"/>
        <v>44</v>
      </c>
      <c r="Z64" s="135" t="str">
        <f t="shared" si="8"/>
        <v>D</v>
      </c>
      <c r="AA64" s="135" t="str">
        <f>VLOOKUP(RANK(Y64,$Y$10:$Y$109),Sheet1!$A$381:$B$480,2,FALSE)</f>
        <v>83rd</v>
      </c>
      <c r="AB64" s="134">
        <v>30</v>
      </c>
      <c r="AC64" s="134">
        <v>30</v>
      </c>
      <c r="AD64" s="137">
        <f t="shared" si="9"/>
        <v>60</v>
      </c>
      <c r="AE64" s="137">
        <f t="shared" si="10"/>
        <v>60</v>
      </c>
      <c r="AF64" s="135" t="str">
        <f t="shared" si="11"/>
        <v>B</v>
      </c>
      <c r="AG64" s="135" t="str">
        <f>VLOOKUP(RANK(AE64,$AE$10:$AE$109),Sheet1!$A$381:$B$480,2,FALSE)</f>
        <v>51st</v>
      </c>
      <c r="AH64" s="137"/>
      <c r="AI64" s="137"/>
      <c r="AJ64" s="137">
        <f t="shared" si="12"/>
        <v>0</v>
      </c>
      <c r="AK64" s="137">
        <f t="shared" si="13"/>
        <v>0</v>
      </c>
      <c r="AL64" s="135" t="str">
        <f t="shared" si="14"/>
        <v>F</v>
      </c>
      <c r="AM64" s="135" t="str">
        <f>VLOOKUP(RANK(AK64,$AK$10:$AK$109),Sheet1!$A$381:$B$480,2,FALSE)</f>
        <v>1st</v>
      </c>
      <c r="AN64" s="134"/>
      <c r="AO64" s="134"/>
      <c r="AP64" s="137">
        <f t="shared" si="15"/>
        <v>0</v>
      </c>
      <c r="AQ64" s="137">
        <f t="shared" si="16"/>
        <v>0</v>
      </c>
      <c r="AR64" s="135" t="str">
        <f t="shared" si="17"/>
        <v>F</v>
      </c>
      <c r="AS64" s="135" t="str">
        <f>VLOOKUP(RANK(AQ64,$AQ$10:$AQ$109),Sheet1!$A$381:$B$480,2,FALSE)</f>
        <v>1st</v>
      </c>
      <c r="AT64" s="144">
        <v>25</v>
      </c>
      <c r="AU64" s="144">
        <v>33</v>
      </c>
      <c r="AV64" s="137">
        <f t="shared" si="18"/>
        <v>58</v>
      </c>
      <c r="AW64" s="137">
        <f t="shared" si="19"/>
        <v>58</v>
      </c>
      <c r="AX64" s="135" t="str">
        <f t="shared" si="20"/>
        <v>C</v>
      </c>
      <c r="AY64" s="141" t="str">
        <f>VLOOKUP(RANK(AW64,$AW$10:$AW$109),Sheet1!$A$381:$B$480,2,FALSE)</f>
        <v>16th</v>
      </c>
      <c r="AZ64" s="144">
        <v>33</v>
      </c>
      <c r="BA64" s="144">
        <v>21</v>
      </c>
      <c r="BB64" s="147">
        <f t="shared" si="21"/>
        <v>54</v>
      </c>
      <c r="BC64" s="137">
        <f t="shared" si="22"/>
        <v>54</v>
      </c>
      <c r="BD64" s="135" t="str">
        <f t="shared" si="23"/>
        <v>C</v>
      </c>
      <c r="BE64" s="135" t="str">
        <f>VLOOKUP(RANK(BC64,$BC$10:$BC$109),Sheet1!$A$381:$B$480,2,FALSE)</f>
        <v>52nd</v>
      </c>
      <c r="BF64" s="144">
        <v>19</v>
      </c>
      <c r="BG64" s="144">
        <v>34</v>
      </c>
      <c r="BH64" s="137">
        <f t="shared" si="24"/>
        <v>53</v>
      </c>
      <c r="BI64" s="137">
        <f t="shared" si="25"/>
        <v>53</v>
      </c>
      <c r="BJ64" s="135" t="str">
        <f t="shared" si="26"/>
        <v>C</v>
      </c>
      <c r="BK64" s="141" t="str">
        <f>VLOOKUP(RANK(BI64,$BI$10:$BI$109),Sheet1!$A$381:$B$480,2,FALSE)</f>
        <v>11th</v>
      </c>
      <c r="BL64" s="149">
        <v>29</v>
      </c>
      <c r="BM64" s="149">
        <v>29</v>
      </c>
      <c r="BN64" s="147">
        <f t="shared" si="27"/>
        <v>58</v>
      </c>
      <c r="BO64" s="137">
        <f t="shared" si="28"/>
        <v>58</v>
      </c>
      <c r="BP64" s="135" t="str">
        <f t="shared" si="29"/>
        <v>C</v>
      </c>
      <c r="BQ64" s="141" t="str">
        <f>VLOOKUP(RANK(BO64,$BO$10:$BO$109),Sheet1!$A$381:$B$480,2,FALSE)</f>
        <v>6th</v>
      </c>
      <c r="BR64" s="149">
        <v>29</v>
      </c>
      <c r="BS64" s="149">
        <v>34</v>
      </c>
      <c r="BT64" s="147">
        <f t="shared" si="30"/>
        <v>63</v>
      </c>
      <c r="BU64" s="137">
        <f t="shared" si="31"/>
        <v>63</v>
      </c>
      <c r="BV64" s="135" t="str">
        <f t="shared" si="32"/>
        <v>B</v>
      </c>
      <c r="BW64" s="135" t="str">
        <f>VLOOKUP(RANK(BU64,$BU$10:$BU$109),Sheet1!$A$381:$B$480,2,FALSE)</f>
        <v>23rd</v>
      </c>
      <c r="BX64" s="149">
        <v>32</v>
      </c>
      <c r="BY64" s="149">
        <v>12</v>
      </c>
      <c r="BZ64" s="137">
        <f t="shared" si="33"/>
        <v>44</v>
      </c>
      <c r="CA64" s="137">
        <f t="shared" si="34"/>
        <v>44</v>
      </c>
      <c r="CB64" s="135" t="str">
        <f t="shared" si="35"/>
        <v>D</v>
      </c>
      <c r="CC64" s="135" t="str">
        <f>VLOOKUP(RANK(CA64,$CA$10:$CA$109),Sheet1!$A$381:$B$480,2,FALSE)</f>
        <v>20th</v>
      </c>
      <c r="CD64" s="149">
        <v>22</v>
      </c>
      <c r="CE64" s="149">
        <v>30</v>
      </c>
      <c r="CF64" s="137">
        <f t="shared" si="36"/>
        <v>52</v>
      </c>
      <c r="CG64" s="137">
        <f t="shared" si="37"/>
        <v>52</v>
      </c>
      <c r="CH64" s="135" t="str">
        <f t="shared" si="38"/>
        <v>C</v>
      </c>
      <c r="CI64" s="135" t="str">
        <f>VLOOKUP(RANK(CG64,$CG$10:$CG$109),Sheet1!$A$381:$B$480,2,FALSE)</f>
        <v>68th</v>
      </c>
      <c r="CJ64" s="137"/>
      <c r="CK64" s="137"/>
      <c r="CL64" s="137">
        <f t="shared" si="39"/>
        <v>0</v>
      </c>
      <c r="CM64" s="137">
        <f t="shared" si="40"/>
        <v>0</v>
      </c>
      <c r="CN64" s="135" t="str">
        <f t="shared" si="41"/>
        <v>F</v>
      </c>
      <c r="CO64" s="135" t="str">
        <f>VLOOKUP(RANK(CM64,$CM$10:$CM$109),Sheet1!$A$381:$B$480,2,FALSE)</f>
        <v>1st</v>
      </c>
      <c r="CP64" s="137"/>
      <c r="CQ64" s="137"/>
      <c r="CR64" s="137">
        <f t="shared" si="42"/>
        <v>0</v>
      </c>
      <c r="CS64" s="137">
        <f t="shared" si="43"/>
        <v>0</v>
      </c>
      <c r="CT64" s="135" t="str">
        <f t="shared" si="44"/>
        <v>F</v>
      </c>
      <c r="CU64" s="135" t="str">
        <f>VLOOKUP(RANK(CS64,$CS$10:$CS$109),Sheet1!$A$381:$B$480,2,FALSE)</f>
        <v>1st</v>
      </c>
      <c r="CV64" s="151"/>
      <c r="CW64" s="135"/>
      <c r="CX64" s="151">
        <f t="shared" si="266"/>
        <v>0</v>
      </c>
      <c r="CY64" s="151">
        <f t="shared" si="267"/>
        <v>0</v>
      </c>
      <c r="CZ64" s="135" t="str">
        <f t="shared" si="45"/>
        <v>F</v>
      </c>
      <c r="DA64" s="135" t="str">
        <f>VLOOKUP(RANK(CY64,$CY$10:$CY$109),Sheet1!$A$381:$B$480,2,FALSE)</f>
        <v>1st</v>
      </c>
      <c r="DB64" s="135"/>
      <c r="DC64" s="151">
        <f t="shared" si="268"/>
        <v>669</v>
      </c>
      <c r="DD64" s="151">
        <f t="shared" si="269"/>
        <v>39.352941176470601</v>
      </c>
      <c r="DE64" s="135" t="str">
        <f>VLOOKUP(RANK(DD64,$DD$10:$DD$109),Sheet1!$A$381:$B$480,2,FALSE)</f>
        <v>30th</v>
      </c>
      <c r="DF64" s="137"/>
      <c r="DG64" s="160">
        <f t="shared" si="46"/>
        <v>708.35294117647095</v>
      </c>
      <c r="DH64" s="119"/>
      <c r="DI64" s="162">
        <v>34</v>
      </c>
      <c r="DJ64" s="162">
        <v>45</v>
      </c>
      <c r="DK64" s="137">
        <f t="shared" si="47"/>
        <v>79</v>
      </c>
      <c r="DL64" s="137" t="str">
        <f t="shared" si="245"/>
        <v>71</v>
      </c>
      <c r="DM64" s="137">
        <f t="shared" si="49"/>
        <v>150</v>
      </c>
      <c r="DN64" s="137">
        <f t="shared" si="50"/>
        <v>75</v>
      </c>
      <c r="DO64" s="135" t="str">
        <f t="shared" si="51"/>
        <v>A</v>
      </c>
      <c r="DP64" s="135" t="str">
        <f>VLOOKUP(RANK(DN64,$DN$10:$DN$109),Sheet1!$A$381:$B$480,2,FALSE)</f>
        <v>19th</v>
      </c>
      <c r="DQ64" s="166">
        <v>24</v>
      </c>
      <c r="DR64" s="166">
        <v>17</v>
      </c>
      <c r="DS64" s="137">
        <f t="shared" si="52"/>
        <v>41</v>
      </c>
      <c r="DT64" s="137" t="str">
        <f t="shared" si="246"/>
        <v>52</v>
      </c>
      <c r="DU64" s="137">
        <f t="shared" si="54"/>
        <v>93</v>
      </c>
      <c r="DV64" s="137">
        <f t="shared" si="247"/>
        <v>46.5</v>
      </c>
      <c r="DW64" s="135" t="str">
        <f t="shared" si="56"/>
        <v>D</v>
      </c>
      <c r="DX64" s="135" t="str">
        <f>VLOOKUP(RANK(DV64,$DV$10:$DV$109),Sheet1!$A$381:$B$480,2,FALSE)</f>
        <v>67th</v>
      </c>
      <c r="DY64" s="168">
        <v>27</v>
      </c>
      <c r="DZ64" s="168">
        <v>23</v>
      </c>
      <c r="EA64" s="137">
        <f t="shared" si="57"/>
        <v>50</v>
      </c>
      <c r="EB64" s="137" t="str">
        <f t="shared" si="248"/>
        <v>60</v>
      </c>
      <c r="EC64" s="137">
        <f t="shared" si="59"/>
        <v>110</v>
      </c>
      <c r="ED64" s="137">
        <f t="shared" si="60"/>
        <v>55</v>
      </c>
      <c r="EE64" s="135" t="str">
        <f t="shared" si="61"/>
        <v>C</v>
      </c>
      <c r="EF64" s="135" t="str">
        <f>VLOOKUP(RANK(ED64,$ED$10:$ED$109),Sheet1!$A$381:$B$480,2,FALSE)</f>
        <v>27th</v>
      </c>
      <c r="EG64" s="162">
        <v>31</v>
      </c>
      <c r="EH64" s="162">
        <v>32</v>
      </c>
      <c r="EI64" s="137">
        <f t="shared" si="62"/>
        <v>63</v>
      </c>
      <c r="EJ64" s="137" t="str">
        <f t="shared" si="249"/>
        <v>44</v>
      </c>
      <c r="EK64" s="137">
        <f t="shared" si="64"/>
        <v>107</v>
      </c>
      <c r="EL64" s="137">
        <f t="shared" si="65"/>
        <v>53.5</v>
      </c>
      <c r="EM64" s="135" t="str">
        <f t="shared" si="66"/>
        <v>C</v>
      </c>
      <c r="EN64" s="135" t="str">
        <f>VLOOKUP(RANK(EL64,$EL$10:$EL$109),Sheet1!$A$381:$B$480,2,FALSE)</f>
        <v>51st</v>
      </c>
      <c r="EO64" s="162">
        <v>28</v>
      </c>
      <c r="EP64" s="162">
        <v>16</v>
      </c>
      <c r="EQ64" s="137">
        <f t="shared" si="67"/>
        <v>44</v>
      </c>
      <c r="ER64" s="137" t="str">
        <f t="shared" si="250"/>
        <v>60</v>
      </c>
      <c r="ES64" s="137">
        <f t="shared" si="69"/>
        <v>104</v>
      </c>
      <c r="ET64" s="137">
        <f t="shared" si="70"/>
        <v>52</v>
      </c>
      <c r="EU64" s="135" t="str">
        <f t="shared" si="71"/>
        <v>C</v>
      </c>
      <c r="EV64" s="135" t="str">
        <f>VLOOKUP(RANK(ET64,$ET$10:$ET$109),Sheet1!$A$381:$B$480,2,FALSE)</f>
        <v>54th</v>
      </c>
      <c r="EW64" s="137"/>
      <c r="EX64" s="137"/>
      <c r="EY64" s="137">
        <f t="shared" si="72"/>
        <v>0</v>
      </c>
      <c r="EZ64" s="137" t="str">
        <f t="shared" si="251"/>
        <v>0</v>
      </c>
      <c r="FA64" s="137">
        <f t="shared" si="74"/>
        <v>0</v>
      </c>
      <c r="FB64" s="137">
        <f t="shared" si="75"/>
        <v>0</v>
      </c>
      <c r="FC64" s="135" t="str">
        <f t="shared" si="76"/>
        <v>F</v>
      </c>
      <c r="FD64" s="135" t="str">
        <f>VLOOKUP(RANK(FB64,$FB$10:$FB$109),Sheet1!$A$381:$B$480,2,FALSE)</f>
        <v>1st</v>
      </c>
      <c r="FE64" s="137"/>
      <c r="FF64" s="137"/>
      <c r="FG64" s="137">
        <f t="shared" si="77"/>
        <v>0</v>
      </c>
      <c r="FH64" s="137" t="str">
        <f t="shared" si="252"/>
        <v>0</v>
      </c>
      <c r="FI64" s="137">
        <f t="shared" si="79"/>
        <v>0</v>
      </c>
      <c r="FJ64" s="137">
        <f t="shared" si="80"/>
        <v>0</v>
      </c>
      <c r="FK64" s="135" t="str">
        <f t="shared" si="81"/>
        <v>F</v>
      </c>
      <c r="FL64" s="135" t="str">
        <f>VLOOKUP(RANK(FJ64,$FJ$10:$FJ$109),Sheet1!$A$381:$B$480,2,FALSE)</f>
        <v>1st</v>
      </c>
      <c r="FM64" s="166">
        <v>25</v>
      </c>
      <c r="FN64" s="166">
        <v>25</v>
      </c>
      <c r="FO64" s="137">
        <f t="shared" si="82"/>
        <v>50</v>
      </c>
      <c r="FP64" s="137" t="str">
        <f t="shared" si="253"/>
        <v>58</v>
      </c>
      <c r="FQ64" s="137">
        <f t="shared" si="84"/>
        <v>108</v>
      </c>
      <c r="FR64" s="137">
        <f t="shared" si="85"/>
        <v>54</v>
      </c>
      <c r="FS64" s="135" t="str">
        <f t="shared" si="86"/>
        <v>C</v>
      </c>
      <c r="FT64" s="135" t="str">
        <f>VLOOKUP(RANK(FR64,$FR$10:$FR$109),Sheet1!$A$381:$B$480,2,FALSE)</f>
        <v>29th</v>
      </c>
      <c r="FU64" s="149">
        <v>38</v>
      </c>
      <c r="FV64" s="149">
        <v>28</v>
      </c>
      <c r="FW64" s="137">
        <f t="shared" si="87"/>
        <v>66</v>
      </c>
      <c r="FX64" s="137" t="str">
        <f t="shared" si="254"/>
        <v>54</v>
      </c>
      <c r="FY64" s="137">
        <f t="shared" si="196"/>
        <v>66</v>
      </c>
      <c r="FZ64" s="137">
        <f t="shared" si="89"/>
        <v>33</v>
      </c>
      <c r="GA64" s="135" t="str">
        <f t="shared" si="90"/>
        <v>F</v>
      </c>
      <c r="GB64" s="135" t="str">
        <f>VLOOKUP(RANK(FZ64,$FZ$10:$FZ$109),Sheet1!$A$381:$B$480,2,FALSE)</f>
        <v>10th</v>
      </c>
      <c r="GC64" s="166">
        <v>16</v>
      </c>
      <c r="GD64" s="166">
        <v>25</v>
      </c>
      <c r="GE64" s="137">
        <f t="shared" si="91"/>
        <v>41</v>
      </c>
      <c r="GF64" s="137" t="str">
        <f t="shared" si="255"/>
        <v>53</v>
      </c>
      <c r="GG64" s="135">
        <f t="shared" si="270"/>
        <v>94</v>
      </c>
      <c r="GH64" s="137">
        <f t="shared" si="271"/>
        <v>47</v>
      </c>
      <c r="GI64" s="135" t="str">
        <f t="shared" si="93"/>
        <v>D</v>
      </c>
      <c r="GJ64" s="135" t="str">
        <f>VLOOKUP(RANK(GH64,$GH$10:$GH$109),Sheet1!$A$381:$B$480,2,FALSE)</f>
        <v>21st</v>
      </c>
      <c r="GK64" s="166">
        <v>26</v>
      </c>
      <c r="GL64" s="166">
        <v>18</v>
      </c>
      <c r="GM64" s="137">
        <f t="shared" si="94"/>
        <v>44</v>
      </c>
      <c r="GN64" s="137" t="str">
        <f t="shared" si="256"/>
        <v>58</v>
      </c>
      <c r="GO64" s="135">
        <f t="shared" si="272"/>
        <v>102</v>
      </c>
      <c r="GP64" s="137">
        <f t="shared" si="96"/>
        <v>51</v>
      </c>
      <c r="GQ64" s="135" t="str">
        <f t="shared" si="97"/>
        <v>C</v>
      </c>
      <c r="GR64" s="135" t="str">
        <f>VLOOKUP(RANK(GP64,$GP$10:$GP$109),Sheet1!$A$381:$B$480,2,FALSE)</f>
        <v>16th</v>
      </c>
      <c r="GS64" s="166">
        <v>29</v>
      </c>
      <c r="GT64" s="166">
        <v>20</v>
      </c>
      <c r="GU64" s="137">
        <f t="shared" si="98"/>
        <v>49</v>
      </c>
      <c r="GV64" s="137" t="str">
        <f t="shared" si="257"/>
        <v>63</v>
      </c>
      <c r="GW64" s="137">
        <f t="shared" si="100"/>
        <v>112</v>
      </c>
      <c r="GX64" s="137">
        <f t="shared" si="101"/>
        <v>56</v>
      </c>
      <c r="GY64" s="135" t="str">
        <f t="shared" si="102"/>
        <v>C</v>
      </c>
      <c r="GZ64" s="135" t="str">
        <f>VLOOKUP(RANK(GX64,$GX$10:$GX$109),Sheet1!$A$381:$B$480,2,FALSE)</f>
        <v>34th</v>
      </c>
      <c r="HA64" s="166">
        <v>30</v>
      </c>
      <c r="HB64" s="166">
        <v>12</v>
      </c>
      <c r="HC64" s="137">
        <f t="shared" si="103"/>
        <v>42</v>
      </c>
      <c r="HD64" s="137" t="str">
        <f t="shared" si="258"/>
        <v>44</v>
      </c>
      <c r="HE64" s="137">
        <f t="shared" si="105"/>
        <v>86</v>
      </c>
      <c r="HF64" s="137">
        <f t="shared" si="106"/>
        <v>43</v>
      </c>
      <c r="HG64" s="135" t="str">
        <f t="shared" si="107"/>
        <v>D</v>
      </c>
      <c r="HH64" s="135" t="str">
        <f>VLOOKUP(RANK(HF64,$HF$10:$HF$109),Sheet1!$A$381:$B$480,2,FALSE)</f>
        <v>36th</v>
      </c>
      <c r="HI64" s="149">
        <v>28</v>
      </c>
      <c r="HJ64" s="149">
        <v>45</v>
      </c>
      <c r="HK64" s="137">
        <f t="shared" si="108"/>
        <v>73</v>
      </c>
      <c r="HL64" s="137" t="str">
        <f t="shared" si="259"/>
        <v>52</v>
      </c>
      <c r="HM64" s="137">
        <f t="shared" si="110"/>
        <v>125</v>
      </c>
      <c r="HN64" s="137">
        <f t="shared" si="111"/>
        <v>62.5</v>
      </c>
      <c r="HO64" s="135" t="str">
        <f t="shared" si="112"/>
        <v>B</v>
      </c>
      <c r="HP64" s="135" t="str">
        <f>VLOOKUP(RANK(HN64,$HN$10:$HN$109),Sheet1!$A$381:$B$480,2,FALSE)</f>
        <v>58th</v>
      </c>
      <c r="HQ64" s="137"/>
      <c r="HR64" s="137"/>
      <c r="HS64" s="137">
        <f t="shared" si="113"/>
        <v>0</v>
      </c>
      <c r="HT64" s="137" t="str">
        <f t="shared" si="260"/>
        <v>0</v>
      </c>
      <c r="HU64" s="137">
        <f t="shared" si="115"/>
        <v>0</v>
      </c>
      <c r="HV64" s="137">
        <f t="shared" si="116"/>
        <v>0</v>
      </c>
      <c r="HW64" s="135" t="str">
        <f t="shared" si="117"/>
        <v>F</v>
      </c>
      <c r="HX64" s="135" t="str">
        <f>VLOOKUP(RANK(HV64,$HV$10:$HV$109),Sheet1!$A$381:$B$480,2,FALSE)</f>
        <v>1st</v>
      </c>
      <c r="HY64" s="137"/>
      <c r="HZ64" s="137"/>
      <c r="IA64" s="137">
        <f t="shared" si="261"/>
        <v>0</v>
      </c>
      <c r="IB64" s="137" t="str">
        <f t="shared" si="262"/>
        <v>0</v>
      </c>
      <c r="IC64" s="137">
        <f t="shared" si="120"/>
        <v>0</v>
      </c>
      <c r="ID64" s="137">
        <f t="shared" si="121"/>
        <v>0</v>
      </c>
      <c r="IE64" s="135" t="str">
        <f t="shared" si="122"/>
        <v>F</v>
      </c>
      <c r="IF64" s="135" t="str">
        <f>VLOOKUP(RANK(ID64,$ID$10:$ID$109),Sheet1!$A$381:$B$480,2,FALSE)</f>
        <v>1st</v>
      </c>
      <c r="IG64" s="135"/>
      <c r="IH64" s="135"/>
      <c r="II64" s="135">
        <f t="shared" si="273"/>
        <v>0</v>
      </c>
      <c r="IJ64" s="135" t="str">
        <f t="shared" si="274"/>
        <v>0</v>
      </c>
      <c r="IK64" s="135">
        <f t="shared" si="275"/>
        <v>0</v>
      </c>
      <c r="IL64" s="135">
        <f t="shared" si="276"/>
        <v>0</v>
      </c>
      <c r="IM64" s="135" t="str">
        <f t="shared" si="123"/>
        <v>F</v>
      </c>
      <c r="IN64" s="135" t="str">
        <f>VLOOKUP(RANK(IL64,$IL$10:$IL$109),Sheet1!$A$381:$B$480,2,FALSE)</f>
        <v>1st</v>
      </c>
      <c r="IO64" s="135">
        <f t="shared" si="277"/>
        <v>628.5</v>
      </c>
      <c r="IP64" s="177">
        <f t="shared" si="278"/>
        <v>36.970588235294102</v>
      </c>
      <c r="IQ64" s="135" t="str">
        <f>VLOOKUP(RANK(IP64,$IP$10:$IP$109),Sheet1!$A$381:$B$480,2,FALSE)</f>
        <v>35th</v>
      </c>
      <c r="IR64" s="178"/>
      <c r="IS64" s="137"/>
      <c r="IT64" s="137"/>
      <c r="IU64" s="137"/>
      <c r="IV64" s="137"/>
      <c r="IW64" s="181"/>
      <c r="IX64" s="184"/>
      <c r="IY64" s="186"/>
      <c r="IZ64" s="186">
        <f t="shared" si="206"/>
        <v>0</v>
      </c>
      <c r="JA64" s="186" t="str">
        <f t="shared" si="124"/>
        <v>71</v>
      </c>
      <c r="JB64" s="186" t="str">
        <f t="shared" si="125"/>
        <v>79</v>
      </c>
      <c r="JC64" s="186">
        <f t="shared" si="279"/>
        <v>150</v>
      </c>
      <c r="JD64" s="186">
        <f t="shared" si="280"/>
        <v>50</v>
      </c>
      <c r="JE64" s="135" t="str">
        <f t="shared" si="126"/>
        <v>C</v>
      </c>
      <c r="JF64" s="151" t="str">
        <f>VLOOKUP(RANK(JD64,$JD$10:$JD$109),Sheet1!$A$381:$B$480,2,FALSE)</f>
        <v>19th</v>
      </c>
      <c r="JG64" s="186"/>
      <c r="JH64" s="186"/>
      <c r="JI64" s="186">
        <f t="shared" si="127"/>
        <v>0</v>
      </c>
      <c r="JJ64" s="186" t="str">
        <f t="shared" si="128"/>
        <v>52</v>
      </c>
      <c r="JK64" s="186" t="str">
        <f t="shared" si="129"/>
        <v>41</v>
      </c>
      <c r="JL64" s="186">
        <f t="shared" si="281"/>
        <v>93</v>
      </c>
      <c r="JM64" s="186">
        <f t="shared" si="282"/>
        <v>31</v>
      </c>
      <c r="JN64" s="135" t="str">
        <f t="shared" si="130"/>
        <v>F</v>
      </c>
      <c r="JO64" s="151" t="str">
        <f>VLOOKUP(RANK(JM64,$JM$10:$JM$109),Sheet1!$A$381:$B$480,2,FALSE)</f>
        <v>67th</v>
      </c>
      <c r="JP64" s="186"/>
      <c r="JQ64" s="186"/>
      <c r="JR64" s="186">
        <f t="shared" si="131"/>
        <v>0</v>
      </c>
      <c r="JS64" s="186" t="str">
        <f t="shared" si="132"/>
        <v>60</v>
      </c>
      <c r="JT64" s="186" t="str">
        <f t="shared" si="133"/>
        <v>50</v>
      </c>
      <c r="JU64" s="186">
        <f t="shared" si="283"/>
        <v>110</v>
      </c>
      <c r="JV64" s="186">
        <f t="shared" si="284"/>
        <v>36.6666666666667</v>
      </c>
      <c r="JW64" s="135" t="str">
        <f t="shared" si="134"/>
        <v>E</v>
      </c>
      <c r="JX64" s="151" t="str">
        <f>VLOOKUP(RANK(JV64,$JV$10:$JV$109),Sheet1!$A$381:$B$480,2,FALSE)</f>
        <v>27th</v>
      </c>
      <c r="JY64" s="186"/>
      <c r="JZ64" s="186"/>
      <c r="KA64" s="186">
        <f t="shared" si="135"/>
        <v>0</v>
      </c>
      <c r="KB64" s="186" t="str">
        <f t="shared" si="136"/>
        <v>44</v>
      </c>
      <c r="KC64" s="186" t="str">
        <f t="shared" si="137"/>
        <v>63</v>
      </c>
      <c r="KD64" s="186">
        <f t="shared" si="285"/>
        <v>107</v>
      </c>
      <c r="KE64" s="186">
        <f t="shared" si="286"/>
        <v>35.6666666666667</v>
      </c>
      <c r="KF64" s="135" t="str">
        <f t="shared" si="138"/>
        <v>E</v>
      </c>
      <c r="KG64" s="151" t="str">
        <f>VLOOKUP(RANK(KE64,$KE$10:$KE$109),Sheet1!$A$381:$B$480,2,FALSE)</f>
        <v>51st</v>
      </c>
      <c r="KH64" s="186"/>
      <c r="KI64" s="186"/>
      <c r="KJ64" s="186">
        <f t="shared" si="139"/>
        <v>0</v>
      </c>
      <c r="KK64" s="186" t="str">
        <f t="shared" si="140"/>
        <v>60</v>
      </c>
      <c r="KL64" s="186" t="str">
        <f t="shared" si="141"/>
        <v>44</v>
      </c>
      <c r="KM64" s="186">
        <f t="shared" si="287"/>
        <v>104</v>
      </c>
      <c r="KN64" s="186">
        <f t="shared" si="288"/>
        <v>34.6666666666667</v>
      </c>
      <c r="KO64" s="135" t="str">
        <f t="shared" si="142"/>
        <v>F</v>
      </c>
      <c r="KP64" s="151" t="str">
        <f>VLOOKUP(RANK(KN64,$KN$10:$KN$109),Sheet1!$A$381:$B$480,2,FALSE)</f>
        <v>54th</v>
      </c>
      <c r="KQ64" s="186"/>
      <c r="KR64" s="186"/>
      <c r="KS64" s="186">
        <f t="shared" si="143"/>
        <v>0</v>
      </c>
      <c r="KT64" s="186" t="str">
        <f t="shared" si="144"/>
        <v>0</v>
      </c>
      <c r="KU64" s="186" t="str">
        <f t="shared" si="145"/>
        <v>0</v>
      </c>
      <c r="KV64" s="186">
        <f t="shared" si="289"/>
        <v>0</v>
      </c>
      <c r="KW64" s="186">
        <f t="shared" si="290"/>
        <v>0</v>
      </c>
      <c r="KX64" s="135" t="str">
        <f t="shared" si="146"/>
        <v>F</v>
      </c>
      <c r="KY64" s="151" t="str">
        <f>VLOOKUP(RANK(KW64,$KW$10:$KW$109),Sheet1!$A$381:$B$480,2,FALSE)</f>
        <v>1st</v>
      </c>
      <c r="KZ64" s="186"/>
      <c r="LA64" s="186"/>
      <c r="LB64" s="186">
        <f t="shared" si="147"/>
        <v>0</v>
      </c>
      <c r="LC64" s="186" t="str">
        <f t="shared" si="148"/>
        <v>0</v>
      </c>
      <c r="LD64" s="186" t="str">
        <f t="shared" si="149"/>
        <v>0</v>
      </c>
      <c r="LE64" s="186">
        <f t="shared" si="291"/>
        <v>0</v>
      </c>
      <c r="LF64" s="186">
        <f t="shared" si="292"/>
        <v>0</v>
      </c>
      <c r="LG64" s="135" t="str">
        <f t="shared" si="150"/>
        <v>F</v>
      </c>
      <c r="LH64" s="151" t="str">
        <f>VLOOKUP(RANK(LF64,$LF$10:$LF$109),Sheet1!$A$381:$B$480,2,FALSE)</f>
        <v>1st</v>
      </c>
      <c r="LI64" s="186"/>
      <c r="LJ64" s="186"/>
      <c r="LK64" s="186">
        <f t="shared" si="151"/>
        <v>0</v>
      </c>
      <c r="LL64" s="186" t="str">
        <f t="shared" si="152"/>
        <v>58</v>
      </c>
      <c r="LM64" s="186" t="str">
        <f t="shared" si="153"/>
        <v>50</v>
      </c>
      <c r="LN64" s="186">
        <f t="shared" si="293"/>
        <v>108</v>
      </c>
      <c r="LO64" s="186">
        <f t="shared" si="294"/>
        <v>36</v>
      </c>
      <c r="LP64" s="135" t="str">
        <f t="shared" si="154"/>
        <v>E</v>
      </c>
      <c r="LQ64" s="151" t="str">
        <f>VLOOKUP(RANK(LO64,$LO$10:$LO$109),Sheet1!$A$381:$B$480,2,FALSE)</f>
        <v>29th</v>
      </c>
      <c r="LR64" s="186"/>
      <c r="LS64" s="186"/>
      <c r="LT64" s="186">
        <f t="shared" si="155"/>
        <v>0</v>
      </c>
      <c r="LU64" s="186" t="str">
        <f t="shared" si="156"/>
        <v>54</v>
      </c>
      <c r="LV64" s="186" t="str">
        <f t="shared" si="157"/>
        <v>66</v>
      </c>
      <c r="LW64" s="186">
        <f t="shared" si="295"/>
        <v>120</v>
      </c>
      <c r="LX64" s="186">
        <f t="shared" si="296"/>
        <v>40</v>
      </c>
      <c r="LY64" s="135" t="str">
        <f t="shared" si="158"/>
        <v>D</v>
      </c>
      <c r="LZ64" s="151" t="str">
        <f>VLOOKUP(RANK(LX64,$LX$10:$LX$109),Sheet1!$A$381:$B$480,2,FALSE)</f>
        <v>21st</v>
      </c>
      <c r="MA64" s="186"/>
      <c r="MB64" s="186"/>
      <c r="MC64" s="186">
        <f t="shared" si="159"/>
        <v>0</v>
      </c>
      <c r="MD64" s="186" t="str">
        <f t="shared" si="160"/>
        <v>53</v>
      </c>
      <c r="ME64" s="186" t="str">
        <f t="shared" si="161"/>
        <v>41</v>
      </c>
      <c r="MF64" s="183">
        <f t="shared" si="297"/>
        <v>94</v>
      </c>
      <c r="MG64" s="151">
        <f t="shared" si="298"/>
        <v>31.3333333333333</v>
      </c>
      <c r="MH64" s="135" t="str">
        <f t="shared" si="162"/>
        <v>F</v>
      </c>
      <c r="MI64" s="151" t="str">
        <f>VLOOKUP(RANK(MG64,$MG$10:$MG$109),Sheet1!$A$381:$B$480,2,FALSE)</f>
        <v>21st</v>
      </c>
      <c r="MJ64" s="186"/>
      <c r="MK64" s="186"/>
      <c r="ML64" s="186">
        <f t="shared" si="163"/>
        <v>0</v>
      </c>
      <c r="MM64" s="186" t="str">
        <f t="shared" si="164"/>
        <v>58</v>
      </c>
      <c r="MN64" s="186" t="str">
        <f t="shared" si="165"/>
        <v>44</v>
      </c>
      <c r="MO64" s="186">
        <f t="shared" si="299"/>
        <v>102</v>
      </c>
      <c r="MP64" s="186">
        <f t="shared" si="300"/>
        <v>34</v>
      </c>
      <c r="MQ64" s="135" t="str">
        <f t="shared" si="166"/>
        <v>F</v>
      </c>
      <c r="MR64" s="151" t="str">
        <f>VLOOKUP(RANK(MP64,$MP$10:$MP$109),Sheet1!$A$381:$B$480,2,FALSE)</f>
        <v>16th</v>
      </c>
      <c r="MS64" s="186"/>
      <c r="MT64" s="186"/>
      <c r="MU64" s="186">
        <f t="shared" si="167"/>
        <v>0</v>
      </c>
      <c r="MV64" s="186" t="str">
        <f t="shared" si="168"/>
        <v>63</v>
      </c>
      <c r="MW64" s="186" t="str">
        <f t="shared" si="169"/>
        <v>49</v>
      </c>
      <c r="MX64" s="186">
        <f t="shared" si="301"/>
        <v>112</v>
      </c>
      <c r="MY64" s="186">
        <f t="shared" si="302"/>
        <v>37.3333333333333</v>
      </c>
      <c r="MZ64" s="135" t="str">
        <f t="shared" si="170"/>
        <v>E</v>
      </c>
      <c r="NA64" s="151" t="str">
        <f>VLOOKUP(RANK(MY64,$MY$10:$MY$109),Sheet1!$A$381:$B$480,2,FALSE)</f>
        <v>34th</v>
      </c>
      <c r="NB64" s="186"/>
      <c r="NC64" s="186"/>
      <c r="ND64" s="186">
        <f t="shared" si="171"/>
        <v>0</v>
      </c>
      <c r="NE64" s="186" t="str">
        <f t="shared" si="172"/>
        <v>44</v>
      </c>
      <c r="NF64" s="186" t="str">
        <f t="shared" si="173"/>
        <v>42</v>
      </c>
      <c r="NG64" s="186">
        <f t="shared" si="303"/>
        <v>86</v>
      </c>
      <c r="NH64" s="186">
        <f t="shared" si="304"/>
        <v>28.6666666666667</v>
      </c>
      <c r="NI64" s="135" t="str">
        <f t="shared" si="174"/>
        <v>F</v>
      </c>
      <c r="NJ64" s="151" t="str">
        <f>VLOOKUP(RANK(NH64,$NH$10:$NH$109),Sheet1!$A$381:$B$480,2,FALSE)</f>
        <v>36th</v>
      </c>
      <c r="NK64" s="186"/>
      <c r="NL64" s="186"/>
      <c r="NM64" s="186">
        <f t="shared" si="175"/>
        <v>0</v>
      </c>
      <c r="NN64" s="186" t="str">
        <f t="shared" si="176"/>
        <v>52</v>
      </c>
      <c r="NO64" s="186" t="str">
        <f t="shared" si="177"/>
        <v>73</v>
      </c>
      <c r="NP64" s="186">
        <f t="shared" si="305"/>
        <v>125</v>
      </c>
      <c r="NQ64" s="186">
        <f t="shared" si="263"/>
        <v>41.6666666666667</v>
      </c>
      <c r="NR64" s="135" t="str">
        <f t="shared" si="179"/>
        <v>D</v>
      </c>
      <c r="NS64" s="151" t="str">
        <f>VLOOKUP(RANK(NQ64,$NQ$10:$NQ$109),Sheet1!$A$381:$B$480,2,FALSE)</f>
        <v>58th</v>
      </c>
      <c r="NT64" s="186"/>
      <c r="NU64" s="186"/>
      <c r="NV64" s="186">
        <f t="shared" si="180"/>
        <v>0</v>
      </c>
      <c r="NW64" s="186" t="str">
        <f t="shared" si="181"/>
        <v>0</v>
      </c>
      <c r="NX64" s="186" t="str">
        <f t="shared" si="182"/>
        <v>0</v>
      </c>
      <c r="NY64" s="186">
        <f t="shared" si="306"/>
        <v>0</v>
      </c>
      <c r="NZ64" s="186">
        <f t="shared" si="264"/>
        <v>0</v>
      </c>
      <c r="OA64" s="135" t="str">
        <f t="shared" si="184"/>
        <v>F</v>
      </c>
      <c r="OB64" s="151" t="str">
        <f>VLOOKUP(RANK(NZ64,$NZ$10:$NZ$109),Sheet1!$A$381:$B$480,2,FALSE)</f>
        <v>1st</v>
      </c>
      <c r="OC64" s="186"/>
      <c r="OD64" s="186"/>
      <c r="OE64" s="186">
        <f t="shared" si="185"/>
        <v>0</v>
      </c>
      <c r="OF64" s="186" t="str">
        <f t="shared" si="186"/>
        <v>0</v>
      </c>
      <c r="OG64" s="186" t="str">
        <f t="shared" si="187"/>
        <v>0</v>
      </c>
      <c r="OH64" s="186">
        <f t="shared" si="307"/>
        <v>0</v>
      </c>
      <c r="OI64" s="186">
        <f t="shared" si="236"/>
        <v>0</v>
      </c>
      <c r="OJ64" s="135" t="str">
        <f t="shared" si="188"/>
        <v>F</v>
      </c>
      <c r="OK64" s="151" t="str">
        <f>VLOOKUP(RANK(OI64,$OI$10:$OI$109),Sheet1!$A$381:$B$480,2,FALSE)</f>
        <v>1st</v>
      </c>
      <c r="OL64" s="151"/>
      <c r="OM64" s="151"/>
      <c r="ON64" s="151">
        <f t="shared" si="308"/>
        <v>0</v>
      </c>
      <c r="OO64" s="151" t="str">
        <f t="shared" si="309"/>
        <v>0</v>
      </c>
      <c r="OP64" s="151" t="str">
        <f t="shared" si="310"/>
        <v>0</v>
      </c>
      <c r="OQ64" s="151">
        <f t="shared" si="311"/>
        <v>0</v>
      </c>
      <c r="OR64" s="151">
        <f t="shared" si="312"/>
        <v>0</v>
      </c>
      <c r="OS64" s="135" t="str">
        <f t="shared" si="189"/>
        <v>F</v>
      </c>
      <c r="OT64" s="151" t="str">
        <f>VLOOKUP(RANK(OR64,$OI$10:$OI$109),Sheet1!$A$381:$B$480,2,FALSE)</f>
        <v>1st</v>
      </c>
      <c r="OU64" s="151">
        <f t="shared" si="313"/>
        <v>437</v>
      </c>
      <c r="OV64" s="151">
        <f t="shared" si="314"/>
        <v>25.705882352941199</v>
      </c>
      <c r="OW64" s="151" t="str">
        <f>VLOOKUP(RANK(OV64,$OV$10:$OV$109),Sheet1!$A$381:$B$480,2,FALSE)</f>
        <v>35th</v>
      </c>
      <c r="OX64" s="151"/>
      <c r="OY64" s="186"/>
      <c r="OZ64" s="186"/>
      <c r="PA64" s="186"/>
      <c r="PB64" s="186"/>
    </row>
    <row r="65" spans="1:418" s="118" customFormat="1" ht="18.75">
      <c r="A65" s="131">
        <v>56</v>
      </c>
      <c r="B65" s="132" t="s">
        <v>155</v>
      </c>
      <c r="C65" s="133" t="s">
        <v>97</v>
      </c>
      <c r="D65" s="134">
        <v>25</v>
      </c>
      <c r="E65" s="134">
        <v>48</v>
      </c>
      <c r="F65" s="137">
        <f t="shared" si="0"/>
        <v>73</v>
      </c>
      <c r="G65" s="137">
        <f t="shared" si="1"/>
        <v>73</v>
      </c>
      <c r="H65" s="135" t="str">
        <f t="shared" si="265"/>
        <v>B</v>
      </c>
      <c r="I65" s="135" t="str">
        <f>VLOOKUP(RANK(G65,$G$10:$G$109),Sheet1!$A$381:$B$480,2,FALSE)</f>
        <v>24th</v>
      </c>
      <c r="J65" s="134">
        <v>31</v>
      </c>
      <c r="K65" s="134">
        <v>30</v>
      </c>
      <c r="L65" s="137">
        <f t="shared" si="2"/>
        <v>61</v>
      </c>
      <c r="M65" s="137">
        <f t="shared" si="3"/>
        <v>61</v>
      </c>
      <c r="N65" s="135" t="str">
        <f t="shared" si="4"/>
        <v>B</v>
      </c>
      <c r="O65" s="141" t="str">
        <f>VLOOKUP(RANK(M65,$M$10:$M$109),Sheet1!$A$381:$B$480,2,FALSE)</f>
        <v>24th</v>
      </c>
      <c r="P65" s="144">
        <v>28</v>
      </c>
      <c r="Q65" s="144">
        <v>2</v>
      </c>
      <c r="R65" s="147">
        <f t="shared" si="5"/>
        <v>30</v>
      </c>
      <c r="S65" s="137">
        <f t="shared" si="6"/>
        <v>30</v>
      </c>
      <c r="T65" s="135" t="str">
        <f t="shared" si="7"/>
        <v>F</v>
      </c>
      <c r="U65" s="135" t="str">
        <f>VLOOKUP(RANK(S65,$S$10:$S$109),Sheet1!$A$381:$B$480,2,FALSE)</f>
        <v>80th</v>
      </c>
      <c r="V65" s="134">
        <v>16</v>
      </c>
      <c r="W65" s="134">
        <v>5</v>
      </c>
      <c r="X65" s="137">
        <f t="shared" si="191"/>
        <v>21</v>
      </c>
      <c r="Y65" s="137">
        <f t="shared" si="244"/>
        <v>21</v>
      </c>
      <c r="Z65" s="135" t="str">
        <f t="shared" si="8"/>
        <v>F</v>
      </c>
      <c r="AA65" s="135" t="str">
        <f>VLOOKUP(RANK(Y65,$Y$10:$Y$109),Sheet1!$A$381:$B$480,2,FALSE)</f>
        <v>99th</v>
      </c>
      <c r="AB65" s="134">
        <v>29</v>
      </c>
      <c r="AC65" s="134">
        <v>2</v>
      </c>
      <c r="AD65" s="137">
        <f t="shared" si="9"/>
        <v>31</v>
      </c>
      <c r="AE65" s="137">
        <f t="shared" si="10"/>
        <v>31</v>
      </c>
      <c r="AF65" s="135" t="str">
        <f t="shared" si="11"/>
        <v>F</v>
      </c>
      <c r="AG65" s="135" t="str">
        <f>VLOOKUP(RANK(AE65,$AE$10:$AE$109),Sheet1!$A$381:$B$480,2,FALSE)</f>
        <v>90th</v>
      </c>
      <c r="AH65" s="137"/>
      <c r="AI65" s="137"/>
      <c r="AJ65" s="137">
        <f t="shared" si="12"/>
        <v>0</v>
      </c>
      <c r="AK65" s="137">
        <f t="shared" si="13"/>
        <v>0</v>
      </c>
      <c r="AL65" s="135" t="str">
        <f t="shared" si="14"/>
        <v>F</v>
      </c>
      <c r="AM65" s="135" t="str">
        <f>VLOOKUP(RANK(AK65,$AK$10:$AK$109),Sheet1!$A$381:$B$480,2,FALSE)</f>
        <v>1st</v>
      </c>
      <c r="AN65" s="134"/>
      <c r="AO65" s="134"/>
      <c r="AP65" s="137">
        <f t="shared" si="15"/>
        <v>0</v>
      </c>
      <c r="AQ65" s="137">
        <f t="shared" si="16"/>
        <v>0</v>
      </c>
      <c r="AR65" s="135" t="str">
        <f t="shared" si="17"/>
        <v>F</v>
      </c>
      <c r="AS65" s="135" t="str">
        <f>VLOOKUP(RANK(AQ65,$AQ$10:$AQ$109),Sheet1!$A$381:$B$480,2,FALSE)</f>
        <v>1st</v>
      </c>
      <c r="AT65" s="144">
        <v>24</v>
      </c>
      <c r="AU65" s="144">
        <v>34</v>
      </c>
      <c r="AV65" s="137">
        <f t="shared" si="18"/>
        <v>58</v>
      </c>
      <c r="AW65" s="137">
        <f t="shared" si="19"/>
        <v>58</v>
      </c>
      <c r="AX65" s="135" t="str">
        <f t="shared" si="20"/>
        <v>C</v>
      </c>
      <c r="AY65" s="141" t="str">
        <f>VLOOKUP(RANK(AW65,$AW$10:$AW$109),Sheet1!$A$381:$B$480,2,FALSE)</f>
        <v>16th</v>
      </c>
      <c r="AZ65" s="144">
        <v>32</v>
      </c>
      <c r="BA65" s="144">
        <v>19</v>
      </c>
      <c r="BB65" s="147">
        <f t="shared" si="21"/>
        <v>51</v>
      </c>
      <c r="BC65" s="137">
        <f t="shared" si="22"/>
        <v>51</v>
      </c>
      <c r="BD65" s="135" t="str">
        <f t="shared" si="23"/>
        <v>C</v>
      </c>
      <c r="BE65" s="135" t="str">
        <f>VLOOKUP(RANK(BC65,$BC$10:$BC$109),Sheet1!$A$381:$B$480,2,FALSE)</f>
        <v>54th</v>
      </c>
      <c r="BF65" s="144">
        <v>13</v>
      </c>
      <c r="BG65" s="144">
        <v>24</v>
      </c>
      <c r="BH65" s="137">
        <f t="shared" si="24"/>
        <v>37</v>
      </c>
      <c r="BI65" s="137">
        <f t="shared" si="25"/>
        <v>37</v>
      </c>
      <c r="BJ65" s="135" t="str">
        <f t="shared" si="26"/>
        <v>E</v>
      </c>
      <c r="BK65" s="141" t="str">
        <f>VLOOKUP(RANK(BI65,$BI$10:$BI$109),Sheet1!$A$381:$B$480,2,FALSE)</f>
        <v>41st</v>
      </c>
      <c r="BL65" s="149">
        <v>27</v>
      </c>
      <c r="BM65" s="149">
        <v>30</v>
      </c>
      <c r="BN65" s="147">
        <f t="shared" si="27"/>
        <v>57</v>
      </c>
      <c r="BO65" s="137">
        <f t="shared" si="28"/>
        <v>57</v>
      </c>
      <c r="BP65" s="135" t="str">
        <f t="shared" si="29"/>
        <v>C</v>
      </c>
      <c r="BQ65" s="141" t="str">
        <f>VLOOKUP(RANK(BO65,$BO$10:$BO$109),Sheet1!$A$381:$B$480,2,FALSE)</f>
        <v>7th</v>
      </c>
      <c r="BR65" s="149">
        <v>27</v>
      </c>
      <c r="BS65" s="149">
        <v>3</v>
      </c>
      <c r="BT65" s="147">
        <f t="shared" si="30"/>
        <v>30</v>
      </c>
      <c r="BU65" s="137">
        <f t="shared" si="31"/>
        <v>30</v>
      </c>
      <c r="BV65" s="135" t="str">
        <f t="shared" si="32"/>
        <v>F</v>
      </c>
      <c r="BW65" s="135" t="str">
        <f>VLOOKUP(RANK(BU65,$BU$10:$BU$109),Sheet1!$A$381:$B$480,2,FALSE)</f>
        <v>96th</v>
      </c>
      <c r="BX65" s="149">
        <v>27</v>
      </c>
      <c r="BY65" s="149">
        <v>10</v>
      </c>
      <c r="BZ65" s="137">
        <f t="shared" si="33"/>
        <v>37</v>
      </c>
      <c r="CA65" s="137">
        <f t="shared" si="34"/>
        <v>37</v>
      </c>
      <c r="CB65" s="135" t="str">
        <f t="shared" si="35"/>
        <v>E</v>
      </c>
      <c r="CC65" s="135" t="str">
        <f>VLOOKUP(RANK(CA65,$CA$10:$CA$109),Sheet1!$A$381:$B$480,2,FALSE)</f>
        <v>70th</v>
      </c>
      <c r="CD65" s="149">
        <v>20</v>
      </c>
      <c r="CE65" s="149">
        <v>28</v>
      </c>
      <c r="CF65" s="137">
        <f t="shared" si="36"/>
        <v>48</v>
      </c>
      <c r="CG65" s="137">
        <f t="shared" si="37"/>
        <v>48</v>
      </c>
      <c r="CH65" s="135" t="str">
        <f t="shared" si="38"/>
        <v>D</v>
      </c>
      <c r="CI65" s="135" t="str">
        <f>VLOOKUP(RANK(CG65,$CG$10:$CG$109),Sheet1!$A$381:$B$480,2,FALSE)</f>
        <v>80th</v>
      </c>
      <c r="CJ65" s="137"/>
      <c r="CK65" s="137"/>
      <c r="CL65" s="137">
        <f t="shared" si="39"/>
        <v>0</v>
      </c>
      <c r="CM65" s="137">
        <f t="shared" si="40"/>
        <v>0</v>
      </c>
      <c r="CN65" s="135" t="str">
        <f t="shared" si="41"/>
        <v>F</v>
      </c>
      <c r="CO65" s="135" t="str">
        <f>VLOOKUP(RANK(CM65,$CM$10:$CM$109),Sheet1!$A$381:$B$480,2,FALSE)</f>
        <v>1st</v>
      </c>
      <c r="CP65" s="137"/>
      <c r="CQ65" s="137"/>
      <c r="CR65" s="137">
        <f t="shared" si="42"/>
        <v>0</v>
      </c>
      <c r="CS65" s="137">
        <f t="shared" si="43"/>
        <v>0</v>
      </c>
      <c r="CT65" s="135" t="str">
        <f t="shared" si="44"/>
        <v>F</v>
      </c>
      <c r="CU65" s="135" t="str">
        <f>VLOOKUP(RANK(CS65,$CS$10:$CS$109),Sheet1!$A$381:$B$480,2,FALSE)</f>
        <v>1st</v>
      </c>
      <c r="CV65" s="151"/>
      <c r="CW65" s="135"/>
      <c r="CX65" s="151">
        <f t="shared" si="266"/>
        <v>0</v>
      </c>
      <c r="CY65" s="151">
        <f t="shared" si="267"/>
        <v>0</v>
      </c>
      <c r="CZ65" s="135" t="str">
        <f t="shared" si="45"/>
        <v>F</v>
      </c>
      <c r="DA65" s="135" t="str">
        <f>VLOOKUP(RANK(CY65,$CY$10:$CY$109),Sheet1!$A$381:$B$480,2,FALSE)</f>
        <v>1st</v>
      </c>
      <c r="DB65" s="135"/>
      <c r="DC65" s="151">
        <f t="shared" si="268"/>
        <v>534</v>
      </c>
      <c r="DD65" s="151">
        <f t="shared" si="269"/>
        <v>31.411764705882401</v>
      </c>
      <c r="DE65" s="135" t="str">
        <f>VLOOKUP(RANK(DD65,$DD$10:$DD$109),Sheet1!$A$381:$B$480,2,FALSE)</f>
        <v>87th</v>
      </c>
      <c r="DF65" s="137"/>
      <c r="DG65" s="160">
        <f t="shared" si="46"/>
        <v>565.41176470588198</v>
      </c>
      <c r="DH65" s="119"/>
      <c r="DI65" s="162">
        <v>21</v>
      </c>
      <c r="DJ65" s="162">
        <v>52</v>
      </c>
      <c r="DK65" s="137">
        <f t="shared" si="47"/>
        <v>73</v>
      </c>
      <c r="DL65" s="137" t="str">
        <f t="shared" si="245"/>
        <v>73</v>
      </c>
      <c r="DM65" s="137">
        <f t="shared" si="49"/>
        <v>146</v>
      </c>
      <c r="DN65" s="137">
        <f t="shared" si="50"/>
        <v>73</v>
      </c>
      <c r="DO65" s="135" t="str">
        <f t="shared" si="51"/>
        <v>B</v>
      </c>
      <c r="DP65" s="135" t="str">
        <f>VLOOKUP(RANK(DN65,$DN$10:$DN$109),Sheet1!$A$381:$B$480,2,FALSE)</f>
        <v>23rd</v>
      </c>
      <c r="DQ65" s="166">
        <v>29</v>
      </c>
      <c r="DR65" s="166">
        <v>16</v>
      </c>
      <c r="DS65" s="137">
        <f t="shared" si="52"/>
        <v>45</v>
      </c>
      <c r="DT65" s="137" t="str">
        <f t="shared" si="246"/>
        <v>61</v>
      </c>
      <c r="DU65" s="137">
        <f t="shared" si="54"/>
        <v>106</v>
      </c>
      <c r="DV65" s="137">
        <f t="shared" si="247"/>
        <v>53</v>
      </c>
      <c r="DW65" s="135" t="str">
        <f t="shared" si="56"/>
        <v>C</v>
      </c>
      <c r="DX65" s="135" t="str">
        <f>VLOOKUP(RANK(DV65,$DV$10:$DV$109),Sheet1!$A$381:$B$480,2,FALSE)</f>
        <v>31st</v>
      </c>
      <c r="DY65" s="168">
        <v>28</v>
      </c>
      <c r="DZ65" s="168">
        <v>10</v>
      </c>
      <c r="EA65" s="137">
        <f t="shared" si="57"/>
        <v>38</v>
      </c>
      <c r="EB65" s="137" t="str">
        <f t="shared" si="248"/>
        <v>30</v>
      </c>
      <c r="EC65" s="137">
        <f t="shared" si="59"/>
        <v>68</v>
      </c>
      <c r="ED65" s="137">
        <f t="shared" si="60"/>
        <v>34</v>
      </c>
      <c r="EE65" s="135" t="str">
        <f t="shared" si="61"/>
        <v>F</v>
      </c>
      <c r="EF65" s="135" t="str">
        <f>VLOOKUP(RANK(ED65,$ED$10:$ED$109),Sheet1!$A$381:$B$480,2,FALSE)</f>
        <v>90th</v>
      </c>
      <c r="EG65" s="162">
        <v>16</v>
      </c>
      <c r="EH65" s="162">
        <v>18</v>
      </c>
      <c r="EI65" s="137">
        <f t="shared" si="62"/>
        <v>34</v>
      </c>
      <c r="EJ65" s="137" t="str">
        <f t="shared" si="249"/>
        <v>21</v>
      </c>
      <c r="EK65" s="137">
        <f t="shared" si="64"/>
        <v>55</v>
      </c>
      <c r="EL65" s="137">
        <f t="shared" si="65"/>
        <v>27.5</v>
      </c>
      <c r="EM65" s="135" t="str">
        <f t="shared" si="66"/>
        <v>F</v>
      </c>
      <c r="EN65" s="135" t="str">
        <f>VLOOKUP(RANK(EL65,$EL$10:$EL$109),Sheet1!$A$381:$B$480,2,FALSE)</f>
        <v>98th</v>
      </c>
      <c r="EO65" s="162">
        <v>32</v>
      </c>
      <c r="EP65" s="162">
        <v>8</v>
      </c>
      <c r="EQ65" s="137">
        <f t="shared" si="67"/>
        <v>40</v>
      </c>
      <c r="ER65" s="137" t="str">
        <f t="shared" si="250"/>
        <v>31</v>
      </c>
      <c r="ES65" s="137">
        <f t="shared" si="69"/>
        <v>71</v>
      </c>
      <c r="ET65" s="137">
        <f t="shared" si="70"/>
        <v>35.5</v>
      </c>
      <c r="EU65" s="135" t="str">
        <f t="shared" si="71"/>
        <v>E</v>
      </c>
      <c r="EV65" s="135" t="str">
        <f>VLOOKUP(RANK(ET65,$ET$10:$ET$109),Sheet1!$A$381:$B$480,2,FALSE)</f>
        <v>83rd</v>
      </c>
      <c r="EW65" s="137"/>
      <c r="EX65" s="137"/>
      <c r="EY65" s="137">
        <f t="shared" si="72"/>
        <v>0</v>
      </c>
      <c r="EZ65" s="137" t="str">
        <f t="shared" si="251"/>
        <v>0</v>
      </c>
      <c r="FA65" s="137">
        <f t="shared" si="74"/>
        <v>0</v>
      </c>
      <c r="FB65" s="137">
        <f t="shared" si="75"/>
        <v>0</v>
      </c>
      <c r="FC65" s="135" t="str">
        <f t="shared" si="76"/>
        <v>F</v>
      </c>
      <c r="FD65" s="135" t="str">
        <f>VLOOKUP(RANK(FB65,$FB$10:$FB$109),Sheet1!$A$381:$B$480,2,FALSE)</f>
        <v>1st</v>
      </c>
      <c r="FE65" s="137"/>
      <c r="FF65" s="137"/>
      <c r="FG65" s="137">
        <f t="shared" si="77"/>
        <v>0</v>
      </c>
      <c r="FH65" s="137" t="str">
        <f t="shared" si="252"/>
        <v>0</v>
      </c>
      <c r="FI65" s="137">
        <f t="shared" si="79"/>
        <v>0</v>
      </c>
      <c r="FJ65" s="137">
        <f t="shared" si="80"/>
        <v>0</v>
      </c>
      <c r="FK65" s="135" t="str">
        <f t="shared" si="81"/>
        <v>F</v>
      </c>
      <c r="FL65" s="135" t="str">
        <f>VLOOKUP(RANK(FJ65,$FJ$10:$FJ$109),Sheet1!$A$381:$B$480,2,FALSE)</f>
        <v>1st</v>
      </c>
      <c r="FM65" s="166">
        <v>28</v>
      </c>
      <c r="FN65" s="166">
        <v>22</v>
      </c>
      <c r="FO65" s="137">
        <f t="shared" si="82"/>
        <v>50</v>
      </c>
      <c r="FP65" s="137" t="str">
        <f t="shared" si="253"/>
        <v>58</v>
      </c>
      <c r="FQ65" s="137">
        <f t="shared" si="84"/>
        <v>108</v>
      </c>
      <c r="FR65" s="137">
        <f t="shared" si="85"/>
        <v>54</v>
      </c>
      <c r="FS65" s="135" t="str">
        <f t="shared" si="86"/>
        <v>C</v>
      </c>
      <c r="FT65" s="135" t="str">
        <f>VLOOKUP(RANK(FR65,$FR$10:$FR$109),Sheet1!$A$381:$B$480,2,FALSE)</f>
        <v>29th</v>
      </c>
      <c r="FU65" s="149">
        <v>12</v>
      </c>
      <c r="FV65" s="149">
        <v>15</v>
      </c>
      <c r="FW65" s="137">
        <f t="shared" si="87"/>
        <v>27</v>
      </c>
      <c r="FX65" s="137" t="str">
        <f t="shared" si="254"/>
        <v>51</v>
      </c>
      <c r="FY65" s="137">
        <f t="shared" si="196"/>
        <v>27</v>
      </c>
      <c r="FZ65" s="137">
        <f t="shared" si="89"/>
        <v>13.5</v>
      </c>
      <c r="GA65" s="135" t="str">
        <f t="shared" si="90"/>
        <v>F</v>
      </c>
      <c r="GB65" s="135" t="str">
        <f>VLOOKUP(RANK(FZ65,$FZ$10:$FZ$109),Sheet1!$A$381:$B$480,2,FALSE)</f>
        <v>88th</v>
      </c>
      <c r="GC65" s="166">
        <v>5</v>
      </c>
      <c r="GD65" s="166">
        <v>21</v>
      </c>
      <c r="GE65" s="137">
        <f t="shared" si="91"/>
        <v>26</v>
      </c>
      <c r="GF65" s="137" t="str">
        <f t="shared" si="255"/>
        <v>37</v>
      </c>
      <c r="GG65" s="135">
        <f t="shared" si="270"/>
        <v>63</v>
      </c>
      <c r="GH65" s="137">
        <f t="shared" si="271"/>
        <v>31.5</v>
      </c>
      <c r="GI65" s="135" t="str">
        <f t="shared" si="93"/>
        <v>F</v>
      </c>
      <c r="GJ65" s="135" t="str">
        <f>VLOOKUP(RANK(GH65,$GH$10:$GH$109),Sheet1!$A$381:$B$480,2,FALSE)</f>
        <v>75th</v>
      </c>
      <c r="GK65" s="166">
        <v>25</v>
      </c>
      <c r="GL65" s="166">
        <v>9</v>
      </c>
      <c r="GM65" s="137">
        <f t="shared" si="94"/>
        <v>34</v>
      </c>
      <c r="GN65" s="137" t="str">
        <f t="shared" si="256"/>
        <v>57</v>
      </c>
      <c r="GO65" s="135">
        <f t="shared" si="272"/>
        <v>91</v>
      </c>
      <c r="GP65" s="137">
        <f t="shared" si="96"/>
        <v>45.5</v>
      </c>
      <c r="GQ65" s="135" t="str">
        <f t="shared" si="97"/>
        <v>D</v>
      </c>
      <c r="GR65" s="135" t="str">
        <f>VLOOKUP(RANK(GP65,$GP$10:$GP$109),Sheet1!$A$381:$B$480,2,FALSE)</f>
        <v>89th</v>
      </c>
      <c r="GS65" s="166">
        <v>19</v>
      </c>
      <c r="GT65" s="166">
        <v>15</v>
      </c>
      <c r="GU65" s="137">
        <f t="shared" si="98"/>
        <v>34</v>
      </c>
      <c r="GV65" s="137" t="str">
        <f t="shared" si="257"/>
        <v>30</v>
      </c>
      <c r="GW65" s="137">
        <f t="shared" si="100"/>
        <v>64</v>
      </c>
      <c r="GX65" s="137">
        <f t="shared" si="101"/>
        <v>32</v>
      </c>
      <c r="GY65" s="135" t="str">
        <f t="shared" si="102"/>
        <v>F</v>
      </c>
      <c r="GZ65" s="135" t="str">
        <f>VLOOKUP(RANK(GX65,$GX$10:$GX$109),Sheet1!$A$381:$B$480,2,FALSE)</f>
        <v>92nd</v>
      </c>
      <c r="HA65" s="166">
        <v>28</v>
      </c>
      <c r="HB65" s="166">
        <v>8</v>
      </c>
      <c r="HC65" s="137">
        <f t="shared" si="103"/>
        <v>36</v>
      </c>
      <c r="HD65" s="137" t="str">
        <f t="shared" si="258"/>
        <v>37</v>
      </c>
      <c r="HE65" s="137">
        <f t="shared" si="105"/>
        <v>73</v>
      </c>
      <c r="HF65" s="137">
        <f t="shared" si="106"/>
        <v>36.5</v>
      </c>
      <c r="HG65" s="135" t="str">
        <f t="shared" si="107"/>
        <v>E</v>
      </c>
      <c r="HH65" s="135" t="str">
        <f>VLOOKUP(RANK(HF65,$HF$10:$HF$109),Sheet1!$A$381:$B$480,2,FALSE)</f>
        <v>92nd</v>
      </c>
      <c r="HI65" s="149">
        <v>32</v>
      </c>
      <c r="HJ65" s="149">
        <v>33</v>
      </c>
      <c r="HK65" s="137">
        <f t="shared" si="108"/>
        <v>65</v>
      </c>
      <c r="HL65" s="137" t="str">
        <f t="shared" si="259"/>
        <v>48</v>
      </c>
      <c r="HM65" s="137">
        <f t="shared" si="110"/>
        <v>113</v>
      </c>
      <c r="HN65" s="137">
        <f t="shared" si="111"/>
        <v>56.5</v>
      </c>
      <c r="HO65" s="135" t="str">
        <f t="shared" si="112"/>
        <v>C</v>
      </c>
      <c r="HP65" s="135" t="str">
        <f>VLOOKUP(RANK(HN65,$HN$10:$HN$109),Sheet1!$A$381:$B$480,2,FALSE)</f>
        <v>81st</v>
      </c>
      <c r="HQ65" s="137"/>
      <c r="HR65" s="137"/>
      <c r="HS65" s="137">
        <f t="shared" si="113"/>
        <v>0</v>
      </c>
      <c r="HT65" s="137" t="str">
        <f t="shared" si="260"/>
        <v>0</v>
      </c>
      <c r="HU65" s="137">
        <f t="shared" si="115"/>
        <v>0</v>
      </c>
      <c r="HV65" s="137">
        <f t="shared" si="116"/>
        <v>0</v>
      </c>
      <c r="HW65" s="135" t="str">
        <f t="shared" si="117"/>
        <v>F</v>
      </c>
      <c r="HX65" s="135" t="str">
        <f>VLOOKUP(RANK(HV65,$HV$10:$HV$109),Sheet1!$A$381:$B$480,2,FALSE)</f>
        <v>1st</v>
      </c>
      <c r="HY65" s="137"/>
      <c r="HZ65" s="137"/>
      <c r="IA65" s="137">
        <f t="shared" si="261"/>
        <v>0</v>
      </c>
      <c r="IB65" s="137" t="str">
        <f t="shared" si="262"/>
        <v>0</v>
      </c>
      <c r="IC65" s="137">
        <f t="shared" si="120"/>
        <v>0</v>
      </c>
      <c r="ID65" s="137">
        <f t="shared" si="121"/>
        <v>0</v>
      </c>
      <c r="IE65" s="135" t="str">
        <f t="shared" si="122"/>
        <v>F</v>
      </c>
      <c r="IF65" s="135" t="str">
        <f>VLOOKUP(RANK(ID65,$ID$10:$ID$109),Sheet1!$A$381:$B$480,2,FALSE)</f>
        <v>1st</v>
      </c>
      <c r="IG65" s="135"/>
      <c r="IH65" s="135"/>
      <c r="II65" s="135">
        <f t="shared" si="273"/>
        <v>0</v>
      </c>
      <c r="IJ65" s="135" t="str">
        <f t="shared" si="274"/>
        <v>0</v>
      </c>
      <c r="IK65" s="135">
        <f t="shared" si="275"/>
        <v>0</v>
      </c>
      <c r="IL65" s="135">
        <f t="shared" si="276"/>
        <v>0</v>
      </c>
      <c r="IM65" s="135" t="str">
        <f t="shared" si="123"/>
        <v>F</v>
      </c>
      <c r="IN65" s="135" t="str">
        <f>VLOOKUP(RANK(IL65,$IL$10:$IL$109),Sheet1!$A$381:$B$480,2,FALSE)</f>
        <v>1st</v>
      </c>
      <c r="IO65" s="135">
        <f t="shared" si="277"/>
        <v>492.5</v>
      </c>
      <c r="IP65" s="177">
        <f t="shared" si="278"/>
        <v>28.970588235294102</v>
      </c>
      <c r="IQ65" s="135" t="str">
        <f>VLOOKUP(RANK(IP65,$IP$10:$IP$109),Sheet1!$A$381:$B$480,2,FALSE)</f>
        <v>87th</v>
      </c>
      <c r="IR65" s="178"/>
      <c r="IS65" s="137"/>
      <c r="IT65" s="137"/>
      <c r="IU65" s="137"/>
      <c r="IV65" s="137"/>
      <c r="IW65" s="181"/>
      <c r="IX65" s="184"/>
      <c r="IY65" s="186"/>
      <c r="IZ65" s="186">
        <f t="shared" si="206"/>
        <v>0</v>
      </c>
      <c r="JA65" s="186" t="str">
        <f t="shared" si="124"/>
        <v>73</v>
      </c>
      <c r="JB65" s="186" t="str">
        <f t="shared" si="125"/>
        <v>73</v>
      </c>
      <c r="JC65" s="186">
        <f t="shared" si="279"/>
        <v>146</v>
      </c>
      <c r="JD65" s="186">
        <f t="shared" si="280"/>
        <v>48.6666666666667</v>
      </c>
      <c r="JE65" s="135" t="str">
        <f t="shared" si="126"/>
        <v>D</v>
      </c>
      <c r="JF65" s="151" t="str">
        <f>VLOOKUP(RANK(JD65,$JD$10:$JD$109),Sheet1!$A$381:$B$480,2,FALSE)</f>
        <v>23rd</v>
      </c>
      <c r="JG65" s="186"/>
      <c r="JH65" s="186"/>
      <c r="JI65" s="186">
        <f t="shared" si="127"/>
        <v>0</v>
      </c>
      <c r="JJ65" s="186" t="str">
        <f t="shared" si="128"/>
        <v>61</v>
      </c>
      <c r="JK65" s="186" t="str">
        <f t="shared" si="129"/>
        <v>45</v>
      </c>
      <c r="JL65" s="186">
        <f t="shared" si="281"/>
        <v>106</v>
      </c>
      <c r="JM65" s="186">
        <f t="shared" si="282"/>
        <v>35.3333333333333</v>
      </c>
      <c r="JN65" s="135" t="str">
        <f t="shared" si="130"/>
        <v>E</v>
      </c>
      <c r="JO65" s="151" t="str">
        <f>VLOOKUP(RANK(JM65,$JM$10:$JM$109),Sheet1!$A$381:$B$480,2,FALSE)</f>
        <v>31st</v>
      </c>
      <c r="JP65" s="186"/>
      <c r="JQ65" s="186"/>
      <c r="JR65" s="186">
        <f t="shared" si="131"/>
        <v>0</v>
      </c>
      <c r="JS65" s="186" t="str">
        <f t="shared" si="132"/>
        <v>30</v>
      </c>
      <c r="JT65" s="186" t="str">
        <f t="shared" si="133"/>
        <v>38</v>
      </c>
      <c r="JU65" s="186">
        <f t="shared" si="283"/>
        <v>68</v>
      </c>
      <c r="JV65" s="186">
        <f t="shared" si="284"/>
        <v>22.6666666666667</v>
      </c>
      <c r="JW65" s="135" t="str">
        <f t="shared" si="134"/>
        <v>F</v>
      </c>
      <c r="JX65" s="151" t="str">
        <f>VLOOKUP(RANK(JV65,$JV$10:$JV$109),Sheet1!$A$381:$B$480,2,FALSE)</f>
        <v>90th</v>
      </c>
      <c r="JY65" s="186"/>
      <c r="JZ65" s="186"/>
      <c r="KA65" s="186">
        <f t="shared" si="135"/>
        <v>0</v>
      </c>
      <c r="KB65" s="186" t="str">
        <f t="shared" si="136"/>
        <v>21</v>
      </c>
      <c r="KC65" s="186" t="str">
        <f t="shared" si="137"/>
        <v>34</v>
      </c>
      <c r="KD65" s="186">
        <f t="shared" si="285"/>
        <v>55</v>
      </c>
      <c r="KE65" s="186">
        <f t="shared" si="286"/>
        <v>18.3333333333333</v>
      </c>
      <c r="KF65" s="135" t="str">
        <f t="shared" si="138"/>
        <v>F</v>
      </c>
      <c r="KG65" s="151" t="str">
        <f>VLOOKUP(RANK(KE65,$KE$10:$KE$109),Sheet1!$A$381:$B$480,2,FALSE)</f>
        <v>98th</v>
      </c>
      <c r="KH65" s="186"/>
      <c r="KI65" s="186"/>
      <c r="KJ65" s="186">
        <f t="shared" si="139"/>
        <v>0</v>
      </c>
      <c r="KK65" s="186" t="str">
        <f t="shared" si="140"/>
        <v>31</v>
      </c>
      <c r="KL65" s="186" t="str">
        <f t="shared" si="141"/>
        <v>40</v>
      </c>
      <c r="KM65" s="186">
        <f t="shared" si="287"/>
        <v>71</v>
      </c>
      <c r="KN65" s="186">
        <f t="shared" si="288"/>
        <v>23.6666666666667</v>
      </c>
      <c r="KO65" s="135" t="str">
        <f t="shared" si="142"/>
        <v>F</v>
      </c>
      <c r="KP65" s="151" t="str">
        <f>VLOOKUP(RANK(KN65,$KN$10:$KN$109),Sheet1!$A$381:$B$480,2,FALSE)</f>
        <v>83rd</v>
      </c>
      <c r="KQ65" s="186"/>
      <c r="KR65" s="186"/>
      <c r="KS65" s="186">
        <f t="shared" si="143"/>
        <v>0</v>
      </c>
      <c r="KT65" s="186" t="str">
        <f t="shared" si="144"/>
        <v>0</v>
      </c>
      <c r="KU65" s="186" t="str">
        <f t="shared" si="145"/>
        <v>0</v>
      </c>
      <c r="KV65" s="186">
        <f t="shared" si="289"/>
        <v>0</v>
      </c>
      <c r="KW65" s="186">
        <f t="shared" si="290"/>
        <v>0</v>
      </c>
      <c r="KX65" s="135" t="str">
        <f t="shared" si="146"/>
        <v>F</v>
      </c>
      <c r="KY65" s="151" t="str">
        <f>VLOOKUP(RANK(KW65,$KW$10:$KW$109),Sheet1!$A$381:$B$480,2,FALSE)</f>
        <v>1st</v>
      </c>
      <c r="KZ65" s="186"/>
      <c r="LA65" s="186"/>
      <c r="LB65" s="186">
        <f t="shared" si="147"/>
        <v>0</v>
      </c>
      <c r="LC65" s="186" t="str">
        <f t="shared" si="148"/>
        <v>0</v>
      </c>
      <c r="LD65" s="186" t="str">
        <f t="shared" si="149"/>
        <v>0</v>
      </c>
      <c r="LE65" s="186">
        <f t="shared" si="291"/>
        <v>0</v>
      </c>
      <c r="LF65" s="186">
        <f t="shared" si="292"/>
        <v>0</v>
      </c>
      <c r="LG65" s="135" t="str">
        <f t="shared" si="150"/>
        <v>F</v>
      </c>
      <c r="LH65" s="151" t="str">
        <f>VLOOKUP(RANK(LF65,$LF$10:$LF$109),Sheet1!$A$381:$B$480,2,FALSE)</f>
        <v>1st</v>
      </c>
      <c r="LI65" s="186"/>
      <c r="LJ65" s="186"/>
      <c r="LK65" s="186">
        <f t="shared" si="151"/>
        <v>0</v>
      </c>
      <c r="LL65" s="186" t="str">
        <f t="shared" si="152"/>
        <v>58</v>
      </c>
      <c r="LM65" s="186" t="str">
        <f t="shared" si="153"/>
        <v>50</v>
      </c>
      <c r="LN65" s="186">
        <f t="shared" si="293"/>
        <v>108</v>
      </c>
      <c r="LO65" s="186">
        <f t="shared" si="294"/>
        <v>36</v>
      </c>
      <c r="LP65" s="135" t="str">
        <f t="shared" si="154"/>
        <v>E</v>
      </c>
      <c r="LQ65" s="151" t="str">
        <f>VLOOKUP(RANK(LO65,$LO$10:$LO$109),Sheet1!$A$381:$B$480,2,FALSE)</f>
        <v>29th</v>
      </c>
      <c r="LR65" s="186"/>
      <c r="LS65" s="186"/>
      <c r="LT65" s="186">
        <f t="shared" si="155"/>
        <v>0</v>
      </c>
      <c r="LU65" s="186" t="str">
        <f t="shared" si="156"/>
        <v>51</v>
      </c>
      <c r="LV65" s="186" t="str">
        <f t="shared" si="157"/>
        <v>27</v>
      </c>
      <c r="LW65" s="186">
        <f t="shared" si="295"/>
        <v>78</v>
      </c>
      <c r="LX65" s="186">
        <f t="shared" si="296"/>
        <v>26</v>
      </c>
      <c r="LY65" s="135" t="str">
        <f t="shared" si="158"/>
        <v>F</v>
      </c>
      <c r="LZ65" s="151" t="str">
        <f>VLOOKUP(RANK(LX65,$LX$10:$LX$109),Sheet1!$A$381:$B$480,2,FALSE)</f>
        <v>85th</v>
      </c>
      <c r="MA65" s="186"/>
      <c r="MB65" s="186"/>
      <c r="MC65" s="186">
        <f t="shared" si="159"/>
        <v>0</v>
      </c>
      <c r="MD65" s="186" t="str">
        <f t="shared" si="160"/>
        <v>37</v>
      </c>
      <c r="ME65" s="186" t="str">
        <f t="shared" si="161"/>
        <v>26</v>
      </c>
      <c r="MF65" s="183">
        <f t="shared" si="297"/>
        <v>63</v>
      </c>
      <c r="MG65" s="151">
        <f t="shared" si="298"/>
        <v>21</v>
      </c>
      <c r="MH65" s="135" t="str">
        <f t="shared" si="162"/>
        <v>F</v>
      </c>
      <c r="MI65" s="151" t="str">
        <f>VLOOKUP(RANK(MG65,$MG$10:$MG$109),Sheet1!$A$381:$B$480,2,FALSE)</f>
        <v>75th</v>
      </c>
      <c r="MJ65" s="186"/>
      <c r="MK65" s="186"/>
      <c r="ML65" s="186">
        <f t="shared" si="163"/>
        <v>0</v>
      </c>
      <c r="MM65" s="186" t="str">
        <f t="shared" si="164"/>
        <v>57</v>
      </c>
      <c r="MN65" s="186" t="str">
        <f t="shared" si="165"/>
        <v>34</v>
      </c>
      <c r="MO65" s="186">
        <f t="shared" si="299"/>
        <v>91</v>
      </c>
      <c r="MP65" s="186">
        <f t="shared" si="300"/>
        <v>30.3333333333333</v>
      </c>
      <c r="MQ65" s="135" t="str">
        <f t="shared" si="166"/>
        <v>F</v>
      </c>
      <c r="MR65" s="151" t="str">
        <f>VLOOKUP(RANK(MP65,$MP$10:$MP$109),Sheet1!$A$381:$B$480,2,FALSE)</f>
        <v>89th</v>
      </c>
      <c r="MS65" s="186"/>
      <c r="MT65" s="186"/>
      <c r="MU65" s="186">
        <f t="shared" si="167"/>
        <v>0</v>
      </c>
      <c r="MV65" s="186" t="str">
        <f t="shared" si="168"/>
        <v>30</v>
      </c>
      <c r="MW65" s="186" t="str">
        <f t="shared" si="169"/>
        <v>34</v>
      </c>
      <c r="MX65" s="186">
        <f t="shared" si="301"/>
        <v>64</v>
      </c>
      <c r="MY65" s="186">
        <f t="shared" si="302"/>
        <v>21.3333333333333</v>
      </c>
      <c r="MZ65" s="135" t="str">
        <f t="shared" si="170"/>
        <v>F</v>
      </c>
      <c r="NA65" s="151" t="str">
        <f>VLOOKUP(RANK(MY65,$MY$10:$MY$109),Sheet1!$A$381:$B$480,2,FALSE)</f>
        <v>92nd</v>
      </c>
      <c r="NB65" s="186"/>
      <c r="NC65" s="186"/>
      <c r="ND65" s="186">
        <f t="shared" si="171"/>
        <v>0</v>
      </c>
      <c r="NE65" s="186" t="str">
        <f t="shared" si="172"/>
        <v>37</v>
      </c>
      <c r="NF65" s="186" t="str">
        <f t="shared" si="173"/>
        <v>36</v>
      </c>
      <c r="NG65" s="186">
        <f t="shared" si="303"/>
        <v>73</v>
      </c>
      <c r="NH65" s="186">
        <f t="shared" si="304"/>
        <v>24.3333333333333</v>
      </c>
      <c r="NI65" s="135" t="str">
        <f t="shared" si="174"/>
        <v>F</v>
      </c>
      <c r="NJ65" s="151" t="str">
        <f>VLOOKUP(RANK(NH65,$NH$10:$NH$109),Sheet1!$A$381:$B$480,2,FALSE)</f>
        <v>92nd</v>
      </c>
      <c r="NK65" s="186"/>
      <c r="NL65" s="186"/>
      <c r="NM65" s="186">
        <f t="shared" si="175"/>
        <v>0</v>
      </c>
      <c r="NN65" s="186" t="str">
        <f t="shared" si="176"/>
        <v>48</v>
      </c>
      <c r="NO65" s="186" t="str">
        <f t="shared" si="177"/>
        <v>65</v>
      </c>
      <c r="NP65" s="186">
        <f t="shared" si="305"/>
        <v>113</v>
      </c>
      <c r="NQ65" s="186">
        <f t="shared" si="263"/>
        <v>37.6666666666667</v>
      </c>
      <c r="NR65" s="135" t="str">
        <f t="shared" si="179"/>
        <v>E</v>
      </c>
      <c r="NS65" s="151" t="str">
        <f>VLOOKUP(RANK(NQ65,$NQ$10:$NQ$109),Sheet1!$A$381:$B$480,2,FALSE)</f>
        <v>81st</v>
      </c>
      <c r="NT65" s="186"/>
      <c r="NU65" s="186"/>
      <c r="NV65" s="186">
        <f t="shared" si="180"/>
        <v>0</v>
      </c>
      <c r="NW65" s="186" t="str">
        <f t="shared" si="181"/>
        <v>0</v>
      </c>
      <c r="NX65" s="186" t="str">
        <f t="shared" si="182"/>
        <v>0</v>
      </c>
      <c r="NY65" s="186">
        <f t="shared" si="306"/>
        <v>0</v>
      </c>
      <c r="NZ65" s="186">
        <f t="shared" si="264"/>
        <v>0</v>
      </c>
      <c r="OA65" s="135" t="str">
        <f t="shared" si="184"/>
        <v>F</v>
      </c>
      <c r="OB65" s="151" t="str">
        <f>VLOOKUP(RANK(NZ65,$NZ$10:$NZ$109),Sheet1!$A$381:$B$480,2,FALSE)</f>
        <v>1st</v>
      </c>
      <c r="OC65" s="186"/>
      <c r="OD65" s="186"/>
      <c r="OE65" s="186">
        <f t="shared" si="185"/>
        <v>0</v>
      </c>
      <c r="OF65" s="186" t="str">
        <f t="shared" si="186"/>
        <v>0</v>
      </c>
      <c r="OG65" s="186" t="str">
        <f t="shared" si="187"/>
        <v>0</v>
      </c>
      <c r="OH65" s="186">
        <f t="shared" si="307"/>
        <v>0</v>
      </c>
      <c r="OI65" s="186">
        <f t="shared" si="236"/>
        <v>0</v>
      </c>
      <c r="OJ65" s="135" t="str">
        <f t="shared" si="188"/>
        <v>F</v>
      </c>
      <c r="OK65" s="151" t="str">
        <f>VLOOKUP(RANK(OI65,$OI$10:$OI$109),Sheet1!$A$381:$B$480,2,FALSE)</f>
        <v>1st</v>
      </c>
      <c r="OL65" s="151"/>
      <c r="OM65" s="151"/>
      <c r="ON65" s="151">
        <f t="shared" si="308"/>
        <v>0</v>
      </c>
      <c r="OO65" s="151" t="str">
        <f t="shared" si="309"/>
        <v>0</v>
      </c>
      <c r="OP65" s="151" t="str">
        <f t="shared" si="310"/>
        <v>0</v>
      </c>
      <c r="OQ65" s="151">
        <f t="shared" si="311"/>
        <v>0</v>
      </c>
      <c r="OR65" s="151">
        <f t="shared" si="312"/>
        <v>0</v>
      </c>
      <c r="OS65" s="135" t="str">
        <f t="shared" si="189"/>
        <v>F</v>
      </c>
      <c r="OT65" s="151" t="str">
        <f>VLOOKUP(RANK(OR65,$OI$10:$OI$109),Sheet1!$A$381:$B$480,2,FALSE)</f>
        <v>1st</v>
      </c>
      <c r="OU65" s="151">
        <f t="shared" si="313"/>
        <v>345.33333333333297</v>
      </c>
      <c r="OV65" s="151">
        <f t="shared" si="314"/>
        <v>20.313725490196099</v>
      </c>
      <c r="OW65" s="151" t="str">
        <f>VLOOKUP(RANK(OV65,$OV$10:$OV$109),Sheet1!$A$381:$B$480,2,FALSE)</f>
        <v>87th</v>
      </c>
      <c r="OX65" s="151"/>
      <c r="OY65" s="186"/>
      <c r="OZ65" s="186"/>
      <c r="PA65" s="186"/>
      <c r="PB65" s="186"/>
    </row>
    <row r="66" spans="1:418" s="118" customFormat="1" ht="18.75">
      <c r="A66" s="131">
        <v>57</v>
      </c>
      <c r="B66" s="132" t="s">
        <v>156</v>
      </c>
      <c r="C66" s="133" t="s">
        <v>97</v>
      </c>
      <c r="D66" s="134">
        <v>22</v>
      </c>
      <c r="E66" s="134">
        <v>40</v>
      </c>
      <c r="F66" s="137">
        <f t="shared" si="0"/>
        <v>62</v>
      </c>
      <c r="G66" s="137">
        <f t="shared" si="1"/>
        <v>62</v>
      </c>
      <c r="H66" s="135" t="str">
        <f t="shared" si="265"/>
        <v>B</v>
      </c>
      <c r="I66" s="135" t="str">
        <f>VLOOKUP(RANK(G66,$G$10:$G$109),Sheet1!$A$381:$B$480,2,FALSE)</f>
        <v>76th</v>
      </c>
      <c r="J66" s="134">
        <v>10</v>
      </c>
      <c r="K66" s="134" t="s">
        <v>105</v>
      </c>
      <c r="L66" s="137">
        <f t="shared" si="2"/>
        <v>10</v>
      </c>
      <c r="M66" s="137">
        <f t="shared" si="3"/>
        <v>10</v>
      </c>
      <c r="N66" s="135" t="str">
        <f t="shared" si="4"/>
        <v>F</v>
      </c>
      <c r="O66" s="141" t="str">
        <f>VLOOKUP(RANK(M66,$M$10:$M$109),Sheet1!$A$381:$B$480,2,FALSE)</f>
        <v>99th</v>
      </c>
      <c r="P66" s="144">
        <v>29</v>
      </c>
      <c r="Q66" s="144">
        <v>1</v>
      </c>
      <c r="R66" s="147">
        <f t="shared" si="5"/>
        <v>30</v>
      </c>
      <c r="S66" s="137">
        <f t="shared" si="6"/>
        <v>30</v>
      </c>
      <c r="T66" s="135" t="str">
        <f t="shared" si="7"/>
        <v>F</v>
      </c>
      <c r="U66" s="135" t="str">
        <f>VLOOKUP(RANK(S66,$S$10:$S$109),Sheet1!$A$381:$B$480,2,FALSE)</f>
        <v>80th</v>
      </c>
      <c r="V66" s="134">
        <v>25</v>
      </c>
      <c r="W66" s="134">
        <v>15</v>
      </c>
      <c r="X66" s="137">
        <f t="shared" si="191"/>
        <v>40</v>
      </c>
      <c r="Y66" s="137">
        <f t="shared" si="244"/>
        <v>40</v>
      </c>
      <c r="Z66" s="135" t="str">
        <f t="shared" si="8"/>
        <v>D</v>
      </c>
      <c r="AA66" s="135" t="str">
        <f>VLOOKUP(RANK(Y66,$Y$10:$Y$109),Sheet1!$A$381:$B$480,2,FALSE)</f>
        <v>89th</v>
      </c>
      <c r="AB66" s="134">
        <v>29</v>
      </c>
      <c r="AC66" s="134">
        <v>1</v>
      </c>
      <c r="AD66" s="137">
        <f t="shared" si="9"/>
        <v>30</v>
      </c>
      <c r="AE66" s="137">
        <f t="shared" si="10"/>
        <v>30</v>
      </c>
      <c r="AF66" s="135" t="str">
        <f t="shared" si="11"/>
        <v>F</v>
      </c>
      <c r="AG66" s="135" t="str">
        <f>VLOOKUP(RANK(AE66,$AE$10:$AE$109),Sheet1!$A$381:$B$480,2,FALSE)</f>
        <v>94th</v>
      </c>
      <c r="AH66" s="137"/>
      <c r="AI66" s="137"/>
      <c r="AJ66" s="137">
        <f t="shared" si="12"/>
        <v>0</v>
      </c>
      <c r="AK66" s="137">
        <f t="shared" si="13"/>
        <v>0</v>
      </c>
      <c r="AL66" s="135" t="str">
        <f t="shared" si="14"/>
        <v>F</v>
      </c>
      <c r="AM66" s="135" t="str">
        <f>VLOOKUP(RANK(AK66,$AK$10:$AK$109),Sheet1!$A$381:$B$480,2,FALSE)</f>
        <v>1st</v>
      </c>
      <c r="AN66" s="134"/>
      <c r="AO66" s="134"/>
      <c r="AP66" s="137">
        <f t="shared" si="15"/>
        <v>0</v>
      </c>
      <c r="AQ66" s="137">
        <f t="shared" si="16"/>
        <v>0</v>
      </c>
      <c r="AR66" s="135" t="str">
        <f t="shared" si="17"/>
        <v>F</v>
      </c>
      <c r="AS66" s="135" t="str">
        <f>VLOOKUP(RANK(AQ66,$AQ$10:$AQ$109),Sheet1!$A$381:$B$480,2,FALSE)</f>
        <v>1st</v>
      </c>
      <c r="AT66" s="142">
        <v>25</v>
      </c>
      <c r="AU66" s="145">
        <v>25</v>
      </c>
      <c r="AV66" s="137">
        <f t="shared" si="18"/>
        <v>50</v>
      </c>
      <c r="AW66" s="137">
        <f t="shared" si="19"/>
        <v>50</v>
      </c>
      <c r="AX66" s="135" t="str">
        <f t="shared" si="20"/>
        <v>C</v>
      </c>
      <c r="AY66" s="141" t="str">
        <f>VLOOKUP(RANK(AW66,$AW$10:$AW$109),Sheet1!$A$381:$B$480,2,FALSE)</f>
        <v>58th</v>
      </c>
      <c r="AZ66" s="144">
        <v>30</v>
      </c>
      <c r="BA66" s="144">
        <v>10</v>
      </c>
      <c r="BB66" s="147">
        <f t="shared" si="21"/>
        <v>40</v>
      </c>
      <c r="BC66" s="137">
        <f t="shared" si="22"/>
        <v>40</v>
      </c>
      <c r="BD66" s="135" t="str">
        <f t="shared" si="23"/>
        <v>D</v>
      </c>
      <c r="BE66" s="135" t="str">
        <f>VLOOKUP(RANK(BC66,$BC$10:$BC$109),Sheet1!$A$381:$B$480,2,FALSE)</f>
        <v>85th</v>
      </c>
      <c r="BF66" s="144">
        <v>11</v>
      </c>
      <c r="BG66" s="144">
        <v>12</v>
      </c>
      <c r="BH66" s="137">
        <f t="shared" si="24"/>
        <v>23</v>
      </c>
      <c r="BI66" s="137">
        <f t="shared" si="25"/>
        <v>23</v>
      </c>
      <c r="BJ66" s="135" t="str">
        <f t="shared" si="26"/>
        <v>F</v>
      </c>
      <c r="BK66" s="141" t="str">
        <f>VLOOKUP(RANK(BI66,$BI$10:$BI$109),Sheet1!$A$381:$B$480,2,FALSE)</f>
        <v>89th</v>
      </c>
      <c r="BL66" s="149">
        <v>26</v>
      </c>
      <c r="BM66" s="149">
        <v>24</v>
      </c>
      <c r="BN66" s="147">
        <f t="shared" si="27"/>
        <v>50</v>
      </c>
      <c r="BO66" s="137">
        <f t="shared" si="28"/>
        <v>50</v>
      </c>
      <c r="BP66" s="135" t="str">
        <f t="shared" si="29"/>
        <v>C</v>
      </c>
      <c r="BQ66" s="141" t="str">
        <f>VLOOKUP(RANK(BO66,$BO$10:$BO$109),Sheet1!$A$381:$B$480,2,FALSE)</f>
        <v>85th</v>
      </c>
      <c r="BR66" s="149">
        <v>29</v>
      </c>
      <c r="BS66" s="149">
        <v>2</v>
      </c>
      <c r="BT66" s="147">
        <f t="shared" si="30"/>
        <v>31</v>
      </c>
      <c r="BU66" s="137">
        <f t="shared" si="31"/>
        <v>31</v>
      </c>
      <c r="BV66" s="135" t="str">
        <f t="shared" si="32"/>
        <v>F</v>
      </c>
      <c r="BW66" s="135" t="str">
        <f>VLOOKUP(RANK(BU66,$BU$10:$BU$109),Sheet1!$A$381:$B$480,2,FALSE)</f>
        <v>92nd</v>
      </c>
      <c r="BX66" s="149">
        <v>28</v>
      </c>
      <c r="BY66" s="149">
        <v>10</v>
      </c>
      <c r="BZ66" s="137">
        <f t="shared" si="33"/>
        <v>38</v>
      </c>
      <c r="CA66" s="137">
        <f t="shared" si="34"/>
        <v>38</v>
      </c>
      <c r="CB66" s="135" t="str">
        <f t="shared" si="35"/>
        <v>E</v>
      </c>
      <c r="CC66" s="135" t="str">
        <f>VLOOKUP(RANK(CA66,$CA$10:$CA$109),Sheet1!$A$381:$B$480,2,FALSE)</f>
        <v>61st</v>
      </c>
      <c r="CD66" s="149">
        <v>20</v>
      </c>
      <c r="CE66" s="149">
        <v>20</v>
      </c>
      <c r="CF66" s="137">
        <f t="shared" si="36"/>
        <v>40</v>
      </c>
      <c r="CG66" s="137">
        <f t="shared" si="37"/>
        <v>40</v>
      </c>
      <c r="CH66" s="135" t="str">
        <f t="shared" si="38"/>
        <v>D</v>
      </c>
      <c r="CI66" s="135" t="str">
        <f>VLOOKUP(RANK(CG66,$CG$10:$CG$109),Sheet1!$A$381:$B$480,2,FALSE)</f>
        <v>94th</v>
      </c>
      <c r="CJ66" s="137"/>
      <c r="CK66" s="137"/>
      <c r="CL66" s="137">
        <f t="shared" si="39"/>
        <v>0</v>
      </c>
      <c r="CM66" s="137">
        <f t="shared" si="40"/>
        <v>0</v>
      </c>
      <c r="CN66" s="135" t="str">
        <f t="shared" si="41"/>
        <v>F</v>
      </c>
      <c r="CO66" s="135" t="str">
        <f>VLOOKUP(RANK(CM66,$CM$10:$CM$109),Sheet1!$A$381:$B$480,2,FALSE)</f>
        <v>1st</v>
      </c>
      <c r="CP66" s="137"/>
      <c r="CQ66" s="137"/>
      <c r="CR66" s="137">
        <f t="shared" si="42"/>
        <v>0</v>
      </c>
      <c r="CS66" s="137">
        <f t="shared" si="43"/>
        <v>0</v>
      </c>
      <c r="CT66" s="135" t="str">
        <f t="shared" si="44"/>
        <v>F</v>
      </c>
      <c r="CU66" s="135" t="str">
        <f>VLOOKUP(RANK(CS66,$CS$10:$CS$109),Sheet1!$A$381:$B$480,2,FALSE)</f>
        <v>1st</v>
      </c>
      <c r="CV66" s="151"/>
      <c r="CW66" s="135"/>
      <c r="CX66" s="151">
        <f t="shared" si="266"/>
        <v>0</v>
      </c>
      <c r="CY66" s="151">
        <f t="shared" si="267"/>
        <v>0</v>
      </c>
      <c r="CZ66" s="135" t="str">
        <f t="shared" si="45"/>
        <v>F</v>
      </c>
      <c r="DA66" s="135" t="str">
        <f>VLOOKUP(RANK(CY66,$CY$10:$CY$109),Sheet1!$A$381:$B$480,2,FALSE)</f>
        <v>1st</v>
      </c>
      <c r="DB66" s="135"/>
      <c r="DC66" s="151">
        <f t="shared" si="268"/>
        <v>444</v>
      </c>
      <c r="DD66" s="151">
        <f t="shared" si="269"/>
        <v>26.117647058823501</v>
      </c>
      <c r="DE66" s="135" t="str">
        <f>VLOOKUP(RANK(DD66,$DD$10:$DD$109),Sheet1!$A$381:$B$480,2,FALSE)</f>
        <v>100th</v>
      </c>
      <c r="DF66" s="137"/>
      <c r="DG66" s="160">
        <f t="shared" si="46"/>
        <v>470.11764705882399</v>
      </c>
      <c r="DH66" s="119"/>
      <c r="DI66" s="162">
        <v>17</v>
      </c>
      <c r="DJ66" s="162">
        <v>48</v>
      </c>
      <c r="DK66" s="137">
        <f t="shared" si="47"/>
        <v>65</v>
      </c>
      <c r="DL66" s="137" t="str">
        <f t="shared" si="245"/>
        <v>62</v>
      </c>
      <c r="DM66" s="137">
        <f t="shared" si="49"/>
        <v>127</v>
      </c>
      <c r="DN66" s="137">
        <f t="shared" si="50"/>
        <v>63.5</v>
      </c>
      <c r="DO66" s="135" t="str">
        <f t="shared" si="51"/>
        <v>B</v>
      </c>
      <c r="DP66" s="135" t="str">
        <f>VLOOKUP(RANK(DN66,$DN$10:$DN$109),Sheet1!$A$381:$B$480,2,FALSE)</f>
        <v>63rd</v>
      </c>
      <c r="DQ66" s="166">
        <v>23</v>
      </c>
      <c r="DR66" s="166">
        <v>21</v>
      </c>
      <c r="DS66" s="137">
        <f t="shared" si="52"/>
        <v>44</v>
      </c>
      <c r="DT66" s="137" t="str">
        <f t="shared" si="246"/>
        <v>10</v>
      </c>
      <c r="DU66" s="137">
        <f t="shared" si="54"/>
        <v>54</v>
      </c>
      <c r="DV66" s="137">
        <f t="shared" si="247"/>
        <v>27</v>
      </c>
      <c r="DW66" s="135" t="str">
        <f t="shared" si="56"/>
        <v>F</v>
      </c>
      <c r="DX66" s="135" t="str">
        <f>VLOOKUP(RANK(DV66,$DV$10:$DV$109),Sheet1!$A$381:$B$480,2,FALSE)</f>
        <v>95th</v>
      </c>
      <c r="DY66" s="168">
        <v>25</v>
      </c>
      <c r="DZ66" s="168">
        <v>14</v>
      </c>
      <c r="EA66" s="137">
        <f t="shared" si="57"/>
        <v>39</v>
      </c>
      <c r="EB66" s="137" t="str">
        <f t="shared" si="248"/>
        <v>30</v>
      </c>
      <c r="EC66" s="137">
        <f t="shared" si="59"/>
        <v>69</v>
      </c>
      <c r="ED66" s="137">
        <f t="shared" si="60"/>
        <v>34.5</v>
      </c>
      <c r="EE66" s="135" t="str">
        <f t="shared" si="61"/>
        <v>F</v>
      </c>
      <c r="EF66" s="135" t="str">
        <f>VLOOKUP(RANK(ED66,$ED$10:$ED$109),Sheet1!$A$381:$B$480,2,FALSE)</f>
        <v>89th</v>
      </c>
      <c r="EG66" s="162">
        <v>14</v>
      </c>
      <c r="EH66" s="162">
        <v>15</v>
      </c>
      <c r="EI66" s="137">
        <f t="shared" si="62"/>
        <v>29</v>
      </c>
      <c r="EJ66" s="137" t="str">
        <f t="shared" si="249"/>
        <v>40</v>
      </c>
      <c r="EK66" s="137">
        <f t="shared" si="64"/>
        <v>69</v>
      </c>
      <c r="EL66" s="137">
        <f t="shared" si="65"/>
        <v>34.5</v>
      </c>
      <c r="EM66" s="135" t="str">
        <f t="shared" si="66"/>
        <v>F</v>
      </c>
      <c r="EN66" s="135" t="str">
        <f>VLOOKUP(RANK(EL66,$EL$10:$EL$109),Sheet1!$A$381:$B$480,2,FALSE)</f>
        <v>93rd</v>
      </c>
      <c r="EO66" s="162">
        <v>27</v>
      </c>
      <c r="EP66" s="162">
        <v>8</v>
      </c>
      <c r="EQ66" s="137">
        <f t="shared" si="67"/>
        <v>35</v>
      </c>
      <c r="ER66" s="137" t="str">
        <f t="shared" si="250"/>
        <v>30</v>
      </c>
      <c r="ES66" s="137">
        <f t="shared" si="69"/>
        <v>65</v>
      </c>
      <c r="ET66" s="137">
        <f t="shared" si="70"/>
        <v>32.5</v>
      </c>
      <c r="EU66" s="135" t="str">
        <f t="shared" si="71"/>
        <v>F</v>
      </c>
      <c r="EV66" s="135" t="str">
        <f>VLOOKUP(RANK(ET66,$ET$10:$ET$109),Sheet1!$A$381:$B$480,2,FALSE)</f>
        <v>94th</v>
      </c>
      <c r="EW66" s="137"/>
      <c r="EX66" s="137"/>
      <c r="EY66" s="137">
        <f t="shared" si="72"/>
        <v>0</v>
      </c>
      <c r="EZ66" s="137" t="str">
        <f t="shared" si="251"/>
        <v>0</v>
      </c>
      <c r="FA66" s="137">
        <f t="shared" si="74"/>
        <v>0</v>
      </c>
      <c r="FB66" s="137">
        <f t="shared" si="75"/>
        <v>0</v>
      </c>
      <c r="FC66" s="135" t="str">
        <f t="shared" si="76"/>
        <v>F</v>
      </c>
      <c r="FD66" s="135" t="str">
        <f>VLOOKUP(RANK(FB66,$FB$10:$FB$109),Sheet1!$A$381:$B$480,2,FALSE)</f>
        <v>1st</v>
      </c>
      <c r="FE66" s="137"/>
      <c r="FF66" s="137"/>
      <c r="FG66" s="137">
        <f t="shared" si="77"/>
        <v>0</v>
      </c>
      <c r="FH66" s="137" t="str">
        <f t="shared" si="252"/>
        <v>0</v>
      </c>
      <c r="FI66" s="137">
        <f t="shared" si="79"/>
        <v>0</v>
      </c>
      <c r="FJ66" s="137">
        <f t="shared" si="80"/>
        <v>0</v>
      </c>
      <c r="FK66" s="135" t="str">
        <f t="shared" si="81"/>
        <v>F</v>
      </c>
      <c r="FL66" s="135" t="str">
        <f>VLOOKUP(RANK(FJ66,$FJ$10:$FJ$109),Sheet1!$A$381:$B$480,2,FALSE)</f>
        <v>1st</v>
      </c>
      <c r="FM66" s="164">
        <v>27</v>
      </c>
      <c r="FN66" s="165">
        <v>27</v>
      </c>
      <c r="FO66" s="137">
        <f t="shared" si="82"/>
        <v>54</v>
      </c>
      <c r="FP66" s="137" t="str">
        <f t="shared" si="253"/>
        <v>50</v>
      </c>
      <c r="FQ66" s="137">
        <f t="shared" si="84"/>
        <v>104</v>
      </c>
      <c r="FR66" s="137">
        <f t="shared" si="85"/>
        <v>52</v>
      </c>
      <c r="FS66" s="135" t="str">
        <f t="shared" si="86"/>
        <v>C</v>
      </c>
      <c r="FT66" s="135" t="str">
        <f>VLOOKUP(RANK(FR66,$FR$10:$FR$109),Sheet1!$A$381:$B$480,2,FALSE)</f>
        <v>45th</v>
      </c>
      <c r="FU66" s="149">
        <v>15</v>
      </c>
      <c r="FV66" s="149">
        <v>15</v>
      </c>
      <c r="FW66" s="137">
        <f t="shared" si="87"/>
        <v>30</v>
      </c>
      <c r="FX66" s="137" t="str">
        <f t="shared" si="254"/>
        <v>40</v>
      </c>
      <c r="FY66" s="137">
        <f t="shared" si="196"/>
        <v>30</v>
      </c>
      <c r="FZ66" s="137">
        <f t="shared" si="89"/>
        <v>15</v>
      </c>
      <c r="GA66" s="135" t="str">
        <f t="shared" si="90"/>
        <v>F</v>
      </c>
      <c r="GB66" s="135" t="str">
        <f>VLOOKUP(RANK(FZ66,$FZ$10:$FZ$109),Sheet1!$A$381:$B$480,2,FALSE)</f>
        <v>85th</v>
      </c>
      <c r="GC66" s="166">
        <v>6</v>
      </c>
      <c r="GD66" s="166">
        <v>25</v>
      </c>
      <c r="GE66" s="137">
        <f t="shared" si="91"/>
        <v>31</v>
      </c>
      <c r="GF66" s="137" t="str">
        <f t="shared" si="255"/>
        <v>23</v>
      </c>
      <c r="GG66" s="135">
        <f t="shared" si="270"/>
        <v>54</v>
      </c>
      <c r="GH66" s="137">
        <f t="shared" si="271"/>
        <v>27</v>
      </c>
      <c r="GI66" s="135" t="str">
        <f t="shared" si="93"/>
        <v>F</v>
      </c>
      <c r="GJ66" s="135" t="str">
        <f>VLOOKUP(RANK(GH66,$GH$10:$GH$109),Sheet1!$A$381:$B$480,2,FALSE)</f>
        <v>91st</v>
      </c>
      <c r="GK66" s="166">
        <v>27</v>
      </c>
      <c r="GL66" s="166">
        <v>16</v>
      </c>
      <c r="GM66" s="137">
        <f t="shared" si="94"/>
        <v>43</v>
      </c>
      <c r="GN66" s="137" t="str">
        <f t="shared" si="256"/>
        <v>50</v>
      </c>
      <c r="GO66" s="135">
        <f t="shared" si="272"/>
        <v>93</v>
      </c>
      <c r="GP66" s="137">
        <f t="shared" si="96"/>
        <v>46.5</v>
      </c>
      <c r="GQ66" s="135" t="str">
        <f t="shared" si="97"/>
        <v>D</v>
      </c>
      <c r="GR66" s="135" t="str">
        <f>VLOOKUP(RANK(GP66,$GP$10:$GP$109),Sheet1!$A$381:$B$480,2,FALSE)</f>
        <v>74th</v>
      </c>
      <c r="GS66" s="166">
        <v>27</v>
      </c>
      <c r="GT66" s="166">
        <v>20</v>
      </c>
      <c r="GU66" s="137">
        <f t="shared" si="98"/>
        <v>47</v>
      </c>
      <c r="GV66" s="137" t="str">
        <f t="shared" si="257"/>
        <v>31</v>
      </c>
      <c r="GW66" s="137">
        <f t="shared" si="100"/>
        <v>78</v>
      </c>
      <c r="GX66" s="137">
        <f t="shared" si="101"/>
        <v>39</v>
      </c>
      <c r="GY66" s="135" t="str">
        <f t="shared" si="102"/>
        <v>E</v>
      </c>
      <c r="GZ66" s="135" t="str">
        <f>VLOOKUP(RANK(GX66,$GX$10:$GX$109),Sheet1!$A$381:$B$480,2,FALSE)</f>
        <v>73rd</v>
      </c>
      <c r="HA66" s="166">
        <v>29</v>
      </c>
      <c r="HB66" s="166">
        <v>10</v>
      </c>
      <c r="HC66" s="137">
        <f t="shared" si="103"/>
        <v>39</v>
      </c>
      <c r="HD66" s="137" t="str">
        <f t="shared" si="258"/>
        <v>38</v>
      </c>
      <c r="HE66" s="137">
        <f t="shared" si="105"/>
        <v>77</v>
      </c>
      <c r="HF66" s="137">
        <f t="shared" si="106"/>
        <v>38.5</v>
      </c>
      <c r="HG66" s="135" t="str">
        <f t="shared" si="107"/>
        <v>E</v>
      </c>
      <c r="HH66" s="135" t="str">
        <f>VLOOKUP(RANK(HF66,$HF$10:$HF$109),Sheet1!$A$381:$B$480,2,FALSE)</f>
        <v>74th</v>
      </c>
      <c r="HI66" s="149">
        <v>30</v>
      </c>
      <c r="HJ66" s="149">
        <v>38</v>
      </c>
      <c r="HK66" s="137">
        <f t="shared" si="108"/>
        <v>68</v>
      </c>
      <c r="HL66" s="137" t="str">
        <f t="shared" si="259"/>
        <v>40</v>
      </c>
      <c r="HM66" s="137">
        <f t="shared" si="110"/>
        <v>108</v>
      </c>
      <c r="HN66" s="137">
        <f t="shared" si="111"/>
        <v>54</v>
      </c>
      <c r="HO66" s="135" t="str">
        <f t="shared" si="112"/>
        <v>C</v>
      </c>
      <c r="HP66" s="135" t="str">
        <f>VLOOKUP(RANK(HN66,$HN$10:$HN$109),Sheet1!$A$381:$B$480,2,FALSE)</f>
        <v>88th</v>
      </c>
      <c r="HQ66" s="137"/>
      <c r="HR66" s="137"/>
      <c r="HS66" s="137">
        <f t="shared" si="113"/>
        <v>0</v>
      </c>
      <c r="HT66" s="137" t="str">
        <f t="shared" si="260"/>
        <v>0</v>
      </c>
      <c r="HU66" s="137">
        <f t="shared" si="115"/>
        <v>0</v>
      </c>
      <c r="HV66" s="137">
        <f t="shared" si="116"/>
        <v>0</v>
      </c>
      <c r="HW66" s="135" t="str">
        <f t="shared" si="117"/>
        <v>F</v>
      </c>
      <c r="HX66" s="135" t="str">
        <f>VLOOKUP(RANK(HV66,$HV$10:$HV$109),Sheet1!$A$381:$B$480,2,FALSE)</f>
        <v>1st</v>
      </c>
      <c r="HY66" s="137"/>
      <c r="HZ66" s="137"/>
      <c r="IA66" s="137">
        <f t="shared" si="261"/>
        <v>0</v>
      </c>
      <c r="IB66" s="137" t="str">
        <f t="shared" si="262"/>
        <v>0</v>
      </c>
      <c r="IC66" s="137">
        <f t="shared" si="120"/>
        <v>0</v>
      </c>
      <c r="ID66" s="137">
        <f t="shared" si="121"/>
        <v>0</v>
      </c>
      <c r="IE66" s="135" t="str">
        <f t="shared" si="122"/>
        <v>F</v>
      </c>
      <c r="IF66" s="135" t="str">
        <f>VLOOKUP(RANK(ID66,$ID$10:$ID$109),Sheet1!$A$381:$B$480,2,FALSE)</f>
        <v>1st</v>
      </c>
      <c r="IG66" s="135"/>
      <c r="IH66" s="135"/>
      <c r="II66" s="135">
        <f t="shared" si="273"/>
        <v>0</v>
      </c>
      <c r="IJ66" s="135" t="str">
        <f t="shared" si="274"/>
        <v>0</v>
      </c>
      <c r="IK66" s="135">
        <f t="shared" si="275"/>
        <v>0</v>
      </c>
      <c r="IL66" s="135">
        <f t="shared" si="276"/>
        <v>0</v>
      </c>
      <c r="IM66" s="135" t="str">
        <f t="shared" si="123"/>
        <v>F</v>
      </c>
      <c r="IN66" s="135" t="str">
        <f>VLOOKUP(RANK(IL66,$IL$10:$IL$109),Sheet1!$A$381:$B$480,2,FALSE)</f>
        <v>1st</v>
      </c>
      <c r="IO66" s="135">
        <f t="shared" si="277"/>
        <v>464</v>
      </c>
      <c r="IP66" s="177">
        <f t="shared" si="278"/>
        <v>27.294117647058801</v>
      </c>
      <c r="IQ66" s="135" t="str">
        <f>VLOOKUP(RANK(IP66,$IP$10:$IP$109),Sheet1!$A$381:$B$480,2,FALSE)</f>
        <v>93rd</v>
      </c>
      <c r="IR66" s="178"/>
      <c r="IS66" s="137"/>
      <c r="IT66" s="137"/>
      <c r="IU66" s="137"/>
      <c r="IV66" s="137"/>
      <c r="IW66" s="181"/>
      <c r="IX66" s="184"/>
      <c r="IY66" s="186"/>
      <c r="IZ66" s="186">
        <f t="shared" si="206"/>
        <v>0</v>
      </c>
      <c r="JA66" s="186" t="str">
        <f t="shared" si="124"/>
        <v>62</v>
      </c>
      <c r="JB66" s="186" t="str">
        <f t="shared" si="125"/>
        <v>65</v>
      </c>
      <c r="JC66" s="186">
        <f t="shared" si="279"/>
        <v>127</v>
      </c>
      <c r="JD66" s="186">
        <f t="shared" si="280"/>
        <v>42.3333333333333</v>
      </c>
      <c r="JE66" s="135" t="str">
        <f t="shared" si="126"/>
        <v>D</v>
      </c>
      <c r="JF66" s="151" t="str">
        <f>VLOOKUP(RANK(JD66,$JD$10:$JD$109),Sheet1!$A$381:$B$480,2,FALSE)</f>
        <v>63rd</v>
      </c>
      <c r="JG66" s="186"/>
      <c r="JH66" s="186"/>
      <c r="JI66" s="186">
        <f t="shared" si="127"/>
        <v>0</v>
      </c>
      <c r="JJ66" s="186" t="str">
        <f t="shared" si="128"/>
        <v>10</v>
      </c>
      <c r="JK66" s="186" t="str">
        <f t="shared" si="129"/>
        <v>44</v>
      </c>
      <c r="JL66" s="186">
        <f t="shared" si="281"/>
        <v>54</v>
      </c>
      <c r="JM66" s="186">
        <f t="shared" si="282"/>
        <v>18</v>
      </c>
      <c r="JN66" s="135" t="str">
        <f t="shared" si="130"/>
        <v>F</v>
      </c>
      <c r="JO66" s="151" t="str">
        <f>VLOOKUP(RANK(JM66,$JM$10:$JM$109),Sheet1!$A$381:$B$480,2,FALSE)</f>
        <v>95th</v>
      </c>
      <c r="JP66" s="186"/>
      <c r="JQ66" s="186"/>
      <c r="JR66" s="186">
        <f t="shared" si="131"/>
        <v>0</v>
      </c>
      <c r="JS66" s="186" t="str">
        <f t="shared" si="132"/>
        <v>30</v>
      </c>
      <c r="JT66" s="186" t="str">
        <f t="shared" si="133"/>
        <v>39</v>
      </c>
      <c r="JU66" s="186">
        <f t="shared" si="283"/>
        <v>69</v>
      </c>
      <c r="JV66" s="186">
        <f t="shared" si="284"/>
        <v>23</v>
      </c>
      <c r="JW66" s="135" t="str">
        <f t="shared" si="134"/>
        <v>F</v>
      </c>
      <c r="JX66" s="151" t="str">
        <f>VLOOKUP(RANK(JV66,$JV$10:$JV$109),Sheet1!$A$381:$B$480,2,FALSE)</f>
        <v>89th</v>
      </c>
      <c r="JY66" s="186"/>
      <c r="JZ66" s="186"/>
      <c r="KA66" s="186">
        <f t="shared" si="135"/>
        <v>0</v>
      </c>
      <c r="KB66" s="186" t="str">
        <f t="shared" si="136"/>
        <v>40</v>
      </c>
      <c r="KC66" s="186" t="str">
        <f t="shared" si="137"/>
        <v>29</v>
      </c>
      <c r="KD66" s="186">
        <f t="shared" si="285"/>
        <v>69</v>
      </c>
      <c r="KE66" s="186">
        <f t="shared" si="286"/>
        <v>23</v>
      </c>
      <c r="KF66" s="135" t="str">
        <f t="shared" si="138"/>
        <v>F</v>
      </c>
      <c r="KG66" s="151" t="str">
        <f>VLOOKUP(RANK(KE66,$KE$10:$KE$109),Sheet1!$A$381:$B$480,2,FALSE)</f>
        <v>93rd</v>
      </c>
      <c r="KH66" s="186"/>
      <c r="KI66" s="186"/>
      <c r="KJ66" s="186">
        <f t="shared" si="139"/>
        <v>0</v>
      </c>
      <c r="KK66" s="186" t="str">
        <f t="shared" si="140"/>
        <v>30</v>
      </c>
      <c r="KL66" s="186" t="str">
        <f t="shared" si="141"/>
        <v>35</v>
      </c>
      <c r="KM66" s="186">
        <f t="shared" si="287"/>
        <v>65</v>
      </c>
      <c r="KN66" s="186">
        <f t="shared" si="288"/>
        <v>21.6666666666667</v>
      </c>
      <c r="KO66" s="135" t="str">
        <f t="shared" si="142"/>
        <v>F</v>
      </c>
      <c r="KP66" s="151" t="str">
        <f>VLOOKUP(RANK(KN66,$KN$10:$KN$109),Sheet1!$A$381:$B$480,2,FALSE)</f>
        <v>94th</v>
      </c>
      <c r="KQ66" s="186"/>
      <c r="KR66" s="186"/>
      <c r="KS66" s="186">
        <f t="shared" si="143"/>
        <v>0</v>
      </c>
      <c r="KT66" s="186" t="str">
        <f t="shared" si="144"/>
        <v>0</v>
      </c>
      <c r="KU66" s="186" t="str">
        <f t="shared" si="145"/>
        <v>0</v>
      </c>
      <c r="KV66" s="186">
        <f t="shared" si="289"/>
        <v>0</v>
      </c>
      <c r="KW66" s="186">
        <f t="shared" si="290"/>
        <v>0</v>
      </c>
      <c r="KX66" s="135" t="str">
        <f t="shared" si="146"/>
        <v>F</v>
      </c>
      <c r="KY66" s="151" t="str">
        <f>VLOOKUP(RANK(KW66,$KW$10:$KW$109),Sheet1!$A$381:$B$480,2,FALSE)</f>
        <v>1st</v>
      </c>
      <c r="KZ66" s="186"/>
      <c r="LA66" s="186"/>
      <c r="LB66" s="186">
        <f t="shared" si="147"/>
        <v>0</v>
      </c>
      <c r="LC66" s="186" t="str">
        <f t="shared" si="148"/>
        <v>0</v>
      </c>
      <c r="LD66" s="186" t="str">
        <f t="shared" si="149"/>
        <v>0</v>
      </c>
      <c r="LE66" s="186">
        <f t="shared" si="291"/>
        <v>0</v>
      </c>
      <c r="LF66" s="186">
        <f t="shared" si="292"/>
        <v>0</v>
      </c>
      <c r="LG66" s="135" t="str">
        <f t="shared" si="150"/>
        <v>F</v>
      </c>
      <c r="LH66" s="151" t="str">
        <f>VLOOKUP(RANK(LF66,$LF$10:$LF$109),Sheet1!$A$381:$B$480,2,FALSE)</f>
        <v>1st</v>
      </c>
      <c r="LI66" s="186"/>
      <c r="LJ66" s="186"/>
      <c r="LK66" s="186">
        <f t="shared" si="151"/>
        <v>0</v>
      </c>
      <c r="LL66" s="186" t="str">
        <f t="shared" si="152"/>
        <v>50</v>
      </c>
      <c r="LM66" s="186" t="str">
        <f t="shared" si="153"/>
        <v>54</v>
      </c>
      <c r="LN66" s="186">
        <f t="shared" si="293"/>
        <v>104</v>
      </c>
      <c r="LO66" s="186">
        <f t="shared" si="294"/>
        <v>34.6666666666667</v>
      </c>
      <c r="LP66" s="135" t="str">
        <f t="shared" si="154"/>
        <v>F</v>
      </c>
      <c r="LQ66" s="151" t="str">
        <f>VLOOKUP(RANK(LO66,$LO$10:$LO$109),Sheet1!$A$381:$B$480,2,FALSE)</f>
        <v>45th</v>
      </c>
      <c r="LR66" s="186"/>
      <c r="LS66" s="186"/>
      <c r="LT66" s="186">
        <f t="shared" si="155"/>
        <v>0</v>
      </c>
      <c r="LU66" s="186" t="str">
        <f t="shared" si="156"/>
        <v>40</v>
      </c>
      <c r="LV66" s="186" t="str">
        <f t="shared" si="157"/>
        <v>30</v>
      </c>
      <c r="LW66" s="186">
        <f t="shared" si="295"/>
        <v>70</v>
      </c>
      <c r="LX66" s="186">
        <f t="shared" si="296"/>
        <v>23.3333333333333</v>
      </c>
      <c r="LY66" s="135" t="str">
        <f t="shared" si="158"/>
        <v>F</v>
      </c>
      <c r="LZ66" s="151" t="str">
        <f>VLOOKUP(RANK(LX66,$LX$10:$LX$109),Sheet1!$A$381:$B$480,2,FALSE)</f>
        <v>90th</v>
      </c>
      <c r="MA66" s="186"/>
      <c r="MB66" s="186"/>
      <c r="MC66" s="186">
        <f t="shared" si="159"/>
        <v>0</v>
      </c>
      <c r="MD66" s="186" t="str">
        <f t="shared" si="160"/>
        <v>23</v>
      </c>
      <c r="ME66" s="186" t="str">
        <f t="shared" si="161"/>
        <v>31</v>
      </c>
      <c r="MF66" s="183">
        <f t="shared" si="297"/>
        <v>54</v>
      </c>
      <c r="MG66" s="151">
        <f t="shared" si="298"/>
        <v>18</v>
      </c>
      <c r="MH66" s="135" t="str">
        <f t="shared" si="162"/>
        <v>F</v>
      </c>
      <c r="MI66" s="151" t="str">
        <f>VLOOKUP(RANK(MG66,$MG$10:$MG$109),Sheet1!$A$381:$B$480,2,FALSE)</f>
        <v>91st</v>
      </c>
      <c r="MJ66" s="186"/>
      <c r="MK66" s="186"/>
      <c r="ML66" s="186">
        <f t="shared" si="163"/>
        <v>0</v>
      </c>
      <c r="MM66" s="186" t="str">
        <f t="shared" si="164"/>
        <v>50</v>
      </c>
      <c r="MN66" s="186" t="str">
        <f t="shared" si="165"/>
        <v>43</v>
      </c>
      <c r="MO66" s="186">
        <f t="shared" si="299"/>
        <v>93</v>
      </c>
      <c r="MP66" s="186">
        <f t="shared" si="300"/>
        <v>31</v>
      </c>
      <c r="MQ66" s="135" t="str">
        <f t="shared" si="166"/>
        <v>F</v>
      </c>
      <c r="MR66" s="151" t="str">
        <f>VLOOKUP(RANK(MP66,$MP$10:$MP$109),Sheet1!$A$381:$B$480,2,FALSE)</f>
        <v>74th</v>
      </c>
      <c r="MS66" s="186"/>
      <c r="MT66" s="186"/>
      <c r="MU66" s="186">
        <f t="shared" si="167"/>
        <v>0</v>
      </c>
      <c r="MV66" s="186" t="str">
        <f t="shared" si="168"/>
        <v>31</v>
      </c>
      <c r="MW66" s="186" t="str">
        <f t="shared" si="169"/>
        <v>47</v>
      </c>
      <c r="MX66" s="186">
        <f t="shared" si="301"/>
        <v>78</v>
      </c>
      <c r="MY66" s="186">
        <f t="shared" si="302"/>
        <v>26</v>
      </c>
      <c r="MZ66" s="135" t="str">
        <f t="shared" si="170"/>
        <v>F</v>
      </c>
      <c r="NA66" s="151" t="str">
        <f>VLOOKUP(RANK(MY66,$MY$10:$MY$109),Sheet1!$A$381:$B$480,2,FALSE)</f>
        <v>73rd</v>
      </c>
      <c r="NB66" s="186"/>
      <c r="NC66" s="186"/>
      <c r="ND66" s="186">
        <f t="shared" si="171"/>
        <v>0</v>
      </c>
      <c r="NE66" s="186" t="str">
        <f t="shared" si="172"/>
        <v>38</v>
      </c>
      <c r="NF66" s="186" t="str">
        <f t="shared" si="173"/>
        <v>39</v>
      </c>
      <c r="NG66" s="186">
        <f t="shared" si="303"/>
        <v>77</v>
      </c>
      <c r="NH66" s="186">
        <f t="shared" si="304"/>
        <v>25.6666666666667</v>
      </c>
      <c r="NI66" s="135" t="str">
        <f t="shared" si="174"/>
        <v>F</v>
      </c>
      <c r="NJ66" s="151" t="str">
        <f>VLOOKUP(RANK(NH66,$NH$10:$NH$109),Sheet1!$A$381:$B$480,2,FALSE)</f>
        <v>74th</v>
      </c>
      <c r="NK66" s="186"/>
      <c r="NL66" s="186"/>
      <c r="NM66" s="186">
        <f t="shared" si="175"/>
        <v>0</v>
      </c>
      <c r="NN66" s="186" t="str">
        <f t="shared" si="176"/>
        <v>40</v>
      </c>
      <c r="NO66" s="186" t="str">
        <f t="shared" si="177"/>
        <v>68</v>
      </c>
      <c r="NP66" s="186">
        <f t="shared" si="305"/>
        <v>108</v>
      </c>
      <c r="NQ66" s="186">
        <f t="shared" si="263"/>
        <v>36</v>
      </c>
      <c r="NR66" s="135" t="str">
        <f t="shared" si="179"/>
        <v>E</v>
      </c>
      <c r="NS66" s="151" t="str">
        <f>VLOOKUP(RANK(NQ66,$NQ$10:$NQ$109),Sheet1!$A$381:$B$480,2,FALSE)</f>
        <v>88th</v>
      </c>
      <c r="NT66" s="186"/>
      <c r="NU66" s="186"/>
      <c r="NV66" s="186">
        <f t="shared" si="180"/>
        <v>0</v>
      </c>
      <c r="NW66" s="186" t="str">
        <f t="shared" si="181"/>
        <v>0</v>
      </c>
      <c r="NX66" s="186" t="str">
        <f t="shared" si="182"/>
        <v>0</v>
      </c>
      <c r="NY66" s="186">
        <f t="shared" si="306"/>
        <v>0</v>
      </c>
      <c r="NZ66" s="186">
        <f t="shared" si="264"/>
        <v>0</v>
      </c>
      <c r="OA66" s="135" t="str">
        <f t="shared" si="184"/>
        <v>F</v>
      </c>
      <c r="OB66" s="151" t="str">
        <f>VLOOKUP(RANK(NZ66,$NZ$10:$NZ$109),Sheet1!$A$381:$B$480,2,FALSE)</f>
        <v>1st</v>
      </c>
      <c r="OC66" s="186"/>
      <c r="OD66" s="186"/>
      <c r="OE66" s="186">
        <f t="shared" si="185"/>
        <v>0</v>
      </c>
      <c r="OF66" s="186" t="str">
        <f t="shared" si="186"/>
        <v>0</v>
      </c>
      <c r="OG66" s="186" t="str">
        <f t="shared" si="187"/>
        <v>0</v>
      </c>
      <c r="OH66" s="186">
        <f t="shared" si="307"/>
        <v>0</v>
      </c>
      <c r="OI66" s="186">
        <f t="shared" si="236"/>
        <v>0</v>
      </c>
      <c r="OJ66" s="135" t="str">
        <f t="shared" si="188"/>
        <v>F</v>
      </c>
      <c r="OK66" s="151" t="str">
        <f>VLOOKUP(RANK(OI66,$OI$10:$OI$109),Sheet1!$A$381:$B$480,2,FALSE)</f>
        <v>1st</v>
      </c>
      <c r="OL66" s="151"/>
      <c r="OM66" s="151"/>
      <c r="ON66" s="151">
        <f t="shared" si="308"/>
        <v>0</v>
      </c>
      <c r="OO66" s="151" t="str">
        <f t="shared" si="309"/>
        <v>0</v>
      </c>
      <c r="OP66" s="151" t="str">
        <f t="shared" si="310"/>
        <v>0</v>
      </c>
      <c r="OQ66" s="151">
        <f t="shared" si="311"/>
        <v>0</v>
      </c>
      <c r="OR66" s="151">
        <f t="shared" si="312"/>
        <v>0</v>
      </c>
      <c r="OS66" s="135" t="str">
        <f t="shared" si="189"/>
        <v>F</v>
      </c>
      <c r="OT66" s="151" t="str">
        <f>VLOOKUP(RANK(OR66,$OI$10:$OI$109),Sheet1!$A$381:$B$480,2,FALSE)</f>
        <v>1st</v>
      </c>
      <c r="OU66" s="151">
        <f t="shared" si="313"/>
        <v>322.66666666666703</v>
      </c>
      <c r="OV66" s="151">
        <f t="shared" si="314"/>
        <v>18.980392156862699</v>
      </c>
      <c r="OW66" s="151" t="str">
        <f>VLOOKUP(RANK(OV66,$OV$10:$OV$109),Sheet1!$A$381:$B$480,2,FALSE)</f>
        <v>93rd</v>
      </c>
      <c r="OX66" s="151"/>
      <c r="OY66" s="186"/>
      <c r="OZ66" s="186"/>
      <c r="PA66" s="186"/>
      <c r="PB66" s="186"/>
    </row>
    <row r="67" spans="1:418" s="118" customFormat="1" ht="18.75">
      <c r="A67" s="131">
        <v>58</v>
      </c>
      <c r="B67" s="132" t="s">
        <v>157</v>
      </c>
      <c r="C67" s="133" t="s">
        <v>97</v>
      </c>
      <c r="D67" s="134">
        <v>27</v>
      </c>
      <c r="E67" s="134">
        <v>49</v>
      </c>
      <c r="F67" s="137">
        <f t="shared" si="0"/>
        <v>76</v>
      </c>
      <c r="G67" s="137">
        <f t="shared" si="1"/>
        <v>76</v>
      </c>
      <c r="H67" s="135" t="str">
        <f t="shared" si="265"/>
        <v>A</v>
      </c>
      <c r="I67" s="135" t="str">
        <f>VLOOKUP(RANK(G67,$G$10:$G$109),Sheet1!$A$381:$B$480,2,FALSE)</f>
        <v>16th</v>
      </c>
      <c r="J67" s="134">
        <v>31</v>
      </c>
      <c r="K67" s="134">
        <v>15</v>
      </c>
      <c r="L67" s="137">
        <f t="shared" si="2"/>
        <v>46</v>
      </c>
      <c r="M67" s="137">
        <f t="shared" si="3"/>
        <v>46</v>
      </c>
      <c r="N67" s="135" t="str">
        <f t="shared" si="4"/>
        <v>D</v>
      </c>
      <c r="O67" s="141" t="str">
        <f>VLOOKUP(RANK(M67,$M$10:$M$109),Sheet1!$A$381:$B$480,2,FALSE)</f>
        <v>77th</v>
      </c>
      <c r="P67" s="144">
        <v>30</v>
      </c>
      <c r="Q67" s="144">
        <v>20</v>
      </c>
      <c r="R67" s="147">
        <f t="shared" si="5"/>
        <v>50</v>
      </c>
      <c r="S67" s="137">
        <f t="shared" si="6"/>
        <v>50</v>
      </c>
      <c r="T67" s="135" t="str">
        <f t="shared" si="7"/>
        <v>C</v>
      </c>
      <c r="U67" s="135" t="str">
        <f>VLOOKUP(RANK(S67,$S$10:$S$109),Sheet1!$A$381:$B$480,2,FALSE)</f>
        <v>29th</v>
      </c>
      <c r="V67" s="134">
        <v>28</v>
      </c>
      <c r="W67" s="134">
        <v>15</v>
      </c>
      <c r="X67" s="137">
        <f t="shared" si="191"/>
        <v>43</v>
      </c>
      <c r="Y67" s="137">
        <f t="shared" si="244"/>
        <v>43</v>
      </c>
      <c r="Z67" s="135" t="str">
        <f t="shared" si="8"/>
        <v>D</v>
      </c>
      <c r="AA67" s="135" t="str">
        <f>VLOOKUP(RANK(Y67,$Y$10:$Y$109),Sheet1!$A$381:$B$480,2,FALSE)</f>
        <v>85th</v>
      </c>
      <c r="AB67" s="134">
        <v>29</v>
      </c>
      <c r="AC67" s="134">
        <v>27</v>
      </c>
      <c r="AD67" s="137">
        <f t="shared" si="9"/>
        <v>56</v>
      </c>
      <c r="AE67" s="137">
        <f t="shared" si="10"/>
        <v>56</v>
      </c>
      <c r="AF67" s="135" t="str">
        <f t="shared" si="11"/>
        <v>C</v>
      </c>
      <c r="AG67" s="135" t="str">
        <f>VLOOKUP(RANK(AE67,$AE$10:$AE$109),Sheet1!$A$381:$B$480,2,FALSE)</f>
        <v>58th</v>
      </c>
      <c r="AH67" s="137"/>
      <c r="AI67" s="137"/>
      <c r="AJ67" s="137">
        <f t="shared" si="12"/>
        <v>0</v>
      </c>
      <c r="AK67" s="137">
        <f t="shared" si="13"/>
        <v>0</v>
      </c>
      <c r="AL67" s="135" t="str">
        <f t="shared" si="14"/>
        <v>F</v>
      </c>
      <c r="AM67" s="135" t="str">
        <f>VLOOKUP(RANK(AK67,$AK$10:$AK$109),Sheet1!$A$381:$B$480,2,FALSE)</f>
        <v>1st</v>
      </c>
      <c r="AN67" s="134"/>
      <c r="AO67" s="134"/>
      <c r="AP67" s="137">
        <f t="shared" si="15"/>
        <v>0</v>
      </c>
      <c r="AQ67" s="137">
        <f t="shared" si="16"/>
        <v>0</v>
      </c>
      <c r="AR67" s="135" t="str">
        <f t="shared" si="17"/>
        <v>F</v>
      </c>
      <c r="AS67" s="135" t="str">
        <f>VLOOKUP(RANK(AQ67,$AQ$10:$AQ$109),Sheet1!$A$381:$B$480,2,FALSE)</f>
        <v>1st</v>
      </c>
      <c r="AT67" s="144">
        <v>24</v>
      </c>
      <c r="AU67" s="144">
        <v>28</v>
      </c>
      <c r="AV67" s="137">
        <f t="shared" si="18"/>
        <v>52</v>
      </c>
      <c r="AW67" s="137">
        <f t="shared" si="19"/>
        <v>52</v>
      </c>
      <c r="AX67" s="135" t="str">
        <f t="shared" si="20"/>
        <v>C</v>
      </c>
      <c r="AY67" s="141" t="str">
        <f>VLOOKUP(RANK(AW67,$AW$10:$AW$109),Sheet1!$A$381:$B$480,2,FALSE)</f>
        <v>34th</v>
      </c>
      <c r="AZ67" s="144">
        <v>30</v>
      </c>
      <c r="BA67" s="144">
        <v>10</v>
      </c>
      <c r="BB67" s="147">
        <f t="shared" si="21"/>
        <v>40</v>
      </c>
      <c r="BC67" s="137">
        <f t="shared" si="22"/>
        <v>40</v>
      </c>
      <c r="BD67" s="135" t="str">
        <f t="shared" si="23"/>
        <v>D</v>
      </c>
      <c r="BE67" s="135" t="str">
        <f>VLOOKUP(RANK(BC67,$BC$10:$BC$109),Sheet1!$A$381:$B$480,2,FALSE)</f>
        <v>85th</v>
      </c>
      <c r="BF67" s="144">
        <v>11</v>
      </c>
      <c r="BG67" s="144">
        <v>20</v>
      </c>
      <c r="BH67" s="137">
        <f t="shared" si="24"/>
        <v>31</v>
      </c>
      <c r="BI67" s="137">
        <f t="shared" si="25"/>
        <v>31</v>
      </c>
      <c r="BJ67" s="135" t="str">
        <f t="shared" si="26"/>
        <v>F</v>
      </c>
      <c r="BK67" s="141" t="str">
        <f>VLOOKUP(RANK(BI67,$BI$10:$BI$109),Sheet1!$A$381:$B$480,2,FALSE)</f>
        <v>62nd</v>
      </c>
      <c r="BL67" s="149">
        <v>24</v>
      </c>
      <c r="BM67" s="149">
        <v>26</v>
      </c>
      <c r="BN67" s="147">
        <f t="shared" si="27"/>
        <v>50</v>
      </c>
      <c r="BO67" s="137">
        <f t="shared" si="28"/>
        <v>50</v>
      </c>
      <c r="BP67" s="135" t="str">
        <f t="shared" si="29"/>
        <v>C</v>
      </c>
      <c r="BQ67" s="141" t="str">
        <f>VLOOKUP(RANK(BO67,$BO$10:$BO$109),Sheet1!$A$381:$B$480,2,FALSE)</f>
        <v>85th</v>
      </c>
      <c r="BR67" s="149">
        <v>27</v>
      </c>
      <c r="BS67" s="149">
        <v>15</v>
      </c>
      <c r="BT67" s="147">
        <f t="shared" si="30"/>
        <v>42</v>
      </c>
      <c r="BU67" s="137">
        <f t="shared" si="31"/>
        <v>42</v>
      </c>
      <c r="BV67" s="135" t="str">
        <f t="shared" si="32"/>
        <v>D</v>
      </c>
      <c r="BW67" s="135" t="str">
        <f>VLOOKUP(RANK(BU67,$BU$10:$BU$109),Sheet1!$A$381:$B$480,2,FALSE)</f>
        <v>55th</v>
      </c>
      <c r="BX67" s="149">
        <v>27</v>
      </c>
      <c r="BY67" s="149">
        <v>14</v>
      </c>
      <c r="BZ67" s="137">
        <f t="shared" si="33"/>
        <v>41</v>
      </c>
      <c r="CA67" s="137">
        <f t="shared" si="34"/>
        <v>41</v>
      </c>
      <c r="CB67" s="135" t="str">
        <f t="shared" si="35"/>
        <v>D</v>
      </c>
      <c r="CC67" s="135" t="str">
        <f>VLOOKUP(RANK(CA67,$CA$10:$CA$109),Sheet1!$A$381:$B$480,2,FALSE)</f>
        <v>41st</v>
      </c>
      <c r="CD67" s="149">
        <v>22</v>
      </c>
      <c r="CE67" s="149">
        <v>20</v>
      </c>
      <c r="CF67" s="137">
        <f t="shared" si="36"/>
        <v>42</v>
      </c>
      <c r="CG67" s="137">
        <f t="shared" si="37"/>
        <v>42</v>
      </c>
      <c r="CH67" s="135" t="str">
        <f t="shared" si="38"/>
        <v>D</v>
      </c>
      <c r="CI67" s="135" t="str">
        <f>VLOOKUP(RANK(CG67,$CG$10:$CG$109),Sheet1!$A$381:$B$480,2,FALSE)</f>
        <v>87th</v>
      </c>
      <c r="CJ67" s="137"/>
      <c r="CK67" s="137"/>
      <c r="CL67" s="137">
        <f t="shared" si="39"/>
        <v>0</v>
      </c>
      <c r="CM67" s="137">
        <f t="shared" si="40"/>
        <v>0</v>
      </c>
      <c r="CN67" s="135" t="str">
        <f t="shared" si="41"/>
        <v>F</v>
      </c>
      <c r="CO67" s="135" t="str">
        <f>VLOOKUP(RANK(CM67,$CM$10:$CM$109),Sheet1!$A$381:$B$480,2,FALSE)</f>
        <v>1st</v>
      </c>
      <c r="CP67" s="137"/>
      <c r="CQ67" s="137"/>
      <c r="CR67" s="137">
        <f t="shared" si="42"/>
        <v>0</v>
      </c>
      <c r="CS67" s="137">
        <f t="shared" si="43"/>
        <v>0</v>
      </c>
      <c r="CT67" s="135" t="str">
        <f t="shared" si="44"/>
        <v>F</v>
      </c>
      <c r="CU67" s="135" t="str">
        <f>VLOOKUP(RANK(CS67,$CS$10:$CS$109),Sheet1!$A$381:$B$480,2,FALSE)</f>
        <v>1st</v>
      </c>
      <c r="CV67" s="151"/>
      <c r="CW67" s="135"/>
      <c r="CX67" s="151">
        <f t="shared" si="266"/>
        <v>0</v>
      </c>
      <c r="CY67" s="151">
        <f t="shared" si="267"/>
        <v>0</v>
      </c>
      <c r="CZ67" s="135" t="str">
        <f t="shared" si="45"/>
        <v>F</v>
      </c>
      <c r="DA67" s="135" t="str">
        <f>VLOOKUP(RANK(CY67,$CY$10:$CY$109),Sheet1!$A$381:$B$480,2,FALSE)</f>
        <v>1st</v>
      </c>
      <c r="DB67" s="135"/>
      <c r="DC67" s="151">
        <f t="shared" si="268"/>
        <v>569</v>
      </c>
      <c r="DD67" s="151">
        <f t="shared" si="269"/>
        <v>33.470588235294102</v>
      </c>
      <c r="DE67" s="135" t="str">
        <f>VLOOKUP(RANK(DD67,$DD$10:$DD$109),Sheet1!$A$381:$B$480,2,FALSE)</f>
        <v>67th</v>
      </c>
      <c r="DF67" s="137"/>
      <c r="DG67" s="160">
        <f t="shared" si="46"/>
        <v>602.47058823529403</v>
      </c>
      <c r="DH67" s="119"/>
      <c r="DI67" s="162">
        <v>22</v>
      </c>
      <c r="DJ67" s="162">
        <v>36</v>
      </c>
      <c r="DK67" s="137">
        <f t="shared" si="47"/>
        <v>58</v>
      </c>
      <c r="DL67" s="137" t="str">
        <f t="shared" si="245"/>
        <v>76</v>
      </c>
      <c r="DM67" s="137">
        <f t="shared" si="49"/>
        <v>134</v>
      </c>
      <c r="DN67" s="137">
        <f t="shared" si="50"/>
        <v>67</v>
      </c>
      <c r="DO67" s="135" t="str">
        <f t="shared" si="51"/>
        <v>B</v>
      </c>
      <c r="DP67" s="135" t="str">
        <f>VLOOKUP(RANK(DN67,$DN$10:$DN$109),Sheet1!$A$381:$B$480,2,FALSE)</f>
        <v>49th</v>
      </c>
      <c r="DQ67" s="166">
        <v>29</v>
      </c>
      <c r="DR67" s="166">
        <v>11</v>
      </c>
      <c r="DS67" s="137">
        <f t="shared" si="52"/>
        <v>40</v>
      </c>
      <c r="DT67" s="137" t="str">
        <f t="shared" si="246"/>
        <v>46</v>
      </c>
      <c r="DU67" s="137">
        <f t="shared" si="54"/>
        <v>86</v>
      </c>
      <c r="DV67" s="137">
        <f t="shared" si="247"/>
        <v>43</v>
      </c>
      <c r="DW67" s="135" t="str">
        <f t="shared" si="56"/>
        <v>D</v>
      </c>
      <c r="DX67" s="135" t="str">
        <f>VLOOKUP(RANK(DV67,$DV$10:$DV$109),Sheet1!$A$381:$B$480,2,FALSE)</f>
        <v>81st</v>
      </c>
      <c r="DY67" s="168">
        <v>24</v>
      </c>
      <c r="DZ67" s="168">
        <v>16</v>
      </c>
      <c r="EA67" s="137">
        <f t="shared" si="57"/>
        <v>40</v>
      </c>
      <c r="EB67" s="137" t="str">
        <f t="shared" si="248"/>
        <v>50</v>
      </c>
      <c r="EC67" s="137">
        <f t="shared" si="59"/>
        <v>90</v>
      </c>
      <c r="ED67" s="137">
        <f t="shared" si="60"/>
        <v>45</v>
      </c>
      <c r="EE67" s="135" t="str">
        <f t="shared" si="61"/>
        <v>D</v>
      </c>
      <c r="EF67" s="135" t="str">
        <f>VLOOKUP(RANK(ED67,$ED$10:$ED$109),Sheet1!$A$381:$B$480,2,FALSE)</f>
        <v>52nd</v>
      </c>
      <c r="EG67" s="162">
        <v>12</v>
      </c>
      <c r="EH67" s="162">
        <v>32</v>
      </c>
      <c r="EI67" s="137">
        <f t="shared" si="62"/>
        <v>44</v>
      </c>
      <c r="EJ67" s="137" t="str">
        <f t="shared" si="249"/>
        <v>43</v>
      </c>
      <c r="EK67" s="137">
        <f t="shared" si="64"/>
        <v>87</v>
      </c>
      <c r="EL67" s="137">
        <f t="shared" si="65"/>
        <v>43.5</v>
      </c>
      <c r="EM67" s="135" t="str">
        <f t="shared" si="66"/>
        <v>D</v>
      </c>
      <c r="EN67" s="135" t="str">
        <f>VLOOKUP(RANK(EL67,$EL$10:$EL$109),Sheet1!$A$381:$B$480,2,FALSE)</f>
        <v>80th</v>
      </c>
      <c r="EO67" s="162">
        <v>28</v>
      </c>
      <c r="EP67" s="162">
        <v>20</v>
      </c>
      <c r="EQ67" s="137">
        <f t="shared" si="67"/>
        <v>48</v>
      </c>
      <c r="ER67" s="137" t="str">
        <f t="shared" si="250"/>
        <v>56</v>
      </c>
      <c r="ES67" s="137">
        <f t="shared" si="69"/>
        <v>104</v>
      </c>
      <c r="ET67" s="137">
        <f t="shared" si="70"/>
        <v>52</v>
      </c>
      <c r="EU67" s="135" t="str">
        <f t="shared" si="71"/>
        <v>C</v>
      </c>
      <c r="EV67" s="135" t="str">
        <f>VLOOKUP(RANK(ET67,$ET$10:$ET$109),Sheet1!$A$381:$B$480,2,FALSE)</f>
        <v>54th</v>
      </c>
      <c r="EW67" s="137"/>
      <c r="EX67" s="137"/>
      <c r="EY67" s="137">
        <f t="shared" si="72"/>
        <v>0</v>
      </c>
      <c r="EZ67" s="137" t="str">
        <f t="shared" si="251"/>
        <v>0</v>
      </c>
      <c r="FA67" s="137">
        <f t="shared" si="74"/>
        <v>0</v>
      </c>
      <c r="FB67" s="137">
        <f t="shared" si="75"/>
        <v>0</v>
      </c>
      <c r="FC67" s="135" t="str">
        <f t="shared" si="76"/>
        <v>F</v>
      </c>
      <c r="FD67" s="135" t="str">
        <f>VLOOKUP(RANK(FB67,$FB$10:$FB$109),Sheet1!$A$381:$B$480,2,FALSE)</f>
        <v>1st</v>
      </c>
      <c r="FE67" s="137"/>
      <c r="FF67" s="137"/>
      <c r="FG67" s="137">
        <f t="shared" si="77"/>
        <v>0</v>
      </c>
      <c r="FH67" s="137" t="str">
        <f t="shared" si="252"/>
        <v>0</v>
      </c>
      <c r="FI67" s="137">
        <f t="shared" si="79"/>
        <v>0</v>
      </c>
      <c r="FJ67" s="137">
        <f t="shared" si="80"/>
        <v>0</v>
      </c>
      <c r="FK67" s="135" t="str">
        <f t="shared" si="81"/>
        <v>F</v>
      </c>
      <c r="FL67" s="135" t="str">
        <f>VLOOKUP(RANK(FJ67,$FJ$10:$FJ$109),Sheet1!$A$381:$B$480,2,FALSE)</f>
        <v>1st</v>
      </c>
      <c r="FM67" s="166">
        <v>26</v>
      </c>
      <c r="FN67" s="166">
        <v>24</v>
      </c>
      <c r="FO67" s="137">
        <f t="shared" si="82"/>
        <v>50</v>
      </c>
      <c r="FP67" s="137" t="str">
        <f t="shared" si="253"/>
        <v>52</v>
      </c>
      <c r="FQ67" s="137">
        <f t="shared" si="84"/>
        <v>102</v>
      </c>
      <c r="FR67" s="137">
        <f t="shared" si="85"/>
        <v>51</v>
      </c>
      <c r="FS67" s="135" t="str">
        <f t="shared" si="86"/>
        <v>C</v>
      </c>
      <c r="FT67" s="135" t="str">
        <f>VLOOKUP(RANK(FR67,$FR$10:$FR$109),Sheet1!$A$381:$B$480,2,FALSE)</f>
        <v>56th</v>
      </c>
      <c r="FU67" s="149">
        <v>32</v>
      </c>
      <c r="FV67" s="149">
        <v>22</v>
      </c>
      <c r="FW67" s="137">
        <f t="shared" si="87"/>
        <v>54</v>
      </c>
      <c r="FX67" s="137" t="str">
        <f t="shared" si="254"/>
        <v>40</v>
      </c>
      <c r="FY67" s="137">
        <f t="shared" si="196"/>
        <v>54</v>
      </c>
      <c r="FZ67" s="137">
        <f t="shared" si="89"/>
        <v>27</v>
      </c>
      <c r="GA67" s="135" t="str">
        <f t="shared" si="90"/>
        <v>F</v>
      </c>
      <c r="GB67" s="135" t="str">
        <f>VLOOKUP(RANK(FZ67,$FZ$10:$FZ$109),Sheet1!$A$381:$B$480,2,FALSE)</f>
        <v>41st</v>
      </c>
      <c r="GC67" s="166">
        <v>9</v>
      </c>
      <c r="GD67" s="166">
        <v>25</v>
      </c>
      <c r="GE67" s="137">
        <f t="shared" si="91"/>
        <v>34</v>
      </c>
      <c r="GF67" s="137" t="str">
        <f t="shared" si="255"/>
        <v>31</v>
      </c>
      <c r="GG67" s="135">
        <f t="shared" si="270"/>
        <v>65</v>
      </c>
      <c r="GH67" s="137">
        <f t="shared" si="271"/>
        <v>32.5</v>
      </c>
      <c r="GI67" s="135" t="str">
        <f t="shared" si="93"/>
        <v>F</v>
      </c>
      <c r="GJ67" s="135" t="str">
        <f>VLOOKUP(RANK(GH67,$GH$10:$GH$109),Sheet1!$A$381:$B$480,2,FALSE)</f>
        <v>69th</v>
      </c>
      <c r="GK67" s="166">
        <v>29</v>
      </c>
      <c r="GL67" s="166">
        <v>18</v>
      </c>
      <c r="GM67" s="137">
        <f t="shared" si="94"/>
        <v>47</v>
      </c>
      <c r="GN67" s="137" t="str">
        <f t="shared" si="256"/>
        <v>50</v>
      </c>
      <c r="GO67" s="135">
        <f t="shared" si="272"/>
        <v>97</v>
      </c>
      <c r="GP67" s="137">
        <f t="shared" si="96"/>
        <v>48.5</v>
      </c>
      <c r="GQ67" s="135" t="str">
        <f t="shared" si="97"/>
        <v>D</v>
      </c>
      <c r="GR67" s="135" t="str">
        <f>VLOOKUP(RANK(GP67,$GP$10:$GP$109),Sheet1!$A$381:$B$480,2,FALSE)</f>
        <v>38th</v>
      </c>
      <c r="GS67" s="166">
        <v>21</v>
      </c>
      <c r="GT67" s="166">
        <v>25</v>
      </c>
      <c r="GU67" s="137">
        <f t="shared" si="98"/>
        <v>46</v>
      </c>
      <c r="GV67" s="137" t="str">
        <f t="shared" si="257"/>
        <v>42</v>
      </c>
      <c r="GW67" s="137">
        <f t="shared" si="100"/>
        <v>88</v>
      </c>
      <c r="GX67" s="137">
        <f t="shared" si="101"/>
        <v>44</v>
      </c>
      <c r="GY67" s="135" t="str">
        <f t="shared" si="102"/>
        <v>D</v>
      </c>
      <c r="GZ67" s="135" t="str">
        <f>VLOOKUP(RANK(GX67,$GX$10:$GX$109),Sheet1!$A$381:$B$480,2,FALSE)</f>
        <v>64th</v>
      </c>
      <c r="HA67" s="166">
        <v>30</v>
      </c>
      <c r="HB67" s="166">
        <v>10</v>
      </c>
      <c r="HC67" s="137">
        <f t="shared" si="103"/>
        <v>40</v>
      </c>
      <c r="HD67" s="137" t="str">
        <f t="shared" si="258"/>
        <v>41</v>
      </c>
      <c r="HE67" s="137">
        <f t="shared" si="105"/>
        <v>81</v>
      </c>
      <c r="HF67" s="137">
        <f t="shared" si="106"/>
        <v>40.5</v>
      </c>
      <c r="HG67" s="135" t="str">
        <f t="shared" si="107"/>
        <v>D</v>
      </c>
      <c r="HH67" s="135" t="str">
        <f>VLOOKUP(RANK(HF67,$HF$10:$HF$109),Sheet1!$A$381:$B$480,2,FALSE)</f>
        <v>57th</v>
      </c>
      <c r="HI67" s="149">
        <v>5</v>
      </c>
      <c r="HJ67" s="138" t="s">
        <v>143</v>
      </c>
      <c r="HK67" s="137">
        <f t="shared" si="108"/>
        <v>5</v>
      </c>
      <c r="HL67" s="137" t="str">
        <f t="shared" si="259"/>
        <v>42</v>
      </c>
      <c r="HM67" s="137">
        <f t="shared" si="110"/>
        <v>47</v>
      </c>
      <c r="HN67" s="137">
        <f t="shared" si="111"/>
        <v>23.5</v>
      </c>
      <c r="HO67" s="135" t="str">
        <f t="shared" si="112"/>
        <v>F</v>
      </c>
      <c r="HP67" s="135" t="str">
        <f>VLOOKUP(RANK(HN67,$HN$10:$HN$109),Sheet1!$A$381:$B$480,2,FALSE)</f>
        <v>99th</v>
      </c>
      <c r="HQ67" s="137"/>
      <c r="HR67" s="137"/>
      <c r="HS67" s="137">
        <f t="shared" si="113"/>
        <v>0</v>
      </c>
      <c r="HT67" s="137" t="str">
        <f t="shared" si="260"/>
        <v>0</v>
      </c>
      <c r="HU67" s="137">
        <f t="shared" si="115"/>
        <v>0</v>
      </c>
      <c r="HV67" s="137">
        <f t="shared" si="116"/>
        <v>0</v>
      </c>
      <c r="HW67" s="135" t="str">
        <f t="shared" si="117"/>
        <v>F</v>
      </c>
      <c r="HX67" s="135" t="str">
        <f>VLOOKUP(RANK(HV67,$HV$10:$HV$109),Sheet1!$A$381:$B$480,2,FALSE)</f>
        <v>1st</v>
      </c>
      <c r="HY67" s="137"/>
      <c r="HZ67" s="137"/>
      <c r="IA67" s="137">
        <f t="shared" si="261"/>
        <v>0</v>
      </c>
      <c r="IB67" s="137" t="str">
        <f t="shared" si="262"/>
        <v>0</v>
      </c>
      <c r="IC67" s="137">
        <f t="shared" si="120"/>
        <v>0</v>
      </c>
      <c r="ID67" s="137">
        <f t="shared" si="121"/>
        <v>0</v>
      </c>
      <c r="IE67" s="135" t="str">
        <f t="shared" si="122"/>
        <v>F</v>
      </c>
      <c r="IF67" s="135" t="str">
        <f>VLOOKUP(RANK(ID67,$ID$10:$ID$109),Sheet1!$A$381:$B$480,2,FALSE)</f>
        <v>1st</v>
      </c>
      <c r="IG67" s="135"/>
      <c r="IH67" s="135"/>
      <c r="II67" s="135">
        <f t="shared" si="273"/>
        <v>0</v>
      </c>
      <c r="IJ67" s="135" t="str">
        <f t="shared" si="274"/>
        <v>0</v>
      </c>
      <c r="IK67" s="135">
        <f t="shared" si="275"/>
        <v>0</v>
      </c>
      <c r="IL67" s="135">
        <f t="shared" si="276"/>
        <v>0</v>
      </c>
      <c r="IM67" s="135" t="str">
        <f t="shared" si="123"/>
        <v>F</v>
      </c>
      <c r="IN67" s="135" t="str">
        <f>VLOOKUP(RANK(IL67,$IL$10:$IL$109),Sheet1!$A$381:$B$480,2,FALSE)</f>
        <v>1st</v>
      </c>
      <c r="IO67" s="135">
        <f t="shared" si="277"/>
        <v>517.5</v>
      </c>
      <c r="IP67" s="177">
        <f t="shared" si="278"/>
        <v>30.4411764705882</v>
      </c>
      <c r="IQ67" s="135" t="str">
        <f>VLOOKUP(RANK(IP67,$IP$10:$IP$109),Sheet1!$A$381:$B$480,2,FALSE)</f>
        <v>81st</v>
      </c>
      <c r="IR67" s="178"/>
      <c r="IS67" s="137"/>
      <c r="IT67" s="137"/>
      <c r="IU67" s="137"/>
      <c r="IV67" s="137"/>
      <c r="IW67" s="181"/>
      <c r="IX67" s="184"/>
      <c r="IY67" s="186"/>
      <c r="IZ67" s="186">
        <f t="shared" si="206"/>
        <v>0</v>
      </c>
      <c r="JA67" s="186" t="str">
        <f t="shared" si="124"/>
        <v>76</v>
      </c>
      <c r="JB67" s="186" t="str">
        <f t="shared" si="125"/>
        <v>58</v>
      </c>
      <c r="JC67" s="186">
        <f t="shared" si="279"/>
        <v>134</v>
      </c>
      <c r="JD67" s="186">
        <f t="shared" si="280"/>
        <v>44.6666666666667</v>
      </c>
      <c r="JE67" s="135" t="str">
        <f t="shared" si="126"/>
        <v>D</v>
      </c>
      <c r="JF67" s="151" t="str">
        <f>VLOOKUP(RANK(JD67,$JD$10:$JD$109),Sheet1!$A$381:$B$480,2,FALSE)</f>
        <v>49th</v>
      </c>
      <c r="JG67" s="186"/>
      <c r="JH67" s="186"/>
      <c r="JI67" s="186">
        <f t="shared" si="127"/>
        <v>0</v>
      </c>
      <c r="JJ67" s="186" t="str">
        <f t="shared" si="128"/>
        <v>46</v>
      </c>
      <c r="JK67" s="186" t="str">
        <f t="shared" si="129"/>
        <v>40</v>
      </c>
      <c r="JL67" s="186">
        <f t="shared" si="281"/>
        <v>86</v>
      </c>
      <c r="JM67" s="186">
        <f t="shared" si="282"/>
        <v>28.6666666666667</v>
      </c>
      <c r="JN67" s="135" t="str">
        <f t="shared" si="130"/>
        <v>F</v>
      </c>
      <c r="JO67" s="151" t="str">
        <f>VLOOKUP(RANK(JM67,$JM$10:$JM$109),Sheet1!$A$381:$B$480,2,FALSE)</f>
        <v>81st</v>
      </c>
      <c r="JP67" s="186"/>
      <c r="JQ67" s="186"/>
      <c r="JR67" s="186">
        <f t="shared" si="131"/>
        <v>0</v>
      </c>
      <c r="JS67" s="186" t="str">
        <f t="shared" si="132"/>
        <v>50</v>
      </c>
      <c r="JT67" s="186" t="str">
        <f t="shared" si="133"/>
        <v>40</v>
      </c>
      <c r="JU67" s="186">
        <f t="shared" si="283"/>
        <v>90</v>
      </c>
      <c r="JV67" s="186">
        <f t="shared" si="284"/>
        <v>30</v>
      </c>
      <c r="JW67" s="135" t="str">
        <f t="shared" si="134"/>
        <v>F</v>
      </c>
      <c r="JX67" s="151" t="str">
        <f>VLOOKUP(RANK(JV67,$JV$10:$JV$109),Sheet1!$A$381:$B$480,2,FALSE)</f>
        <v>52nd</v>
      </c>
      <c r="JY67" s="186"/>
      <c r="JZ67" s="186"/>
      <c r="KA67" s="186">
        <f t="shared" si="135"/>
        <v>0</v>
      </c>
      <c r="KB67" s="186" t="str">
        <f t="shared" si="136"/>
        <v>43</v>
      </c>
      <c r="KC67" s="186" t="str">
        <f t="shared" si="137"/>
        <v>44</v>
      </c>
      <c r="KD67" s="186">
        <f t="shared" si="285"/>
        <v>87</v>
      </c>
      <c r="KE67" s="186">
        <f t="shared" si="286"/>
        <v>29</v>
      </c>
      <c r="KF67" s="135" t="str">
        <f t="shared" si="138"/>
        <v>F</v>
      </c>
      <c r="KG67" s="151" t="str">
        <f>VLOOKUP(RANK(KE67,$KE$10:$KE$109),Sheet1!$A$381:$B$480,2,FALSE)</f>
        <v>80th</v>
      </c>
      <c r="KH67" s="186"/>
      <c r="KI67" s="186"/>
      <c r="KJ67" s="186">
        <f t="shared" si="139"/>
        <v>0</v>
      </c>
      <c r="KK67" s="186" t="str">
        <f t="shared" si="140"/>
        <v>56</v>
      </c>
      <c r="KL67" s="186" t="str">
        <f t="shared" si="141"/>
        <v>48</v>
      </c>
      <c r="KM67" s="186">
        <f t="shared" si="287"/>
        <v>104</v>
      </c>
      <c r="KN67" s="186">
        <f t="shared" si="288"/>
        <v>34.6666666666667</v>
      </c>
      <c r="KO67" s="135" t="str">
        <f t="shared" si="142"/>
        <v>F</v>
      </c>
      <c r="KP67" s="151" t="str">
        <f>VLOOKUP(RANK(KN67,$KN$10:$KN$109),Sheet1!$A$381:$B$480,2,FALSE)</f>
        <v>54th</v>
      </c>
      <c r="KQ67" s="186"/>
      <c r="KR67" s="186"/>
      <c r="KS67" s="186">
        <f t="shared" si="143"/>
        <v>0</v>
      </c>
      <c r="KT67" s="186" t="str">
        <f t="shared" si="144"/>
        <v>0</v>
      </c>
      <c r="KU67" s="186" t="str">
        <f t="shared" si="145"/>
        <v>0</v>
      </c>
      <c r="KV67" s="186">
        <f t="shared" si="289"/>
        <v>0</v>
      </c>
      <c r="KW67" s="186">
        <f t="shared" si="290"/>
        <v>0</v>
      </c>
      <c r="KX67" s="135" t="str">
        <f t="shared" si="146"/>
        <v>F</v>
      </c>
      <c r="KY67" s="151" t="str">
        <f>VLOOKUP(RANK(KW67,$KW$10:$KW$109),Sheet1!$A$381:$B$480,2,FALSE)</f>
        <v>1st</v>
      </c>
      <c r="KZ67" s="186"/>
      <c r="LA67" s="186"/>
      <c r="LB67" s="186">
        <f t="shared" si="147"/>
        <v>0</v>
      </c>
      <c r="LC67" s="186" t="str">
        <f t="shared" si="148"/>
        <v>0</v>
      </c>
      <c r="LD67" s="186" t="str">
        <f t="shared" si="149"/>
        <v>0</v>
      </c>
      <c r="LE67" s="186">
        <f t="shared" si="291"/>
        <v>0</v>
      </c>
      <c r="LF67" s="186">
        <f t="shared" si="292"/>
        <v>0</v>
      </c>
      <c r="LG67" s="135" t="str">
        <f t="shared" si="150"/>
        <v>F</v>
      </c>
      <c r="LH67" s="151" t="str">
        <f>VLOOKUP(RANK(LF67,$LF$10:$LF$109),Sheet1!$A$381:$B$480,2,FALSE)</f>
        <v>1st</v>
      </c>
      <c r="LI67" s="186"/>
      <c r="LJ67" s="186"/>
      <c r="LK67" s="186">
        <f t="shared" si="151"/>
        <v>0</v>
      </c>
      <c r="LL67" s="186" t="str">
        <f t="shared" si="152"/>
        <v>52</v>
      </c>
      <c r="LM67" s="186" t="str">
        <f t="shared" si="153"/>
        <v>50</v>
      </c>
      <c r="LN67" s="186">
        <f t="shared" si="293"/>
        <v>102</v>
      </c>
      <c r="LO67" s="186">
        <f t="shared" si="294"/>
        <v>34</v>
      </c>
      <c r="LP67" s="135" t="str">
        <f t="shared" si="154"/>
        <v>F</v>
      </c>
      <c r="LQ67" s="151" t="str">
        <f>VLOOKUP(RANK(LO67,$LO$10:$LO$109),Sheet1!$A$381:$B$480,2,FALSE)</f>
        <v>56th</v>
      </c>
      <c r="LR67" s="186"/>
      <c r="LS67" s="186"/>
      <c r="LT67" s="186">
        <f t="shared" si="155"/>
        <v>0</v>
      </c>
      <c r="LU67" s="186" t="str">
        <f t="shared" si="156"/>
        <v>40</v>
      </c>
      <c r="LV67" s="186" t="str">
        <f t="shared" si="157"/>
        <v>54</v>
      </c>
      <c r="LW67" s="186">
        <f t="shared" si="295"/>
        <v>94</v>
      </c>
      <c r="LX67" s="186">
        <f t="shared" si="296"/>
        <v>31.3333333333333</v>
      </c>
      <c r="LY67" s="135" t="str">
        <f t="shared" si="158"/>
        <v>F</v>
      </c>
      <c r="LZ67" s="151" t="str">
        <f>VLOOKUP(RANK(LX67,$LX$10:$LX$109),Sheet1!$A$381:$B$480,2,FALSE)</f>
        <v>70th</v>
      </c>
      <c r="MA67" s="186"/>
      <c r="MB67" s="186"/>
      <c r="MC67" s="186">
        <f t="shared" si="159"/>
        <v>0</v>
      </c>
      <c r="MD67" s="186" t="str">
        <f t="shared" si="160"/>
        <v>31</v>
      </c>
      <c r="ME67" s="186" t="str">
        <f t="shared" si="161"/>
        <v>34</v>
      </c>
      <c r="MF67" s="183">
        <f t="shared" si="297"/>
        <v>65</v>
      </c>
      <c r="MG67" s="151">
        <f t="shared" si="298"/>
        <v>21.6666666666667</v>
      </c>
      <c r="MH67" s="135" t="str">
        <f t="shared" si="162"/>
        <v>F</v>
      </c>
      <c r="MI67" s="151" t="str">
        <f>VLOOKUP(RANK(MG67,$MG$10:$MG$109),Sheet1!$A$381:$B$480,2,FALSE)</f>
        <v>69th</v>
      </c>
      <c r="MJ67" s="186"/>
      <c r="MK67" s="186"/>
      <c r="ML67" s="186">
        <f t="shared" si="163"/>
        <v>0</v>
      </c>
      <c r="MM67" s="186" t="str">
        <f t="shared" si="164"/>
        <v>50</v>
      </c>
      <c r="MN67" s="186" t="str">
        <f t="shared" si="165"/>
        <v>47</v>
      </c>
      <c r="MO67" s="186">
        <f t="shared" si="299"/>
        <v>97</v>
      </c>
      <c r="MP67" s="186">
        <f t="shared" si="300"/>
        <v>32.3333333333333</v>
      </c>
      <c r="MQ67" s="135" t="str">
        <f t="shared" si="166"/>
        <v>F</v>
      </c>
      <c r="MR67" s="151" t="str">
        <f>VLOOKUP(RANK(MP67,$MP$10:$MP$109),Sheet1!$A$381:$B$480,2,FALSE)</f>
        <v>38th</v>
      </c>
      <c r="MS67" s="186"/>
      <c r="MT67" s="186"/>
      <c r="MU67" s="186">
        <f t="shared" si="167"/>
        <v>0</v>
      </c>
      <c r="MV67" s="186" t="str">
        <f t="shared" si="168"/>
        <v>42</v>
      </c>
      <c r="MW67" s="186" t="str">
        <f t="shared" si="169"/>
        <v>46</v>
      </c>
      <c r="MX67" s="186">
        <f t="shared" si="301"/>
        <v>88</v>
      </c>
      <c r="MY67" s="186">
        <f t="shared" si="302"/>
        <v>29.3333333333333</v>
      </c>
      <c r="MZ67" s="135" t="str">
        <f t="shared" si="170"/>
        <v>F</v>
      </c>
      <c r="NA67" s="151" t="str">
        <f>VLOOKUP(RANK(MY67,$MY$10:$MY$109),Sheet1!$A$381:$B$480,2,FALSE)</f>
        <v>64th</v>
      </c>
      <c r="NB67" s="186"/>
      <c r="NC67" s="186"/>
      <c r="ND67" s="186">
        <f t="shared" si="171"/>
        <v>0</v>
      </c>
      <c r="NE67" s="186" t="str">
        <f t="shared" si="172"/>
        <v>41</v>
      </c>
      <c r="NF67" s="186" t="str">
        <f t="shared" si="173"/>
        <v>40</v>
      </c>
      <c r="NG67" s="186">
        <f t="shared" si="303"/>
        <v>81</v>
      </c>
      <c r="NH67" s="186">
        <f t="shared" si="304"/>
        <v>27</v>
      </c>
      <c r="NI67" s="135" t="str">
        <f t="shared" si="174"/>
        <v>F</v>
      </c>
      <c r="NJ67" s="151" t="str">
        <f>VLOOKUP(RANK(NH67,$NH$10:$NH$109),Sheet1!$A$381:$B$480,2,FALSE)</f>
        <v>57th</v>
      </c>
      <c r="NK67" s="186"/>
      <c r="NL67" s="186"/>
      <c r="NM67" s="186">
        <f t="shared" si="175"/>
        <v>0</v>
      </c>
      <c r="NN67" s="186" t="str">
        <f t="shared" si="176"/>
        <v>42</v>
      </c>
      <c r="NO67" s="186" t="str">
        <f t="shared" si="177"/>
        <v>5</v>
      </c>
      <c r="NP67" s="186">
        <f t="shared" si="305"/>
        <v>47</v>
      </c>
      <c r="NQ67" s="186">
        <f t="shared" si="263"/>
        <v>15.6666666666667</v>
      </c>
      <c r="NR67" s="135" t="str">
        <f t="shared" si="179"/>
        <v>F</v>
      </c>
      <c r="NS67" s="151" t="str">
        <f>VLOOKUP(RANK(NQ67,$NQ$10:$NQ$109),Sheet1!$A$381:$B$480,2,FALSE)</f>
        <v>99th</v>
      </c>
      <c r="NT67" s="186"/>
      <c r="NU67" s="186"/>
      <c r="NV67" s="186">
        <f t="shared" si="180"/>
        <v>0</v>
      </c>
      <c r="NW67" s="186" t="str">
        <f t="shared" si="181"/>
        <v>0</v>
      </c>
      <c r="NX67" s="186" t="str">
        <f t="shared" si="182"/>
        <v>0</v>
      </c>
      <c r="NY67" s="186">
        <f t="shared" si="306"/>
        <v>0</v>
      </c>
      <c r="NZ67" s="186">
        <f t="shared" si="264"/>
        <v>0</v>
      </c>
      <c r="OA67" s="135" t="str">
        <f t="shared" si="184"/>
        <v>F</v>
      </c>
      <c r="OB67" s="151" t="str">
        <f>VLOOKUP(RANK(NZ67,$NZ$10:$NZ$109),Sheet1!$A$381:$B$480,2,FALSE)</f>
        <v>1st</v>
      </c>
      <c r="OC67" s="186"/>
      <c r="OD67" s="186"/>
      <c r="OE67" s="186">
        <f t="shared" si="185"/>
        <v>0</v>
      </c>
      <c r="OF67" s="186" t="str">
        <f t="shared" si="186"/>
        <v>0</v>
      </c>
      <c r="OG67" s="186" t="str">
        <f t="shared" si="187"/>
        <v>0</v>
      </c>
      <c r="OH67" s="186">
        <f t="shared" si="307"/>
        <v>0</v>
      </c>
      <c r="OI67" s="186">
        <f t="shared" si="236"/>
        <v>0</v>
      </c>
      <c r="OJ67" s="135" t="str">
        <f t="shared" si="188"/>
        <v>F</v>
      </c>
      <c r="OK67" s="151" t="str">
        <f>VLOOKUP(RANK(OI67,$OI$10:$OI$109),Sheet1!$A$381:$B$480,2,FALSE)</f>
        <v>1st</v>
      </c>
      <c r="OL67" s="151"/>
      <c r="OM67" s="151"/>
      <c r="ON67" s="151">
        <f t="shared" si="308"/>
        <v>0</v>
      </c>
      <c r="OO67" s="151" t="str">
        <f t="shared" si="309"/>
        <v>0</v>
      </c>
      <c r="OP67" s="151" t="str">
        <f t="shared" si="310"/>
        <v>0</v>
      </c>
      <c r="OQ67" s="151">
        <f t="shared" si="311"/>
        <v>0</v>
      </c>
      <c r="OR67" s="151">
        <f t="shared" si="312"/>
        <v>0</v>
      </c>
      <c r="OS67" s="135" t="str">
        <f t="shared" si="189"/>
        <v>F</v>
      </c>
      <c r="OT67" s="151" t="str">
        <f>VLOOKUP(RANK(OR67,$OI$10:$OI$109),Sheet1!$A$381:$B$480,2,FALSE)</f>
        <v>1st</v>
      </c>
      <c r="OU67" s="151">
        <f t="shared" si="313"/>
        <v>358.33333333333297</v>
      </c>
      <c r="OV67" s="151">
        <f t="shared" si="314"/>
        <v>21.078431372549002</v>
      </c>
      <c r="OW67" s="151" t="str">
        <f>VLOOKUP(RANK(OV67,$OV$10:$OV$109),Sheet1!$A$381:$B$480,2,FALSE)</f>
        <v>84th</v>
      </c>
      <c r="OX67" s="151"/>
      <c r="OY67" s="186"/>
      <c r="OZ67" s="186"/>
      <c r="PA67" s="186"/>
      <c r="PB67" s="186"/>
    </row>
    <row r="68" spans="1:418" s="118" customFormat="1" ht="18.75">
      <c r="A68" s="131">
        <v>59</v>
      </c>
      <c r="B68" s="132" t="s">
        <v>158</v>
      </c>
      <c r="C68" s="133" t="s">
        <v>97</v>
      </c>
      <c r="D68" s="134">
        <v>23</v>
      </c>
      <c r="E68" s="134">
        <v>40</v>
      </c>
      <c r="F68" s="137">
        <f t="shared" si="0"/>
        <v>63</v>
      </c>
      <c r="G68" s="137">
        <f t="shared" si="1"/>
        <v>63</v>
      </c>
      <c r="H68" s="135" t="str">
        <f t="shared" si="265"/>
        <v>B</v>
      </c>
      <c r="I68" s="135" t="str">
        <f>VLOOKUP(RANK(G68,$G$10:$G$109),Sheet1!$A$381:$B$480,2,FALSE)</f>
        <v>73rd</v>
      </c>
      <c r="J68" s="134">
        <v>26</v>
      </c>
      <c r="K68" s="134">
        <v>25</v>
      </c>
      <c r="L68" s="137">
        <f t="shared" si="2"/>
        <v>51</v>
      </c>
      <c r="M68" s="137">
        <f t="shared" si="3"/>
        <v>51</v>
      </c>
      <c r="N68" s="135" t="str">
        <f t="shared" si="4"/>
        <v>C</v>
      </c>
      <c r="O68" s="141" t="str">
        <f>VLOOKUP(RANK(M68,$M$10:$M$109),Sheet1!$A$381:$B$480,2,FALSE)</f>
        <v>56th</v>
      </c>
      <c r="P68" s="144">
        <v>25</v>
      </c>
      <c r="Q68" s="144">
        <v>5</v>
      </c>
      <c r="R68" s="147">
        <f t="shared" si="5"/>
        <v>30</v>
      </c>
      <c r="S68" s="137">
        <f t="shared" si="6"/>
        <v>30</v>
      </c>
      <c r="T68" s="135" t="str">
        <f t="shared" si="7"/>
        <v>F</v>
      </c>
      <c r="U68" s="135" t="str">
        <f>VLOOKUP(RANK(S68,$S$10:$S$109),Sheet1!$A$381:$B$480,2,FALSE)</f>
        <v>80th</v>
      </c>
      <c r="V68" s="134">
        <v>26</v>
      </c>
      <c r="W68" s="134">
        <v>37</v>
      </c>
      <c r="X68" s="137">
        <f t="shared" si="191"/>
        <v>63</v>
      </c>
      <c r="Y68" s="137">
        <f t="shared" si="244"/>
        <v>63</v>
      </c>
      <c r="Z68" s="135" t="str">
        <f t="shared" si="8"/>
        <v>B</v>
      </c>
      <c r="AA68" s="135" t="str">
        <f>VLOOKUP(RANK(Y68,$Y$10:$Y$109),Sheet1!$A$381:$B$480,2,FALSE)</f>
        <v>30th</v>
      </c>
      <c r="AB68" s="134">
        <v>31</v>
      </c>
      <c r="AC68" s="134">
        <v>42</v>
      </c>
      <c r="AD68" s="137">
        <f t="shared" si="9"/>
        <v>73</v>
      </c>
      <c r="AE68" s="137">
        <f t="shared" si="10"/>
        <v>73</v>
      </c>
      <c r="AF68" s="135" t="str">
        <f t="shared" si="11"/>
        <v>B</v>
      </c>
      <c r="AG68" s="135" t="str">
        <f>VLOOKUP(RANK(AE68,$AE$10:$AE$109),Sheet1!$A$381:$B$480,2,FALSE)</f>
        <v>28th</v>
      </c>
      <c r="AH68" s="137"/>
      <c r="AI68" s="137"/>
      <c r="AJ68" s="137">
        <f t="shared" si="12"/>
        <v>0</v>
      </c>
      <c r="AK68" s="137">
        <f t="shared" si="13"/>
        <v>0</v>
      </c>
      <c r="AL68" s="135" t="str">
        <f t="shared" si="14"/>
        <v>F</v>
      </c>
      <c r="AM68" s="135" t="str">
        <f>VLOOKUP(RANK(AK68,$AK$10:$AK$109),Sheet1!$A$381:$B$480,2,FALSE)</f>
        <v>1st</v>
      </c>
      <c r="AN68" s="134"/>
      <c r="AO68" s="134"/>
      <c r="AP68" s="137">
        <f t="shared" si="15"/>
        <v>0</v>
      </c>
      <c r="AQ68" s="137">
        <f t="shared" si="16"/>
        <v>0</v>
      </c>
      <c r="AR68" s="135" t="str">
        <f t="shared" si="17"/>
        <v>F</v>
      </c>
      <c r="AS68" s="135" t="str">
        <f>VLOOKUP(RANK(AQ68,$AQ$10:$AQ$109),Sheet1!$A$381:$B$480,2,FALSE)</f>
        <v>1st</v>
      </c>
      <c r="AT68" s="142">
        <v>25</v>
      </c>
      <c r="AU68" s="145">
        <v>25</v>
      </c>
      <c r="AV68" s="137">
        <f t="shared" si="18"/>
        <v>50</v>
      </c>
      <c r="AW68" s="137">
        <f t="shared" si="19"/>
        <v>50</v>
      </c>
      <c r="AX68" s="135" t="str">
        <f t="shared" si="20"/>
        <v>C</v>
      </c>
      <c r="AY68" s="141" t="str">
        <f>VLOOKUP(RANK(AW68,$AW$10:$AW$109),Sheet1!$A$381:$B$480,2,FALSE)</f>
        <v>58th</v>
      </c>
      <c r="AZ68" s="144">
        <v>34</v>
      </c>
      <c r="BA68" s="144">
        <v>26</v>
      </c>
      <c r="BB68" s="147">
        <f t="shared" si="21"/>
        <v>60</v>
      </c>
      <c r="BC68" s="137">
        <f t="shared" si="22"/>
        <v>60</v>
      </c>
      <c r="BD68" s="135" t="str">
        <f t="shared" si="23"/>
        <v>B</v>
      </c>
      <c r="BE68" s="135" t="str">
        <f>VLOOKUP(RANK(BC68,$BC$10:$BC$109),Sheet1!$A$381:$B$480,2,FALSE)</f>
        <v>30th</v>
      </c>
      <c r="BF68" s="144">
        <v>20</v>
      </c>
      <c r="BG68" s="144">
        <v>15</v>
      </c>
      <c r="BH68" s="137">
        <f t="shared" si="24"/>
        <v>35</v>
      </c>
      <c r="BI68" s="137">
        <f t="shared" si="25"/>
        <v>35</v>
      </c>
      <c r="BJ68" s="135" t="str">
        <f t="shared" si="26"/>
        <v>E</v>
      </c>
      <c r="BK68" s="141" t="str">
        <f>VLOOKUP(RANK(BI68,$BI$10:$BI$109),Sheet1!$A$381:$B$480,2,FALSE)</f>
        <v>48th</v>
      </c>
      <c r="BL68" s="149">
        <v>27</v>
      </c>
      <c r="BM68" s="149">
        <v>28</v>
      </c>
      <c r="BN68" s="147">
        <f t="shared" si="27"/>
        <v>55</v>
      </c>
      <c r="BO68" s="137">
        <f t="shared" si="28"/>
        <v>55</v>
      </c>
      <c r="BP68" s="135" t="str">
        <f t="shared" si="29"/>
        <v>C</v>
      </c>
      <c r="BQ68" s="141" t="str">
        <f>VLOOKUP(RANK(BO68,$BO$10:$BO$109),Sheet1!$A$381:$B$480,2,FALSE)</f>
        <v>14th</v>
      </c>
      <c r="BR68" s="149">
        <v>28</v>
      </c>
      <c r="BS68" s="149">
        <v>31</v>
      </c>
      <c r="BT68" s="147">
        <f t="shared" si="30"/>
        <v>59</v>
      </c>
      <c r="BU68" s="137">
        <f t="shared" si="31"/>
        <v>59</v>
      </c>
      <c r="BV68" s="135" t="str">
        <f t="shared" si="32"/>
        <v>C</v>
      </c>
      <c r="BW68" s="135" t="str">
        <f>VLOOKUP(RANK(BU68,$BU$10:$BU$109),Sheet1!$A$381:$B$480,2,FALSE)</f>
        <v>25th</v>
      </c>
      <c r="BX68" s="149">
        <v>26</v>
      </c>
      <c r="BY68" s="149">
        <v>10</v>
      </c>
      <c r="BZ68" s="137">
        <f t="shared" si="33"/>
        <v>36</v>
      </c>
      <c r="CA68" s="137">
        <f t="shared" si="34"/>
        <v>36</v>
      </c>
      <c r="CB68" s="135" t="str">
        <f t="shared" si="35"/>
        <v>E</v>
      </c>
      <c r="CC68" s="135" t="str">
        <f>VLOOKUP(RANK(CA68,$CA$10:$CA$109),Sheet1!$A$381:$B$480,2,FALSE)</f>
        <v>91st</v>
      </c>
      <c r="CD68" s="149">
        <v>25</v>
      </c>
      <c r="CE68" s="149">
        <v>35</v>
      </c>
      <c r="CF68" s="137">
        <f t="shared" si="36"/>
        <v>60</v>
      </c>
      <c r="CG68" s="137">
        <f t="shared" si="37"/>
        <v>60</v>
      </c>
      <c r="CH68" s="135" t="str">
        <f t="shared" si="38"/>
        <v>B</v>
      </c>
      <c r="CI68" s="135" t="str">
        <f>VLOOKUP(RANK(CG68,$CG$10:$CG$109),Sheet1!$A$381:$B$480,2,FALSE)</f>
        <v>32nd</v>
      </c>
      <c r="CJ68" s="137"/>
      <c r="CK68" s="137"/>
      <c r="CL68" s="137">
        <f t="shared" si="39"/>
        <v>0</v>
      </c>
      <c r="CM68" s="137">
        <f t="shared" si="40"/>
        <v>0</v>
      </c>
      <c r="CN68" s="135" t="str">
        <f t="shared" si="41"/>
        <v>F</v>
      </c>
      <c r="CO68" s="135" t="str">
        <f>VLOOKUP(RANK(CM68,$CM$10:$CM$109),Sheet1!$A$381:$B$480,2,FALSE)</f>
        <v>1st</v>
      </c>
      <c r="CP68" s="137"/>
      <c r="CQ68" s="137"/>
      <c r="CR68" s="137">
        <f t="shared" si="42"/>
        <v>0</v>
      </c>
      <c r="CS68" s="137">
        <f t="shared" si="43"/>
        <v>0</v>
      </c>
      <c r="CT68" s="135" t="str">
        <f t="shared" si="44"/>
        <v>F</v>
      </c>
      <c r="CU68" s="135" t="str">
        <f>VLOOKUP(RANK(CS68,$CS$10:$CS$109),Sheet1!$A$381:$B$480,2,FALSE)</f>
        <v>1st</v>
      </c>
      <c r="CV68" s="151"/>
      <c r="CW68" s="135"/>
      <c r="CX68" s="151">
        <f t="shared" si="266"/>
        <v>0</v>
      </c>
      <c r="CY68" s="151">
        <f t="shared" si="267"/>
        <v>0</v>
      </c>
      <c r="CZ68" s="135" t="str">
        <f t="shared" si="45"/>
        <v>F</v>
      </c>
      <c r="DA68" s="135" t="str">
        <f>VLOOKUP(RANK(CY68,$CY$10:$CY$109),Sheet1!$A$381:$B$480,2,FALSE)</f>
        <v>1st</v>
      </c>
      <c r="DB68" s="135"/>
      <c r="DC68" s="151">
        <f t="shared" si="268"/>
        <v>635</v>
      </c>
      <c r="DD68" s="151">
        <f t="shared" si="269"/>
        <v>37.352941176470601</v>
      </c>
      <c r="DE68" s="135" t="str">
        <f>VLOOKUP(RANK(DD68,$DD$10:$DD$109),Sheet1!$A$381:$B$480,2,FALSE)</f>
        <v>43rd</v>
      </c>
      <c r="DF68" s="137"/>
      <c r="DG68" s="160">
        <f t="shared" si="46"/>
        <v>672.35294117647095</v>
      </c>
      <c r="DH68" s="119"/>
      <c r="DI68" s="162">
        <v>18</v>
      </c>
      <c r="DJ68" s="162">
        <v>46</v>
      </c>
      <c r="DK68" s="137">
        <f t="shared" si="47"/>
        <v>64</v>
      </c>
      <c r="DL68" s="137" t="str">
        <f t="shared" si="245"/>
        <v>63</v>
      </c>
      <c r="DM68" s="137">
        <f t="shared" si="49"/>
        <v>127</v>
      </c>
      <c r="DN68" s="137">
        <f t="shared" si="50"/>
        <v>63.5</v>
      </c>
      <c r="DO68" s="135" t="str">
        <f t="shared" si="51"/>
        <v>B</v>
      </c>
      <c r="DP68" s="135" t="str">
        <f>VLOOKUP(RANK(DN68,$DN$10:$DN$109),Sheet1!$A$381:$B$480,2,FALSE)</f>
        <v>63rd</v>
      </c>
      <c r="DQ68" s="166">
        <v>23</v>
      </c>
      <c r="DR68" s="166">
        <v>21</v>
      </c>
      <c r="DS68" s="137">
        <f t="shared" si="52"/>
        <v>44</v>
      </c>
      <c r="DT68" s="137" t="str">
        <f t="shared" si="246"/>
        <v>51</v>
      </c>
      <c r="DU68" s="137">
        <f t="shared" si="54"/>
        <v>95</v>
      </c>
      <c r="DV68" s="137">
        <f t="shared" si="247"/>
        <v>47.5</v>
      </c>
      <c r="DW68" s="135" t="str">
        <f t="shared" si="56"/>
        <v>D</v>
      </c>
      <c r="DX68" s="135" t="str">
        <f>VLOOKUP(RANK(DV68,$DV$10:$DV$109),Sheet1!$A$381:$B$480,2,FALSE)</f>
        <v>61st</v>
      </c>
      <c r="DY68" s="168">
        <v>30</v>
      </c>
      <c r="DZ68" s="168">
        <v>27</v>
      </c>
      <c r="EA68" s="137">
        <f t="shared" si="57"/>
        <v>57</v>
      </c>
      <c r="EB68" s="137" t="str">
        <f t="shared" si="248"/>
        <v>30</v>
      </c>
      <c r="EC68" s="137">
        <f t="shared" si="59"/>
        <v>87</v>
      </c>
      <c r="ED68" s="137">
        <f t="shared" si="60"/>
        <v>43.5</v>
      </c>
      <c r="EE68" s="135" t="str">
        <f t="shared" si="61"/>
        <v>D</v>
      </c>
      <c r="EF68" s="135" t="str">
        <f>VLOOKUP(RANK(ED68,$ED$10:$ED$109),Sheet1!$A$381:$B$480,2,FALSE)</f>
        <v>57th</v>
      </c>
      <c r="EG68" s="162">
        <v>33</v>
      </c>
      <c r="EH68" s="162">
        <v>38</v>
      </c>
      <c r="EI68" s="137">
        <f t="shared" si="62"/>
        <v>71</v>
      </c>
      <c r="EJ68" s="137" t="str">
        <f t="shared" si="249"/>
        <v>63</v>
      </c>
      <c r="EK68" s="137">
        <f t="shared" si="64"/>
        <v>134</v>
      </c>
      <c r="EL68" s="137">
        <f t="shared" si="65"/>
        <v>67</v>
      </c>
      <c r="EM68" s="135" t="str">
        <f t="shared" si="66"/>
        <v>B</v>
      </c>
      <c r="EN68" s="135" t="str">
        <f>VLOOKUP(RANK(EL68,$EL$10:$EL$109),Sheet1!$A$381:$B$480,2,FALSE)</f>
        <v>20th</v>
      </c>
      <c r="EO68" s="162">
        <v>32</v>
      </c>
      <c r="EP68" s="162">
        <v>29</v>
      </c>
      <c r="EQ68" s="137">
        <f t="shared" si="67"/>
        <v>61</v>
      </c>
      <c r="ER68" s="137" t="str">
        <f t="shared" si="250"/>
        <v>73</v>
      </c>
      <c r="ES68" s="137">
        <f t="shared" si="69"/>
        <v>134</v>
      </c>
      <c r="ET68" s="137">
        <f t="shared" si="70"/>
        <v>67</v>
      </c>
      <c r="EU68" s="135" t="str">
        <f t="shared" si="71"/>
        <v>B</v>
      </c>
      <c r="EV68" s="135" t="str">
        <f>VLOOKUP(RANK(ET68,$ET$10:$ET$109),Sheet1!$A$381:$B$480,2,FALSE)</f>
        <v>24th</v>
      </c>
      <c r="EW68" s="137"/>
      <c r="EX68" s="137"/>
      <c r="EY68" s="137">
        <f t="shared" si="72"/>
        <v>0</v>
      </c>
      <c r="EZ68" s="137" t="str">
        <f t="shared" si="251"/>
        <v>0</v>
      </c>
      <c r="FA68" s="137">
        <f t="shared" si="74"/>
        <v>0</v>
      </c>
      <c r="FB68" s="137">
        <f t="shared" si="75"/>
        <v>0</v>
      </c>
      <c r="FC68" s="135" t="str">
        <f t="shared" si="76"/>
        <v>F</v>
      </c>
      <c r="FD68" s="135" t="str">
        <f>VLOOKUP(RANK(FB68,$FB$10:$FB$109),Sheet1!$A$381:$B$480,2,FALSE)</f>
        <v>1st</v>
      </c>
      <c r="FE68" s="137"/>
      <c r="FF68" s="137"/>
      <c r="FG68" s="137">
        <f t="shared" si="77"/>
        <v>0</v>
      </c>
      <c r="FH68" s="137" t="str">
        <f t="shared" si="252"/>
        <v>0</v>
      </c>
      <c r="FI68" s="137">
        <f t="shared" si="79"/>
        <v>0</v>
      </c>
      <c r="FJ68" s="137">
        <f t="shared" si="80"/>
        <v>0</v>
      </c>
      <c r="FK68" s="135" t="str">
        <f t="shared" si="81"/>
        <v>F</v>
      </c>
      <c r="FL68" s="135" t="str">
        <f>VLOOKUP(RANK(FJ68,$FJ$10:$FJ$109),Sheet1!$A$381:$B$480,2,FALSE)</f>
        <v>1st</v>
      </c>
      <c r="FM68" s="164">
        <v>25</v>
      </c>
      <c r="FN68" s="165">
        <v>35</v>
      </c>
      <c r="FO68" s="137">
        <f t="shared" si="82"/>
        <v>60</v>
      </c>
      <c r="FP68" s="137" t="str">
        <f t="shared" si="253"/>
        <v>50</v>
      </c>
      <c r="FQ68" s="137">
        <f t="shared" si="84"/>
        <v>110</v>
      </c>
      <c r="FR68" s="137">
        <f t="shared" si="85"/>
        <v>55</v>
      </c>
      <c r="FS68" s="135" t="str">
        <f t="shared" si="86"/>
        <v>C</v>
      </c>
      <c r="FT68" s="135" t="str">
        <f>VLOOKUP(RANK(FR68,$FR$10:$FR$109),Sheet1!$A$381:$B$480,2,FALSE)</f>
        <v>23rd</v>
      </c>
      <c r="FU68" s="149">
        <v>38</v>
      </c>
      <c r="FV68" s="149">
        <v>20</v>
      </c>
      <c r="FW68" s="137">
        <f t="shared" si="87"/>
        <v>58</v>
      </c>
      <c r="FX68" s="137" t="str">
        <f t="shared" si="254"/>
        <v>60</v>
      </c>
      <c r="FY68" s="137">
        <f t="shared" si="196"/>
        <v>58</v>
      </c>
      <c r="FZ68" s="137">
        <f t="shared" si="89"/>
        <v>29</v>
      </c>
      <c r="GA68" s="135" t="str">
        <f t="shared" si="90"/>
        <v>F</v>
      </c>
      <c r="GB68" s="135" t="str">
        <f>VLOOKUP(RANK(FZ68,$FZ$10:$FZ$109),Sheet1!$A$381:$B$480,2,FALSE)</f>
        <v>28th</v>
      </c>
      <c r="GC68" s="166">
        <v>30</v>
      </c>
      <c r="GD68" s="166">
        <v>26</v>
      </c>
      <c r="GE68" s="137">
        <f t="shared" si="91"/>
        <v>56</v>
      </c>
      <c r="GF68" s="137" t="str">
        <f t="shared" si="255"/>
        <v>35</v>
      </c>
      <c r="GG68" s="135">
        <f t="shared" si="270"/>
        <v>91</v>
      </c>
      <c r="GH68" s="137">
        <f t="shared" si="271"/>
        <v>45.5</v>
      </c>
      <c r="GI68" s="135" t="str">
        <f t="shared" si="93"/>
        <v>D</v>
      </c>
      <c r="GJ68" s="135" t="str">
        <f>VLOOKUP(RANK(GH68,$GH$10:$GH$109),Sheet1!$A$381:$B$480,2,FALSE)</f>
        <v>27th</v>
      </c>
      <c r="GK68" s="166">
        <v>26</v>
      </c>
      <c r="GL68" s="166">
        <v>17</v>
      </c>
      <c r="GM68" s="137">
        <f t="shared" si="94"/>
        <v>43</v>
      </c>
      <c r="GN68" s="137" t="str">
        <f t="shared" si="256"/>
        <v>55</v>
      </c>
      <c r="GO68" s="135">
        <f t="shared" si="272"/>
        <v>98</v>
      </c>
      <c r="GP68" s="137">
        <f t="shared" si="96"/>
        <v>49</v>
      </c>
      <c r="GQ68" s="135" t="str">
        <f t="shared" si="97"/>
        <v>D</v>
      </c>
      <c r="GR68" s="135" t="str">
        <f>VLOOKUP(RANK(GP68,$GP$10:$GP$109),Sheet1!$A$381:$B$480,2,FALSE)</f>
        <v>31st</v>
      </c>
      <c r="GS68" s="166">
        <v>30</v>
      </c>
      <c r="GT68" s="166">
        <v>47</v>
      </c>
      <c r="GU68" s="137">
        <f t="shared" si="98"/>
        <v>77</v>
      </c>
      <c r="GV68" s="137" t="str">
        <f t="shared" si="257"/>
        <v>59</v>
      </c>
      <c r="GW68" s="137">
        <f t="shared" si="100"/>
        <v>136</v>
      </c>
      <c r="GX68" s="137">
        <f t="shared" si="101"/>
        <v>68</v>
      </c>
      <c r="GY68" s="135" t="str">
        <f t="shared" si="102"/>
        <v>B</v>
      </c>
      <c r="GZ68" s="135" t="str">
        <f>VLOOKUP(RANK(GX68,$GX$10:$GX$109),Sheet1!$A$381:$B$480,2,FALSE)</f>
        <v>14th</v>
      </c>
      <c r="HA68" s="166">
        <v>28</v>
      </c>
      <c r="HB68" s="166">
        <v>21</v>
      </c>
      <c r="HC68" s="137">
        <f t="shared" si="103"/>
        <v>49</v>
      </c>
      <c r="HD68" s="137" t="str">
        <f t="shared" si="258"/>
        <v>36</v>
      </c>
      <c r="HE68" s="137">
        <f t="shared" si="105"/>
        <v>85</v>
      </c>
      <c r="HF68" s="137">
        <f t="shared" si="106"/>
        <v>42.5</v>
      </c>
      <c r="HG68" s="135" t="str">
        <f t="shared" si="107"/>
        <v>D</v>
      </c>
      <c r="HH68" s="135" t="str">
        <f>VLOOKUP(RANK(HF68,$HF$10:$HF$109),Sheet1!$A$381:$B$480,2,FALSE)</f>
        <v>38th</v>
      </c>
      <c r="HI68" s="149">
        <v>28</v>
      </c>
      <c r="HJ68" s="149">
        <v>46</v>
      </c>
      <c r="HK68" s="137">
        <f t="shared" si="108"/>
        <v>74</v>
      </c>
      <c r="HL68" s="137" t="str">
        <f t="shared" si="259"/>
        <v>60</v>
      </c>
      <c r="HM68" s="137">
        <f t="shared" si="110"/>
        <v>134</v>
      </c>
      <c r="HN68" s="137">
        <f t="shared" si="111"/>
        <v>67</v>
      </c>
      <c r="HO68" s="135" t="str">
        <f t="shared" si="112"/>
        <v>B</v>
      </c>
      <c r="HP68" s="135" t="str">
        <f>VLOOKUP(RANK(HN68,$HN$10:$HN$109),Sheet1!$A$381:$B$480,2,FALSE)</f>
        <v>35th</v>
      </c>
      <c r="HQ68" s="137"/>
      <c r="HR68" s="137"/>
      <c r="HS68" s="137">
        <f t="shared" si="113"/>
        <v>0</v>
      </c>
      <c r="HT68" s="137" t="str">
        <f t="shared" si="260"/>
        <v>0</v>
      </c>
      <c r="HU68" s="137">
        <f t="shared" si="115"/>
        <v>0</v>
      </c>
      <c r="HV68" s="137">
        <f t="shared" si="116"/>
        <v>0</v>
      </c>
      <c r="HW68" s="135" t="str">
        <f t="shared" si="117"/>
        <v>F</v>
      </c>
      <c r="HX68" s="135" t="str">
        <f>VLOOKUP(RANK(HV68,$HV$10:$HV$109),Sheet1!$A$381:$B$480,2,FALSE)</f>
        <v>1st</v>
      </c>
      <c r="HY68" s="137"/>
      <c r="HZ68" s="137"/>
      <c r="IA68" s="137">
        <f t="shared" si="261"/>
        <v>0</v>
      </c>
      <c r="IB68" s="137" t="str">
        <f t="shared" si="262"/>
        <v>0</v>
      </c>
      <c r="IC68" s="137">
        <f t="shared" si="120"/>
        <v>0</v>
      </c>
      <c r="ID68" s="137">
        <f t="shared" si="121"/>
        <v>0</v>
      </c>
      <c r="IE68" s="135" t="str">
        <f t="shared" si="122"/>
        <v>F</v>
      </c>
      <c r="IF68" s="135" t="str">
        <f>VLOOKUP(RANK(ID68,$ID$10:$ID$109),Sheet1!$A$381:$B$480,2,FALSE)</f>
        <v>1st</v>
      </c>
      <c r="IG68" s="135"/>
      <c r="IH68" s="135"/>
      <c r="II68" s="135">
        <f t="shared" si="273"/>
        <v>0</v>
      </c>
      <c r="IJ68" s="135" t="str">
        <f t="shared" si="274"/>
        <v>0</v>
      </c>
      <c r="IK68" s="135">
        <f t="shared" si="275"/>
        <v>0</v>
      </c>
      <c r="IL68" s="135">
        <f t="shared" si="276"/>
        <v>0</v>
      </c>
      <c r="IM68" s="135" t="str">
        <f t="shared" si="123"/>
        <v>F</v>
      </c>
      <c r="IN68" s="135" t="str">
        <f>VLOOKUP(RANK(IL68,$IL$10:$IL$109),Sheet1!$A$381:$B$480,2,FALSE)</f>
        <v>1st</v>
      </c>
      <c r="IO68" s="135">
        <f t="shared" si="277"/>
        <v>644.5</v>
      </c>
      <c r="IP68" s="177">
        <f t="shared" si="278"/>
        <v>37.911764705882398</v>
      </c>
      <c r="IQ68" s="135" t="str">
        <f>VLOOKUP(RANK(IP68,$IP$10:$IP$109),Sheet1!$A$381:$B$480,2,FALSE)</f>
        <v>30th</v>
      </c>
      <c r="IR68" s="178"/>
      <c r="IS68" s="137"/>
      <c r="IT68" s="137"/>
      <c r="IU68" s="137"/>
      <c r="IV68" s="137"/>
      <c r="IW68" s="181"/>
      <c r="IX68" s="184"/>
      <c r="IY68" s="186"/>
      <c r="IZ68" s="186">
        <f t="shared" si="206"/>
        <v>0</v>
      </c>
      <c r="JA68" s="186" t="str">
        <f t="shared" si="124"/>
        <v>63</v>
      </c>
      <c r="JB68" s="186" t="str">
        <f t="shared" si="125"/>
        <v>64</v>
      </c>
      <c r="JC68" s="186">
        <f t="shared" si="279"/>
        <v>127</v>
      </c>
      <c r="JD68" s="186">
        <f t="shared" si="280"/>
        <v>42.3333333333333</v>
      </c>
      <c r="JE68" s="135" t="str">
        <f t="shared" si="126"/>
        <v>D</v>
      </c>
      <c r="JF68" s="151" t="str">
        <f>VLOOKUP(RANK(JD68,$JD$10:$JD$109),Sheet1!$A$381:$B$480,2,FALSE)</f>
        <v>63rd</v>
      </c>
      <c r="JG68" s="186"/>
      <c r="JH68" s="186"/>
      <c r="JI68" s="186">
        <f t="shared" si="127"/>
        <v>0</v>
      </c>
      <c r="JJ68" s="186" t="str">
        <f t="shared" si="128"/>
        <v>51</v>
      </c>
      <c r="JK68" s="186" t="str">
        <f t="shared" si="129"/>
        <v>44</v>
      </c>
      <c r="JL68" s="186">
        <f t="shared" si="281"/>
        <v>95</v>
      </c>
      <c r="JM68" s="186">
        <f t="shared" si="282"/>
        <v>31.6666666666667</v>
      </c>
      <c r="JN68" s="135" t="str">
        <f t="shared" si="130"/>
        <v>F</v>
      </c>
      <c r="JO68" s="151" t="str">
        <f>VLOOKUP(RANK(JM68,$JM$10:$JM$109),Sheet1!$A$381:$B$480,2,FALSE)</f>
        <v>61st</v>
      </c>
      <c r="JP68" s="186"/>
      <c r="JQ68" s="186"/>
      <c r="JR68" s="186">
        <f t="shared" si="131"/>
        <v>0</v>
      </c>
      <c r="JS68" s="186" t="str">
        <f t="shared" si="132"/>
        <v>30</v>
      </c>
      <c r="JT68" s="186" t="str">
        <f t="shared" si="133"/>
        <v>57</v>
      </c>
      <c r="JU68" s="186">
        <f t="shared" si="283"/>
        <v>87</v>
      </c>
      <c r="JV68" s="186">
        <f t="shared" si="284"/>
        <v>29</v>
      </c>
      <c r="JW68" s="135" t="str">
        <f t="shared" si="134"/>
        <v>F</v>
      </c>
      <c r="JX68" s="151" t="str">
        <f>VLOOKUP(RANK(JV68,$JV$10:$JV$109),Sheet1!$A$381:$B$480,2,FALSE)</f>
        <v>57th</v>
      </c>
      <c r="JY68" s="186"/>
      <c r="JZ68" s="186"/>
      <c r="KA68" s="186">
        <f t="shared" si="135"/>
        <v>0</v>
      </c>
      <c r="KB68" s="186" t="str">
        <f t="shared" si="136"/>
        <v>63</v>
      </c>
      <c r="KC68" s="186" t="str">
        <f t="shared" si="137"/>
        <v>71</v>
      </c>
      <c r="KD68" s="186">
        <f t="shared" si="285"/>
        <v>134</v>
      </c>
      <c r="KE68" s="186">
        <f t="shared" si="286"/>
        <v>44.6666666666667</v>
      </c>
      <c r="KF68" s="135" t="str">
        <f t="shared" si="138"/>
        <v>D</v>
      </c>
      <c r="KG68" s="151" t="str">
        <f>VLOOKUP(RANK(KE68,$KE$10:$KE$109),Sheet1!$A$381:$B$480,2,FALSE)</f>
        <v>20th</v>
      </c>
      <c r="KH68" s="186"/>
      <c r="KI68" s="186"/>
      <c r="KJ68" s="186">
        <f t="shared" si="139"/>
        <v>0</v>
      </c>
      <c r="KK68" s="186" t="str">
        <f t="shared" si="140"/>
        <v>73</v>
      </c>
      <c r="KL68" s="186" t="str">
        <f t="shared" si="141"/>
        <v>61</v>
      </c>
      <c r="KM68" s="186">
        <f t="shared" si="287"/>
        <v>134</v>
      </c>
      <c r="KN68" s="186">
        <f t="shared" si="288"/>
        <v>44.6666666666667</v>
      </c>
      <c r="KO68" s="135" t="str">
        <f t="shared" si="142"/>
        <v>D</v>
      </c>
      <c r="KP68" s="151" t="str">
        <f>VLOOKUP(RANK(KN68,$KN$10:$KN$109),Sheet1!$A$381:$B$480,2,FALSE)</f>
        <v>24th</v>
      </c>
      <c r="KQ68" s="186"/>
      <c r="KR68" s="186"/>
      <c r="KS68" s="186">
        <f t="shared" si="143"/>
        <v>0</v>
      </c>
      <c r="KT68" s="186" t="str">
        <f t="shared" si="144"/>
        <v>0</v>
      </c>
      <c r="KU68" s="186" t="str">
        <f t="shared" si="145"/>
        <v>0</v>
      </c>
      <c r="KV68" s="186">
        <f t="shared" si="289"/>
        <v>0</v>
      </c>
      <c r="KW68" s="186">
        <f t="shared" si="290"/>
        <v>0</v>
      </c>
      <c r="KX68" s="135" t="str">
        <f t="shared" si="146"/>
        <v>F</v>
      </c>
      <c r="KY68" s="151" t="str">
        <f>VLOOKUP(RANK(KW68,$KW$10:$KW$109),Sheet1!$A$381:$B$480,2,FALSE)</f>
        <v>1st</v>
      </c>
      <c r="KZ68" s="186"/>
      <c r="LA68" s="186"/>
      <c r="LB68" s="186">
        <f t="shared" si="147"/>
        <v>0</v>
      </c>
      <c r="LC68" s="186" t="str">
        <f t="shared" si="148"/>
        <v>0</v>
      </c>
      <c r="LD68" s="186" t="str">
        <f t="shared" si="149"/>
        <v>0</v>
      </c>
      <c r="LE68" s="186">
        <f t="shared" si="291"/>
        <v>0</v>
      </c>
      <c r="LF68" s="186">
        <f t="shared" si="292"/>
        <v>0</v>
      </c>
      <c r="LG68" s="135" t="str">
        <f t="shared" si="150"/>
        <v>F</v>
      </c>
      <c r="LH68" s="151" t="str">
        <f>VLOOKUP(RANK(LF68,$LF$10:$LF$109),Sheet1!$A$381:$B$480,2,FALSE)</f>
        <v>1st</v>
      </c>
      <c r="LI68" s="186"/>
      <c r="LJ68" s="186"/>
      <c r="LK68" s="186">
        <f t="shared" si="151"/>
        <v>0</v>
      </c>
      <c r="LL68" s="186" t="str">
        <f t="shared" si="152"/>
        <v>50</v>
      </c>
      <c r="LM68" s="186" t="str">
        <f t="shared" si="153"/>
        <v>60</v>
      </c>
      <c r="LN68" s="186">
        <f t="shared" si="293"/>
        <v>110</v>
      </c>
      <c r="LO68" s="186">
        <f t="shared" si="294"/>
        <v>36.6666666666667</v>
      </c>
      <c r="LP68" s="135" t="str">
        <f t="shared" si="154"/>
        <v>E</v>
      </c>
      <c r="LQ68" s="151" t="str">
        <f>VLOOKUP(RANK(LO68,$LO$10:$LO$109),Sheet1!$A$381:$B$480,2,FALSE)</f>
        <v>23rd</v>
      </c>
      <c r="LR68" s="186"/>
      <c r="LS68" s="186"/>
      <c r="LT68" s="186">
        <f t="shared" si="155"/>
        <v>0</v>
      </c>
      <c r="LU68" s="186" t="str">
        <f t="shared" si="156"/>
        <v>60</v>
      </c>
      <c r="LV68" s="186" t="str">
        <f t="shared" si="157"/>
        <v>58</v>
      </c>
      <c r="LW68" s="186">
        <f t="shared" si="295"/>
        <v>118</v>
      </c>
      <c r="LX68" s="186">
        <f t="shared" si="296"/>
        <v>39.3333333333333</v>
      </c>
      <c r="LY68" s="135" t="str">
        <f t="shared" si="158"/>
        <v>E</v>
      </c>
      <c r="LZ68" s="151" t="str">
        <f>VLOOKUP(RANK(LX68,$LX$10:$LX$109),Sheet1!$A$381:$B$480,2,FALSE)</f>
        <v>24th</v>
      </c>
      <c r="MA68" s="186"/>
      <c r="MB68" s="186"/>
      <c r="MC68" s="186">
        <f t="shared" si="159"/>
        <v>0</v>
      </c>
      <c r="MD68" s="186" t="str">
        <f t="shared" si="160"/>
        <v>35</v>
      </c>
      <c r="ME68" s="186" t="str">
        <f t="shared" si="161"/>
        <v>56</v>
      </c>
      <c r="MF68" s="183">
        <f t="shared" si="297"/>
        <v>91</v>
      </c>
      <c r="MG68" s="151">
        <f t="shared" si="298"/>
        <v>30.3333333333333</v>
      </c>
      <c r="MH68" s="135" t="str">
        <f t="shared" si="162"/>
        <v>F</v>
      </c>
      <c r="MI68" s="151" t="str">
        <f>VLOOKUP(RANK(MG68,$MG$10:$MG$109),Sheet1!$A$381:$B$480,2,FALSE)</f>
        <v>27th</v>
      </c>
      <c r="MJ68" s="186"/>
      <c r="MK68" s="186"/>
      <c r="ML68" s="186">
        <f t="shared" si="163"/>
        <v>0</v>
      </c>
      <c r="MM68" s="186" t="str">
        <f t="shared" si="164"/>
        <v>55</v>
      </c>
      <c r="MN68" s="186" t="str">
        <f t="shared" si="165"/>
        <v>43</v>
      </c>
      <c r="MO68" s="186">
        <f t="shared" si="299"/>
        <v>98</v>
      </c>
      <c r="MP68" s="186">
        <f t="shared" si="300"/>
        <v>32.6666666666667</v>
      </c>
      <c r="MQ68" s="135" t="str">
        <f t="shared" si="166"/>
        <v>F</v>
      </c>
      <c r="MR68" s="151" t="str">
        <f>VLOOKUP(RANK(MP68,$MP$10:$MP$109),Sheet1!$A$381:$B$480,2,FALSE)</f>
        <v>31st</v>
      </c>
      <c r="MS68" s="186"/>
      <c r="MT68" s="186"/>
      <c r="MU68" s="186">
        <f t="shared" si="167"/>
        <v>0</v>
      </c>
      <c r="MV68" s="186" t="str">
        <f t="shared" si="168"/>
        <v>59</v>
      </c>
      <c r="MW68" s="186" t="str">
        <f t="shared" si="169"/>
        <v>77</v>
      </c>
      <c r="MX68" s="186">
        <f t="shared" si="301"/>
        <v>136</v>
      </c>
      <c r="MY68" s="186">
        <f t="shared" si="302"/>
        <v>45.3333333333333</v>
      </c>
      <c r="MZ68" s="135" t="str">
        <f t="shared" si="170"/>
        <v>D</v>
      </c>
      <c r="NA68" s="151" t="str">
        <f>VLOOKUP(RANK(MY68,$MY$10:$MY$109),Sheet1!$A$381:$B$480,2,FALSE)</f>
        <v>14th</v>
      </c>
      <c r="NB68" s="186"/>
      <c r="NC68" s="186"/>
      <c r="ND68" s="186">
        <f t="shared" si="171"/>
        <v>0</v>
      </c>
      <c r="NE68" s="186" t="str">
        <f t="shared" si="172"/>
        <v>36</v>
      </c>
      <c r="NF68" s="186" t="str">
        <f t="shared" si="173"/>
        <v>49</v>
      </c>
      <c r="NG68" s="186">
        <f t="shared" si="303"/>
        <v>85</v>
      </c>
      <c r="NH68" s="186">
        <f t="shared" si="304"/>
        <v>28.3333333333333</v>
      </c>
      <c r="NI68" s="135" t="str">
        <f t="shared" si="174"/>
        <v>F</v>
      </c>
      <c r="NJ68" s="151" t="str">
        <f>VLOOKUP(RANK(NH68,$NH$10:$NH$109),Sheet1!$A$381:$B$480,2,FALSE)</f>
        <v>38th</v>
      </c>
      <c r="NK68" s="186"/>
      <c r="NL68" s="186"/>
      <c r="NM68" s="186">
        <f t="shared" si="175"/>
        <v>0</v>
      </c>
      <c r="NN68" s="186" t="str">
        <f t="shared" si="176"/>
        <v>60</v>
      </c>
      <c r="NO68" s="186" t="str">
        <f t="shared" si="177"/>
        <v>74</v>
      </c>
      <c r="NP68" s="186">
        <f t="shared" si="305"/>
        <v>134</v>
      </c>
      <c r="NQ68" s="186">
        <f t="shared" si="263"/>
        <v>44.6666666666667</v>
      </c>
      <c r="NR68" s="135" t="str">
        <f t="shared" si="179"/>
        <v>D</v>
      </c>
      <c r="NS68" s="151" t="str">
        <f>VLOOKUP(RANK(NQ68,$NQ$10:$NQ$109),Sheet1!$A$381:$B$480,2,FALSE)</f>
        <v>35th</v>
      </c>
      <c r="NT68" s="186"/>
      <c r="NU68" s="186"/>
      <c r="NV68" s="186">
        <f t="shared" si="180"/>
        <v>0</v>
      </c>
      <c r="NW68" s="186" t="str">
        <f t="shared" si="181"/>
        <v>0</v>
      </c>
      <c r="NX68" s="186" t="str">
        <f t="shared" si="182"/>
        <v>0</v>
      </c>
      <c r="NY68" s="186">
        <f t="shared" si="306"/>
        <v>0</v>
      </c>
      <c r="NZ68" s="186">
        <f t="shared" si="264"/>
        <v>0</v>
      </c>
      <c r="OA68" s="135" t="str">
        <f t="shared" si="184"/>
        <v>F</v>
      </c>
      <c r="OB68" s="151" t="str">
        <f>VLOOKUP(RANK(NZ68,$NZ$10:$NZ$109),Sheet1!$A$381:$B$480,2,FALSE)</f>
        <v>1st</v>
      </c>
      <c r="OC68" s="186"/>
      <c r="OD68" s="186"/>
      <c r="OE68" s="186">
        <f t="shared" si="185"/>
        <v>0</v>
      </c>
      <c r="OF68" s="186" t="str">
        <f t="shared" si="186"/>
        <v>0</v>
      </c>
      <c r="OG68" s="186" t="str">
        <f t="shared" si="187"/>
        <v>0</v>
      </c>
      <c r="OH68" s="186">
        <f t="shared" si="307"/>
        <v>0</v>
      </c>
      <c r="OI68" s="186">
        <f t="shared" si="236"/>
        <v>0</v>
      </c>
      <c r="OJ68" s="135" t="str">
        <f t="shared" si="188"/>
        <v>F</v>
      </c>
      <c r="OK68" s="151" t="str">
        <f>VLOOKUP(RANK(OI68,$OI$10:$OI$109),Sheet1!$A$381:$B$480,2,FALSE)</f>
        <v>1st</v>
      </c>
      <c r="OL68" s="151"/>
      <c r="OM68" s="151"/>
      <c r="ON68" s="151">
        <f t="shared" si="308"/>
        <v>0</v>
      </c>
      <c r="OO68" s="151" t="str">
        <f t="shared" si="309"/>
        <v>0</v>
      </c>
      <c r="OP68" s="151" t="str">
        <f t="shared" si="310"/>
        <v>0</v>
      </c>
      <c r="OQ68" s="151">
        <f t="shared" si="311"/>
        <v>0</v>
      </c>
      <c r="OR68" s="151">
        <f t="shared" si="312"/>
        <v>0</v>
      </c>
      <c r="OS68" s="135" t="str">
        <f t="shared" si="189"/>
        <v>F</v>
      </c>
      <c r="OT68" s="151" t="str">
        <f>VLOOKUP(RANK(OR68,$OI$10:$OI$109),Sheet1!$A$381:$B$480,2,FALSE)</f>
        <v>1st</v>
      </c>
      <c r="OU68" s="151">
        <f t="shared" si="313"/>
        <v>449.66666666666703</v>
      </c>
      <c r="OV68" s="151">
        <f t="shared" si="314"/>
        <v>26.4509803921569</v>
      </c>
      <c r="OW68" s="151" t="str">
        <f>VLOOKUP(RANK(OV68,$OV$10:$OV$109),Sheet1!$A$381:$B$480,2,FALSE)</f>
        <v>29th</v>
      </c>
      <c r="OX68" s="151"/>
      <c r="OY68" s="186"/>
      <c r="OZ68" s="186"/>
      <c r="PA68" s="186"/>
      <c r="PB68" s="186"/>
    </row>
    <row r="69" spans="1:418" s="118" customFormat="1" ht="18.75">
      <c r="A69" s="131">
        <v>60</v>
      </c>
      <c r="B69" s="132" t="s">
        <v>159</v>
      </c>
      <c r="C69" s="133" t="s">
        <v>97</v>
      </c>
      <c r="D69" s="134">
        <v>24</v>
      </c>
      <c r="E69" s="134">
        <v>47</v>
      </c>
      <c r="F69" s="137">
        <f t="shared" si="0"/>
        <v>71</v>
      </c>
      <c r="G69" s="137">
        <f t="shared" si="1"/>
        <v>71</v>
      </c>
      <c r="H69" s="135" t="str">
        <f t="shared" si="265"/>
        <v>B</v>
      </c>
      <c r="I69" s="135" t="str">
        <f>VLOOKUP(RANK(G69,$G$10:$G$109),Sheet1!$A$381:$B$480,2,FALSE)</f>
        <v>30th</v>
      </c>
      <c r="J69" s="134">
        <v>22</v>
      </c>
      <c r="K69" s="134">
        <v>11</v>
      </c>
      <c r="L69" s="137">
        <f t="shared" si="2"/>
        <v>33</v>
      </c>
      <c r="M69" s="137">
        <f t="shared" si="3"/>
        <v>33</v>
      </c>
      <c r="N69" s="135" t="str">
        <f t="shared" si="4"/>
        <v>F</v>
      </c>
      <c r="O69" s="141" t="str">
        <f>VLOOKUP(RANK(M69,$M$10:$M$109),Sheet1!$A$381:$B$480,2,FALSE)</f>
        <v>95th</v>
      </c>
      <c r="P69" s="144">
        <v>28</v>
      </c>
      <c r="Q69" s="144">
        <v>2</v>
      </c>
      <c r="R69" s="147">
        <f t="shared" si="5"/>
        <v>30</v>
      </c>
      <c r="S69" s="137">
        <f t="shared" si="6"/>
        <v>30</v>
      </c>
      <c r="T69" s="135" t="str">
        <f t="shared" si="7"/>
        <v>F</v>
      </c>
      <c r="U69" s="135" t="str">
        <f>VLOOKUP(RANK(S69,$S$10:$S$109),Sheet1!$A$381:$B$480,2,FALSE)</f>
        <v>80th</v>
      </c>
      <c r="V69" s="134">
        <v>29</v>
      </c>
      <c r="W69" s="134">
        <v>10</v>
      </c>
      <c r="X69" s="137">
        <f t="shared" si="191"/>
        <v>39</v>
      </c>
      <c r="Y69" s="137">
        <f t="shared" si="244"/>
        <v>39</v>
      </c>
      <c r="Z69" s="135" t="str">
        <f t="shared" si="8"/>
        <v>E</v>
      </c>
      <c r="AA69" s="135" t="str">
        <f>VLOOKUP(RANK(Y69,$Y$10:$Y$109),Sheet1!$A$381:$B$480,2,FALSE)</f>
        <v>90th</v>
      </c>
      <c r="AB69" s="134">
        <v>29</v>
      </c>
      <c r="AC69" s="138"/>
      <c r="AD69" s="137">
        <f t="shared" si="9"/>
        <v>29</v>
      </c>
      <c r="AE69" s="137">
        <f t="shared" si="10"/>
        <v>29</v>
      </c>
      <c r="AF69" s="135" t="str">
        <f t="shared" si="11"/>
        <v>F</v>
      </c>
      <c r="AG69" s="135" t="str">
        <f>VLOOKUP(RANK(AE69,$AE$10:$AE$109),Sheet1!$A$381:$B$480,2,FALSE)</f>
        <v>99th</v>
      </c>
      <c r="AH69" s="137"/>
      <c r="AI69" s="137"/>
      <c r="AJ69" s="137">
        <f t="shared" si="12"/>
        <v>0</v>
      </c>
      <c r="AK69" s="137">
        <f t="shared" si="13"/>
        <v>0</v>
      </c>
      <c r="AL69" s="135" t="str">
        <f t="shared" si="14"/>
        <v>F</v>
      </c>
      <c r="AM69" s="135" t="str">
        <f>VLOOKUP(RANK(AK69,$AK$10:$AK$109),Sheet1!$A$381:$B$480,2,FALSE)</f>
        <v>1st</v>
      </c>
      <c r="AN69" s="134"/>
      <c r="AO69" s="134"/>
      <c r="AP69" s="137">
        <f t="shared" si="15"/>
        <v>0</v>
      </c>
      <c r="AQ69" s="137">
        <f t="shared" si="16"/>
        <v>0</v>
      </c>
      <c r="AR69" s="135" t="str">
        <f t="shared" si="17"/>
        <v>F</v>
      </c>
      <c r="AS69" s="135" t="str">
        <f>VLOOKUP(RANK(AQ69,$AQ$10:$AQ$109),Sheet1!$A$381:$B$480,2,FALSE)</f>
        <v>1st</v>
      </c>
      <c r="AT69" s="144">
        <v>24</v>
      </c>
      <c r="AU69" s="144">
        <v>27</v>
      </c>
      <c r="AV69" s="137">
        <f t="shared" si="18"/>
        <v>51</v>
      </c>
      <c r="AW69" s="137">
        <f t="shared" si="19"/>
        <v>51</v>
      </c>
      <c r="AX69" s="135" t="str">
        <f t="shared" si="20"/>
        <v>C</v>
      </c>
      <c r="AY69" s="141" t="str">
        <f>VLOOKUP(RANK(AW69,$AW$10:$AW$109),Sheet1!$A$381:$B$480,2,FALSE)</f>
        <v>45th</v>
      </c>
      <c r="AZ69" s="144">
        <v>31</v>
      </c>
      <c r="BA69" s="144">
        <v>13</v>
      </c>
      <c r="BB69" s="147">
        <f t="shared" si="21"/>
        <v>44</v>
      </c>
      <c r="BC69" s="137">
        <f t="shared" si="22"/>
        <v>44</v>
      </c>
      <c r="BD69" s="135" t="str">
        <f t="shared" si="23"/>
        <v>D</v>
      </c>
      <c r="BE69" s="135" t="str">
        <f>VLOOKUP(RANK(BC69,$BC$10:$BC$109),Sheet1!$A$381:$B$480,2,FALSE)</f>
        <v>79th</v>
      </c>
      <c r="BF69" s="144">
        <v>10</v>
      </c>
      <c r="BG69" s="144">
        <v>12</v>
      </c>
      <c r="BH69" s="137">
        <f t="shared" si="24"/>
        <v>22</v>
      </c>
      <c r="BI69" s="137">
        <f t="shared" si="25"/>
        <v>22</v>
      </c>
      <c r="BJ69" s="135" t="str">
        <f t="shared" si="26"/>
        <v>F</v>
      </c>
      <c r="BK69" s="141" t="str">
        <f>VLOOKUP(RANK(BI69,$BI$10:$BI$109),Sheet1!$A$381:$B$480,2,FALSE)</f>
        <v>95th</v>
      </c>
      <c r="BL69" s="149">
        <v>26</v>
      </c>
      <c r="BM69" s="149">
        <v>26</v>
      </c>
      <c r="BN69" s="147">
        <f t="shared" si="27"/>
        <v>52</v>
      </c>
      <c r="BO69" s="137">
        <f t="shared" si="28"/>
        <v>52</v>
      </c>
      <c r="BP69" s="135" t="str">
        <f t="shared" si="29"/>
        <v>C</v>
      </c>
      <c r="BQ69" s="141" t="str">
        <f>VLOOKUP(RANK(BO69,$BO$10:$BO$109),Sheet1!$A$381:$B$480,2,FALSE)</f>
        <v>56th</v>
      </c>
      <c r="BR69" s="149">
        <v>29</v>
      </c>
      <c r="BS69" s="149">
        <v>15</v>
      </c>
      <c r="BT69" s="147">
        <f t="shared" si="30"/>
        <v>44</v>
      </c>
      <c r="BU69" s="137">
        <f t="shared" si="31"/>
        <v>44</v>
      </c>
      <c r="BV69" s="135" t="str">
        <f t="shared" si="32"/>
        <v>D</v>
      </c>
      <c r="BW69" s="135" t="str">
        <f>VLOOKUP(RANK(BU69,$BU$10:$BU$109),Sheet1!$A$381:$B$480,2,FALSE)</f>
        <v>48th</v>
      </c>
      <c r="BX69" s="149">
        <v>27</v>
      </c>
      <c r="BY69" s="149">
        <v>10</v>
      </c>
      <c r="BZ69" s="137">
        <f t="shared" si="33"/>
        <v>37</v>
      </c>
      <c r="CA69" s="137">
        <f t="shared" si="34"/>
        <v>37</v>
      </c>
      <c r="CB69" s="135" t="str">
        <f t="shared" si="35"/>
        <v>E</v>
      </c>
      <c r="CC69" s="135" t="str">
        <f>VLOOKUP(RANK(CA69,$CA$10:$CA$109),Sheet1!$A$381:$B$480,2,FALSE)</f>
        <v>70th</v>
      </c>
      <c r="CD69" s="149">
        <v>20</v>
      </c>
      <c r="CE69" s="149">
        <v>20</v>
      </c>
      <c r="CF69" s="137">
        <f t="shared" si="36"/>
        <v>40</v>
      </c>
      <c r="CG69" s="137">
        <f t="shared" si="37"/>
        <v>40</v>
      </c>
      <c r="CH69" s="135" t="str">
        <f t="shared" si="38"/>
        <v>D</v>
      </c>
      <c r="CI69" s="135" t="str">
        <f>VLOOKUP(RANK(CG69,$CG$10:$CG$109),Sheet1!$A$381:$B$480,2,FALSE)</f>
        <v>94th</v>
      </c>
      <c r="CJ69" s="137"/>
      <c r="CK69" s="137"/>
      <c r="CL69" s="137">
        <f t="shared" si="39"/>
        <v>0</v>
      </c>
      <c r="CM69" s="137">
        <f t="shared" si="40"/>
        <v>0</v>
      </c>
      <c r="CN69" s="135" t="str">
        <f t="shared" si="41"/>
        <v>F</v>
      </c>
      <c r="CO69" s="135" t="str">
        <f>VLOOKUP(RANK(CM69,$CM$10:$CM$109),Sheet1!$A$381:$B$480,2,FALSE)</f>
        <v>1st</v>
      </c>
      <c r="CP69" s="137"/>
      <c r="CQ69" s="137"/>
      <c r="CR69" s="137">
        <f t="shared" si="42"/>
        <v>0</v>
      </c>
      <c r="CS69" s="137">
        <f t="shared" si="43"/>
        <v>0</v>
      </c>
      <c r="CT69" s="135" t="str">
        <f t="shared" si="44"/>
        <v>F</v>
      </c>
      <c r="CU69" s="135" t="str">
        <f>VLOOKUP(RANK(CS69,$CS$10:$CS$109),Sheet1!$A$381:$B$480,2,FALSE)</f>
        <v>1st</v>
      </c>
      <c r="CV69" s="151"/>
      <c r="CW69" s="135"/>
      <c r="CX69" s="151">
        <f t="shared" si="266"/>
        <v>0</v>
      </c>
      <c r="CY69" s="151">
        <f t="shared" si="267"/>
        <v>0</v>
      </c>
      <c r="CZ69" s="135" t="str">
        <f t="shared" si="45"/>
        <v>F</v>
      </c>
      <c r="DA69" s="135" t="str">
        <f>VLOOKUP(RANK(CY69,$CY$10:$CY$109),Sheet1!$A$381:$B$480,2,FALSE)</f>
        <v>1st</v>
      </c>
      <c r="DB69" s="135"/>
      <c r="DC69" s="151">
        <f t="shared" si="268"/>
        <v>492</v>
      </c>
      <c r="DD69" s="151">
        <f t="shared" si="269"/>
        <v>28.9411764705882</v>
      </c>
      <c r="DE69" s="135" t="str">
        <f>VLOOKUP(RANK(DD69,$DD$10:$DD$109),Sheet1!$A$381:$B$480,2,FALSE)</f>
        <v>94th</v>
      </c>
      <c r="DF69" s="137"/>
      <c r="DG69" s="160">
        <f t="shared" si="46"/>
        <v>520.94117647058795</v>
      </c>
      <c r="DH69" s="119"/>
      <c r="DI69" s="162">
        <v>3</v>
      </c>
      <c r="DJ69" s="162">
        <v>33</v>
      </c>
      <c r="DK69" s="137">
        <f t="shared" si="47"/>
        <v>36</v>
      </c>
      <c r="DL69" s="137" t="str">
        <f t="shared" si="245"/>
        <v>71</v>
      </c>
      <c r="DM69" s="137">
        <f t="shared" si="49"/>
        <v>107</v>
      </c>
      <c r="DN69" s="137">
        <f t="shared" si="50"/>
        <v>53.5</v>
      </c>
      <c r="DO69" s="135" t="str">
        <f t="shared" si="51"/>
        <v>C</v>
      </c>
      <c r="DP69" s="135" t="str">
        <f>VLOOKUP(RANK(DN69,$DN$10:$DN$109),Sheet1!$A$381:$B$480,2,FALSE)</f>
        <v>85th</v>
      </c>
      <c r="DQ69" s="166">
        <v>25</v>
      </c>
      <c r="DR69" s="166">
        <v>16</v>
      </c>
      <c r="DS69" s="137">
        <f t="shared" si="52"/>
        <v>41</v>
      </c>
      <c r="DT69" s="137" t="str">
        <f t="shared" si="246"/>
        <v>33</v>
      </c>
      <c r="DU69" s="137">
        <f t="shared" si="54"/>
        <v>74</v>
      </c>
      <c r="DV69" s="137">
        <f t="shared" si="247"/>
        <v>37</v>
      </c>
      <c r="DW69" s="135" t="str">
        <f t="shared" si="56"/>
        <v>E</v>
      </c>
      <c r="DX69" s="135" t="str">
        <f>VLOOKUP(RANK(DV69,$DV$10:$DV$109),Sheet1!$A$381:$B$480,2,FALSE)</f>
        <v>89th</v>
      </c>
      <c r="DY69" s="168">
        <v>20</v>
      </c>
      <c r="DZ69" s="168">
        <v>20</v>
      </c>
      <c r="EA69" s="137">
        <f t="shared" si="57"/>
        <v>40</v>
      </c>
      <c r="EB69" s="137" t="str">
        <f t="shared" si="248"/>
        <v>30</v>
      </c>
      <c r="EC69" s="137">
        <f t="shared" si="59"/>
        <v>70</v>
      </c>
      <c r="ED69" s="137">
        <f t="shared" si="60"/>
        <v>35</v>
      </c>
      <c r="EE69" s="135" t="str">
        <f t="shared" si="61"/>
        <v>E</v>
      </c>
      <c r="EF69" s="135" t="str">
        <f>VLOOKUP(RANK(ED69,$ED$10:$ED$109),Sheet1!$A$381:$B$480,2,FALSE)</f>
        <v>86th</v>
      </c>
      <c r="EG69" s="162">
        <v>12</v>
      </c>
      <c r="EH69" s="162">
        <v>27</v>
      </c>
      <c r="EI69" s="137">
        <f t="shared" si="62"/>
        <v>39</v>
      </c>
      <c r="EJ69" s="137" t="str">
        <f t="shared" si="249"/>
        <v>39</v>
      </c>
      <c r="EK69" s="137">
        <f t="shared" si="64"/>
        <v>78</v>
      </c>
      <c r="EL69" s="137">
        <f t="shared" si="65"/>
        <v>39</v>
      </c>
      <c r="EM69" s="135" t="str">
        <f t="shared" si="66"/>
        <v>E</v>
      </c>
      <c r="EN69" s="135" t="str">
        <f>VLOOKUP(RANK(EL69,$EL$10:$EL$109),Sheet1!$A$381:$B$480,2,FALSE)</f>
        <v>86th</v>
      </c>
      <c r="EO69" s="162">
        <v>22</v>
      </c>
      <c r="EP69" s="165">
        <v>11</v>
      </c>
      <c r="EQ69" s="137">
        <f t="shared" si="67"/>
        <v>33</v>
      </c>
      <c r="ER69" s="137" t="str">
        <f t="shared" si="250"/>
        <v>29</v>
      </c>
      <c r="ES69" s="137">
        <f t="shared" si="69"/>
        <v>62</v>
      </c>
      <c r="ET69" s="137">
        <f t="shared" si="70"/>
        <v>31</v>
      </c>
      <c r="EU69" s="135" t="str">
        <f t="shared" si="71"/>
        <v>F</v>
      </c>
      <c r="EV69" s="135" t="str">
        <f>VLOOKUP(RANK(ET69,$ET$10:$ET$109),Sheet1!$A$381:$B$480,2,FALSE)</f>
        <v>97th</v>
      </c>
      <c r="EW69" s="137"/>
      <c r="EX69" s="137"/>
      <c r="EY69" s="137">
        <f t="shared" si="72"/>
        <v>0</v>
      </c>
      <c r="EZ69" s="137" t="str">
        <f t="shared" si="251"/>
        <v>0</v>
      </c>
      <c r="FA69" s="137">
        <f t="shared" si="74"/>
        <v>0</v>
      </c>
      <c r="FB69" s="137">
        <f t="shared" si="75"/>
        <v>0</v>
      </c>
      <c r="FC69" s="135" t="str">
        <f t="shared" si="76"/>
        <v>F</v>
      </c>
      <c r="FD69" s="135" t="str">
        <f>VLOOKUP(RANK(FB69,$FB$10:$FB$109),Sheet1!$A$381:$B$480,2,FALSE)</f>
        <v>1st</v>
      </c>
      <c r="FE69" s="137"/>
      <c r="FF69" s="137"/>
      <c r="FG69" s="137">
        <f t="shared" si="77"/>
        <v>0</v>
      </c>
      <c r="FH69" s="137" t="str">
        <f t="shared" si="252"/>
        <v>0</v>
      </c>
      <c r="FI69" s="137">
        <f t="shared" si="79"/>
        <v>0</v>
      </c>
      <c r="FJ69" s="137">
        <f t="shared" si="80"/>
        <v>0</v>
      </c>
      <c r="FK69" s="135" t="str">
        <f t="shared" si="81"/>
        <v>F</v>
      </c>
      <c r="FL69" s="135" t="str">
        <f>VLOOKUP(RANK(FJ69,$FJ$10:$FJ$109),Sheet1!$A$381:$B$480,2,FALSE)</f>
        <v>1st</v>
      </c>
      <c r="FM69" s="166">
        <v>28</v>
      </c>
      <c r="FN69" s="166">
        <v>22</v>
      </c>
      <c r="FO69" s="137">
        <f t="shared" si="82"/>
        <v>50</v>
      </c>
      <c r="FP69" s="137" t="str">
        <f t="shared" si="253"/>
        <v>51</v>
      </c>
      <c r="FQ69" s="137">
        <f t="shared" si="84"/>
        <v>101</v>
      </c>
      <c r="FR69" s="137">
        <f t="shared" si="85"/>
        <v>50.5</v>
      </c>
      <c r="FS69" s="135" t="str">
        <f t="shared" si="86"/>
        <v>C</v>
      </c>
      <c r="FT69" s="135" t="str">
        <f>VLOOKUP(RANK(FR69,$FR$10:$FR$109),Sheet1!$A$381:$B$480,2,FALSE)</f>
        <v>65th</v>
      </c>
      <c r="FU69" s="149">
        <v>9</v>
      </c>
      <c r="FV69" s="149">
        <v>15</v>
      </c>
      <c r="FW69" s="137">
        <f t="shared" si="87"/>
        <v>24</v>
      </c>
      <c r="FX69" s="137" t="str">
        <f t="shared" si="254"/>
        <v>44</v>
      </c>
      <c r="FY69" s="137">
        <f t="shared" si="196"/>
        <v>24</v>
      </c>
      <c r="FZ69" s="137">
        <f t="shared" si="89"/>
        <v>12</v>
      </c>
      <c r="GA69" s="135" t="str">
        <f t="shared" si="90"/>
        <v>F</v>
      </c>
      <c r="GB69" s="135" t="str">
        <f>VLOOKUP(RANK(FZ69,$FZ$10:$FZ$109),Sheet1!$A$381:$B$480,2,FALSE)</f>
        <v>89th</v>
      </c>
      <c r="GC69" s="166">
        <v>2</v>
      </c>
      <c r="GD69" s="166">
        <v>25</v>
      </c>
      <c r="GE69" s="137">
        <f t="shared" si="91"/>
        <v>27</v>
      </c>
      <c r="GF69" s="137" t="str">
        <f t="shared" si="255"/>
        <v>22</v>
      </c>
      <c r="GG69" s="135">
        <f t="shared" si="270"/>
        <v>49</v>
      </c>
      <c r="GH69" s="137">
        <f t="shared" si="271"/>
        <v>24.5</v>
      </c>
      <c r="GI69" s="135" t="str">
        <f t="shared" si="93"/>
        <v>F</v>
      </c>
      <c r="GJ69" s="135" t="str">
        <f>VLOOKUP(RANK(GH69,$GH$10:$GH$109),Sheet1!$A$381:$B$480,2,FALSE)</f>
        <v>94th</v>
      </c>
      <c r="GK69" s="166">
        <v>28</v>
      </c>
      <c r="GL69" s="166">
        <v>16</v>
      </c>
      <c r="GM69" s="137">
        <f t="shared" si="94"/>
        <v>44</v>
      </c>
      <c r="GN69" s="137" t="str">
        <f t="shared" si="256"/>
        <v>52</v>
      </c>
      <c r="GO69" s="135">
        <f t="shared" si="272"/>
        <v>96</v>
      </c>
      <c r="GP69" s="137">
        <f t="shared" si="96"/>
        <v>48</v>
      </c>
      <c r="GQ69" s="135" t="str">
        <f t="shared" si="97"/>
        <v>D</v>
      </c>
      <c r="GR69" s="135" t="str">
        <f>VLOOKUP(RANK(GP69,$GP$10:$GP$109),Sheet1!$A$381:$B$480,2,FALSE)</f>
        <v>45th</v>
      </c>
      <c r="GS69" s="166">
        <v>13</v>
      </c>
      <c r="GT69" s="166">
        <v>18</v>
      </c>
      <c r="GU69" s="137">
        <f t="shared" si="98"/>
        <v>31</v>
      </c>
      <c r="GV69" s="137" t="str">
        <f t="shared" si="257"/>
        <v>44</v>
      </c>
      <c r="GW69" s="137">
        <f t="shared" si="100"/>
        <v>75</v>
      </c>
      <c r="GX69" s="137">
        <f t="shared" si="101"/>
        <v>37.5</v>
      </c>
      <c r="GY69" s="135" t="str">
        <f t="shared" si="102"/>
        <v>E</v>
      </c>
      <c r="GZ69" s="135" t="str">
        <f>VLOOKUP(RANK(GX69,$GX$10:$GX$109),Sheet1!$A$381:$B$480,2,FALSE)</f>
        <v>79th</v>
      </c>
      <c r="HA69" s="166">
        <v>29</v>
      </c>
      <c r="HB69" s="166">
        <v>10</v>
      </c>
      <c r="HC69" s="137">
        <f t="shared" si="103"/>
        <v>39</v>
      </c>
      <c r="HD69" s="137" t="str">
        <f t="shared" si="258"/>
        <v>37</v>
      </c>
      <c r="HE69" s="137">
        <f t="shared" si="105"/>
        <v>76</v>
      </c>
      <c r="HF69" s="137">
        <f t="shared" si="106"/>
        <v>38</v>
      </c>
      <c r="HG69" s="135" t="str">
        <f t="shared" si="107"/>
        <v>E</v>
      </c>
      <c r="HH69" s="135" t="str">
        <f>VLOOKUP(RANK(HF69,$HF$10:$HF$109),Sheet1!$A$381:$B$480,2,FALSE)</f>
        <v>80th</v>
      </c>
      <c r="HI69" s="149">
        <v>28</v>
      </c>
      <c r="HJ69" s="149">
        <v>43</v>
      </c>
      <c r="HK69" s="137">
        <f t="shared" si="108"/>
        <v>71</v>
      </c>
      <c r="HL69" s="137" t="str">
        <f t="shared" si="259"/>
        <v>40</v>
      </c>
      <c r="HM69" s="137">
        <f t="shared" si="110"/>
        <v>111</v>
      </c>
      <c r="HN69" s="137">
        <f t="shared" si="111"/>
        <v>55.5</v>
      </c>
      <c r="HO69" s="135" t="str">
        <f t="shared" si="112"/>
        <v>C</v>
      </c>
      <c r="HP69" s="135" t="str">
        <f>VLOOKUP(RANK(HN69,$HN$10:$HN$109),Sheet1!$A$381:$B$480,2,FALSE)</f>
        <v>85th</v>
      </c>
      <c r="HQ69" s="137"/>
      <c r="HR69" s="137"/>
      <c r="HS69" s="137">
        <f t="shared" si="113"/>
        <v>0</v>
      </c>
      <c r="HT69" s="137" t="str">
        <f t="shared" si="260"/>
        <v>0</v>
      </c>
      <c r="HU69" s="137">
        <f t="shared" si="115"/>
        <v>0</v>
      </c>
      <c r="HV69" s="137">
        <f t="shared" si="116"/>
        <v>0</v>
      </c>
      <c r="HW69" s="135" t="str">
        <f t="shared" si="117"/>
        <v>F</v>
      </c>
      <c r="HX69" s="135" t="str">
        <f>VLOOKUP(RANK(HV69,$HV$10:$HV$109),Sheet1!$A$381:$B$480,2,FALSE)</f>
        <v>1st</v>
      </c>
      <c r="HY69" s="137"/>
      <c r="HZ69" s="137"/>
      <c r="IA69" s="137">
        <f t="shared" si="261"/>
        <v>0</v>
      </c>
      <c r="IB69" s="137" t="str">
        <f t="shared" si="262"/>
        <v>0</v>
      </c>
      <c r="IC69" s="137">
        <f t="shared" si="120"/>
        <v>0</v>
      </c>
      <c r="ID69" s="137">
        <f t="shared" si="121"/>
        <v>0</v>
      </c>
      <c r="IE69" s="135" t="str">
        <f t="shared" si="122"/>
        <v>F</v>
      </c>
      <c r="IF69" s="135" t="str">
        <f>VLOOKUP(RANK(ID69,$ID$10:$ID$109),Sheet1!$A$381:$B$480,2,FALSE)</f>
        <v>1st</v>
      </c>
      <c r="IG69" s="135"/>
      <c r="IH69" s="135"/>
      <c r="II69" s="135">
        <f t="shared" si="273"/>
        <v>0</v>
      </c>
      <c r="IJ69" s="135" t="str">
        <f t="shared" si="274"/>
        <v>0</v>
      </c>
      <c r="IK69" s="135">
        <f t="shared" si="275"/>
        <v>0</v>
      </c>
      <c r="IL69" s="135">
        <f t="shared" si="276"/>
        <v>0</v>
      </c>
      <c r="IM69" s="135" t="str">
        <f t="shared" si="123"/>
        <v>F</v>
      </c>
      <c r="IN69" s="135" t="str">
        <f>VLOOKUP(RANK(IL69,$IL$10:$IL$109),Sheet1!$A$381:$B$480,2,FALSE)</f>
        <v>1st</v>
      </c>
      <c r="IO69" s="135">
        <f t="shared" si="277"/>
        <v>461.5</v>
      </c>
      <c r="IP69" s="177">
        <f t="shared" si="278"/>
        <v>27.147058823529399</v>
      </c>
      <c r="IQ69" s="135" t="str">
        <f>VLOOKUP(RANK(IP69,$IP$10:$IP$109),Sheet1!$A$381:$B$480,2,FALSE)</f>
        <v>94th</v>
      </c>
      <c r="IR69" s="178"/>
      <c r="IS69" s="137"/>
      <c r="IT69" s="137"/>
      <c r="IU69" s="137"/>
      <c r="IV69" s="137"/>
      <c r="IW69" s="181"/>
      <c r="IX69" s="184"/>
      <c r="IY69" s="186"/>
      <c r="IZ69" s="186">
        <f t="shared" si="206"/>
        <v>0</v>
      </c>
      <c r="JA69" s="186" t="str">
        <f t="shared" si="124"/>
        <v>71</v>
      </c>
      <c r="JB69" s="186" t="str">
        <f t="shared" si="125"/>
        <v>36</v>
      </c>
      <c r="JC69" s="186">
        <f t="shared" si="279"/>
        <v>107</v>
      </c>
      <c r="JD69" s="186">
        <f t="shared" si="280"/>
        <v>35.6666666666667</v>
      </c>
      <c r="JE69" s="135" t="str">
        <f t="shared" si="126"/>
        <v>E</v>
      </c>
      <c r="JF69" s="151" t="str">
        <f>VLOOKUP(RANK(JD69,$JD$10:$JD$109),Sheet1!$A$381:$B$480,2,FALSE)</f>
        <v>85th</v>
      </c>
      <c r="JG69" s="186"/>
      <c r="JH69" s="186"/>
      <c r="JI69" s="186">
        <f t="shared" si="127"/>
        <v>0</v>
      </c>
      <c r="JJ69" s="186" t="str">
        <f t="shared" si="128"/>
        <v>33</v>
      </c>
      <c r="JK69" s="186" t="str">
        <f t="shared" si="129"/>
        <v>41</v>
      </c>
      <c r="JL69" s="186">
        <f t="shared" si="281"/>
        <v>74</v>
      </c>
      <c r="JM69" s="186">
        <f t="shared" si="282"/>
        <v>24.6666666666667</v>
      </c>
      <c r="JN69" s="135" t="str">
        <f t="shared" si="130"/>
        <v>F</v>
      </c>
      <c r="JO69" s="151" t="str">
        <f>VLOOKUP(RANK(JM69,$JM$10:$JM$109),Sheet1!$A$381:$B$480,2,FALSE)</f>
        <v>89th</v>
      </c>
      <c r="JP69" s="186"/>
      <c r="JQ69" s="186"/>
      <c r="JR69" s="186">
        <f t="shared" si="131"/>
        <v>0</v>
      </c>
      <c r="JS69" s="186" t="str">
        <f t="shared" si="132"/>
        <v>30</v>
      </c>
      <c r="JT69" s="186" t="str">
        <f t="shared" si="133"/>
        <v>40</v>
      </c>
      <c r="JU69" s="186">
        <f t="shared" si="283"/>
        <v>70</v>
      </c>
      <c r="JV69" s="186">
        <f t="shared" si="284"/>
        <v>23.3333333333333</v>
      </c>
      <c r="JW69" s="135" t="str">
        <f t="shared" si="134"/>
        <v>F</v>
      </c>
      <c r="JX69" s="151" t="str">
        <f>VLOOKUP(RANK(JV69,$JV$10:$JV$109),Sheet1!$A$381:$B$480,2,FALSE)</f>
        <v>86th</v>
      </c>
      <c r="JY69" s="186"/>
      <c r="JZ69" s="186"/>
      <c r="KA69" s="186">
        <f t="shared" si="135"/>
        <v>0</v>
      </c>
      <c r="KB69" s="186" t="str">
        <f t="shared" si="136"/>
        <v>39</v>
      </c>
      <c r="KC69" s="186" t="str">
        <f t="shared" si="137"/>
        <v>39</v>
      </c>
      <c r="KD69" s="186">
        <f t="shared" si="285"/>
        <v>78</v>
      </c>
      <c r="KE69" s="186">
        <f t="shared" si="286"/>
        <v>26</v>
      </c>
      <c r="KF69" s="135" t="str">
        <f t="shared" si="138"/>
        <v>F</v>
      </c>
      <c r="KG69" s="151" t="str">
        <f>VLOOKUP(RANK(KE69,$KE$10:$KE$109),Sheet1!$A$381:$B$480,2,FALSE)</f>
        <v>86th</v>
      </c>
      <c r="KH69" s="186"/>
      <c r="KI69" s="186"/>
      <c r="KJ69" s="186">
        <f t="shared" si="139"/>
        <v>0</v>
      </c>
      <c r="KK69" s="186" t="str">
        <f t="shared" si="140"/>
        <v>29</v>
      </c>
      <c r="KL69" s="186" t="str">
        <f t="shared" si="141"/>
        <v>33</v>
      </c>
      <c r="KM69" s="186">
        <f t="shared" si="287"/>
        <v>62</v>
      </c>
      <c r="KN69" s="186">
        <f t="shared" si="288"/>
        <v>20.6666666666667</v>
      </c>
      <c r="KO69" s="135" t="str">
        <f t="shared" si="142"/>
        <v>F</v>
      </c>
      <c r="KP69" s="151" t="str">
        <f>VLOOKUP(RANK(KN69,$KN$10:$KN$109),Sheet1!$A$381:$B$480,2,FALSE)</f>
        <v>97th</v>
      </c>
      <c r="KQ69" s="186"/>
      <c r="KR69" s="186"/>
      <c r="KS69" s="186">
        <f t="shared" si="143"/>
        <v>0</v>
      </c>
      <c r="KT69" s="186" t="str">
        <f t="shared" si="144"/>
        <v>0</v>
      </c>
      <c r="KU69" s="186" t="str">
        <f t="shared" si="145"/>
        <v>0</v>
      </c>
      <c r="KV69" s="186">
        <f t="shared" si="289"/>
        <v>0</v>
      </c>
      <c r="KW69" s="186">
        <f t="shared" si="290"/>
        <v>0</v>
      </c>
      <c r="KX69" s="135" t="str">
        <f t="shared" si="146"/>
        <v>F</v>
      </c>
      <c r="KY69" s="151" t="str">
        <f>VLOOKUP(RANK(KW69,$KW$10:$KW$109),Sheet1!$A$381:$B$480,2,FALSE)</f>
        <v>1st</v>
      </c>
      <c r="KZ69" s="186"/>
      <c r="LA69" s="186"/>
      <c r="LB69" s="186">
        <f t="shared" si="147"/>
        <v>0</v>
      </c>
      <c r="LC69" s="186" t="str">
        <f t="shared" si="148"/>
        <v>0</v>
      </c>
      <c r="LD69" s="186" t="str">
        <f t="shared" si="149"/>
        <v>0</v>
      </c>
      <c r="LE69" s="186">
        <f t="shared" si="291"/>
        <v>0</v>
      </c>
      <c r="LF69" s="186">
        <f t="shared" si="292"/>
        <v>0</v>
      </c>
      <c r="LG69" s="135" t="str">
        <f t="shared" si="150"/>
        <v>F</v>
      </c>
      <c r="LH69" s="151" t="str">
        <f>VLOOKUP(RANK(LF69,$LF$10:$LF$109),Sheet1!$A$381:$B$480,2,FALSE)</f>
        <v>1st</v>
      </c>
      <c r="LI69" s="186"/>
      <c r="LJ69" s="186"/>
      <c r="LK69" s="186">
        <f t="shared" si="151"/>
        <v>0</v>
      </c>
      <c r="LL69" s="186" t="str">
        <f t="shared" si="152"/>
        <v>51</v>
      </c>
      <c r="LM69" s="186" t="str">
        <f t="shared" si="153"/>
        <v>50</v>
      </c>
      <c r="LN69" s="186">
        <f t="shared" si="293"/>
        <v>101</v>
      </c>
      <c r="LO69" s="186">
        <f t="shared" si="294"/>
        <v>33.6666666666667</v>
      </c>
      <c r="LP69" s="135" t="str">
        <f t="shared" si="154"/>
        <v>F</v>
      </c>
      <c r="LQ69" s="151" t="str">
        <f>VLOOKUP(RANK(LO69,$LO$10:$LO$109),Sheet1!$A$381:$B$480,2,FALSE)</f>
        <v>65th</v>
      </c>
      <c r="LR69" s="186"/>
      <c r="LS69" s="186"/>
      <c r="LT69" s="186">
        <f t="shared" si="155"/>
        <v>0</v>
      </c>
      <c r="LU69" s="186" t="str">
        <f t="shared" si="156"/>
        <v>44</v>
      </c>
      <c r="LV69" s="186" t="str">
        <f t="shared" si="157"/>
        <v>24</v>
      </c>
      <c r="LW69" s="186">
        <f t="shared" si="295"/>
        <v>68</v>
      </c>
      <c r="LX69" s="186">
        <f t="shared" si="296"/>
        <v>22.6666666666667</v>
      </c>
      <c r="LY69" s="135" t="str">
        <f t="shared" si="158"/>
        <v>F</v>
      </c>
      <c r="LZ69" s="151" t="str">
        <f>VLOOKUP(RANK(LX69,$LX$10:$LX$109),Sheet1!$A$381:$B$480,2,FALSE)</f>
        <v>95th</v>
      </c>
      <c r="MA69" s="186"/>
      <c r="MB69" s="186"/>
      <c r="MC69" s="186">
        <f t="shared" si="159"/>
        <v>0</v>
      </c>
      <c r="MD69" s="186" t="str">
        <f t="shared" si="160"/>
        <v>22</v>
      </c>
      <c r="ME69" s="186" t="str">
        <f t="shared" si="161"/>
        <v>27</v>
      </c>
      <c r="MF69" s="183">
        <f t="shared" si="297"/>
        <v>49</v>
      </c>
      <c r="MG69" s="151">
        <f t="shared" si="298"/>
        <v>16.3333333333333</v>
      </c>
      <c r="MH69" s="135" t="str">
        <f t="shared" si="162"/>
        <v>F</v>
      </c>
      <c r="MI69" s="151" t="str">
        <f>VLOOKUP(RANK(MG69,$MG$10:$MG$109),Sheet1!$A$381:$B$480,2,FALSE)</f>
        <v>94th</v>
      </c>
      <c r="MJ69" s="186"/>
      <c r="MK69" s="186"/>
      <c r="ML69" s="186">
        <f t="shared" si="163"/>
        <v>0</v>
      </c>
      <c r="MM69" s="186" t="str">
        <f t="shared" si="164"/>
        <v>52</v>
      </c>
      <c r="MN69" s="186" t="str">
        <f t="shared" si="165"/>
        <v>44</v>
      </c>
      <c r="MO69" s="186">
        <f t="shared" si="299"/>
        <v>96</v>
      </c>
      <c r="MP69" s="186">
        <f t="shared" si="300"/>
        <v>32</v>
      </c>
      <c r="MQ69" s="135" t="str">
        <f t="shared" si="166"/>
        <v>F</v>
      </c>
      <c r="MR69" s="151" t="str">
        <f>VLOOKUP(RANK(MP69,$MP$10:$MP$109),Sheet1!$A$381:$B$480,2,FALSE)</f>
        <v>45th</v>
      </c>
      <c r="MS69" s="186"/>
      <c r="MT69" s="186"/>
      <c r="MU69" s="186">
        <f t="shared" si="167"/>
        <v>0</v>
      </c>
      <c r="MV69" s="186" t="str">
        <f t="shared" si="168"/>
        <v>44</v>
      </c>
      <c r="MW69" s="186" t="str">
        <f t="shared" si="169"/>
        <v>31</v>
      </c>
      <c r="MX69" s="186">
        <f t="shared" si="301"/>
        <v>75</v>
      </c>
      <c r="MY69" s="186">
        <f t="shared" si="302"/>
        <v>25</v>
      </c>
      <c r="MZ69" s="135" t="str">
        <f t="shared" si="170"/>
        <v>F</v>
      </c>
      <c r="NA69" s="151" t="str">
        <f>VLOOKUP(RANK(MY69,$MY$10:$MY$109),Sheet1!$A$381:$B$480,2,FALSE)</f>
        <v>79th</v>
      </c>
      <c r="NB69" s="186"/>
      <c r="NC69" s="186"/>
      <c r="ND69" s="186">
        <f t="shared" si="171"/>
        <v>0</v>
      </c>
      <c r="NE69" s="186" t="str">
        <f t="shared" si="172"/>
        <v>37</v>
      </c>
      <c r="NF69" s="186" t="str">
        <f t="shared" si="173"/>
        <v>39</v>
      </c>
      <c r="NG69" s="186">
        <f t="shared" si="303"/>
        <v>76</v>
      </c>
      <c r="NH69" s="186">
        <f t="shared" si="304"/>
        <v>25.3333333333333</v>
      </c>
      <c r="NI69" s="135" t="str">
        <f t="shared" si="174"/>
        <v>F</v>
      </c>
      <c r="NJ69" s="151" t="str">
        <f>VLOOKUP(RANK(NH69,$NH$10:$NH$109),Sheet1!$A$381:$B$480,2,FALSE)</f>
        <v>80th</v>
      </c>
      <c r="NK69" s="186"/>
      <c r="NL69" s="186"/>
      <c r="NM69" s="186">
        <f t="shared" si="175"/>
        <v>0</v>
      </c>
      <c r="NN69" s="186" t="str">
        <f t="shared" si="176"/>
        <v>40</v>
      </c>
      <c r="NO69" s="186" t="str">
        <f t="shared" si="177"/>
        <v>71</v>
      </c>
      <c r="NP69" s="186">
        <f t="shared" si="305"/>
        <v>111</v>
      </c>
      <c r="NQ69" s="186">
        <f t="shared" si="263"/>
        <v>37</v>
      </c>
      <c r="NR69" s="135" t="str">
        <f t="shared" si="179"/>
        <v>E</v>
      </c>
      <c r="NS69" s="151" t="str">
        <f>VLOOKUP(RANK(NQ69,$NQ$10:$NQ$109),Sheet1!$A$381:$B$480,2,FALSE)</f>
        <v>85th</v>
      </c>
      <c r="NT69" s="186"/>
      <c r="NU69" s="186"/>
      <c r="NV69" s="186">
        <f t="shared" si="180"/>
        <v>0</v>
      </c>
      <c r="NW69" s="186" t="str">
        <f t="shared" si="181"/>
        <v>0</v>
      </c>
      <c r="NX69" s="186" t="str">
        <f t="shared" si="182"/>
        <v>0</v>
      </c>
      <c r="NY69" s="186">
        <f t="shared" si="306"/>
        <v>0</v>
      </c>
      <c r="NZ69" s="186">
        <f t="shared" si="264"/>
        <v>0</v>
      </c>
      <c r="OA69" s="135" t="str">
        <f t="shared" si="184"/>
        <v>F</v>
      </c>
      <c r="OB69" s="151" t="str">
        <f>VLOOKUP(RANK(NZ69,$NZ$10:$NZ$109),Sheet1!$A$381:$B$480,2,FALSE)</f>
        <v>1st</v>
      </c>
      <c r="OC69" s="186"/>
      <c r="OD69" s="186"/>
      <c r="OE69" s="186">
        <f t="shared" si="185"/>
        <v>0</v>
      </c>
      <c r="OF69" s="186" t="str">
        <f t="shared" si="186"/>
        <v>0</v>
      </c>
      <c r="OG69" s="186" t="str">
        <f t="shared" si="187"/>
        <v>0</v>
      </c>
      <c r="OH69" s="186">
        <f t="shared" si="307"/>
        <v>0</v>
      </c>
      <c r="OI69" s="186">
        <f t="shared" si="236"/>
        <v>0</v>
      </c>
      <c r="OJ69" s="135" t="str">
        <f t="shared" si="188"/>
        <v>F</v>
      </c>
      <c r="OK69" s="151" t="str">
        <f>VLOOKUP(RANK(OI69,$OI$10:$OI$109),Sheet1!$A$381:$B$480,2,FALSE)</f>
        <v>1st</v>
      </c>
      <c r="OL69" s="151"/>
      <c r="OM69" s="151"/>
      <c r="ON69" s="151">
        <f t="shared" si="308"/>
        <v>0</v>
      </c>
      <c r="OO69" s="151" t="str">
        <f t="shared" si="309"/>
        <v>0</v>
      </c>
      <c r="OP69" s="151" t="str">
        <f t="shared" si="310"/>
        <v>0</v>
      </c>
      <c r="OQ69" s="151">
        <f t="shared" si="311"/>
        <v>0</v>
      </c>
      <c r="OR69" s="151">
        <f t="shared" si="312"/>
        <v>0</v>
      </c>
      <c r="OS69" s="135" t="str">
        <f t="shared" si="189"/>
        <v>F</v>
      </c>
      <c r="OT69" s="151" t="str">
        <f>VLOOKUP(RANK(OR69,$OI$10:$OI$109),Sheet1!$A$381:$B$480,2,FALSE)</f>
        <v>1st</v>
      </c>
      <c r="OU69" s="151">
        <f t="shared" si="313"/>
        <v>322.33333333333297</v>
      </c>
      <c r="OV69" s="151">
        <f t="shared" si="314"/>
        <v>18.960784313725501</v>
      </c>
      <c r="OW69" s="151" t="str">
        <f>VLOOKUP(RANK(OV69,$OV$10:$OV$109),Sheet1!$A$381:$B$480,2,FALSE)</f>
        <v>94th</v>
      </c>
      <c r="OX69" s="151"/>
      <c r="OY69" s="186"/>
      <c r="OZ69" s="186"/>
      <c r="PA69" s="186"/>
      <c r="PB69" s="186"/>
    </row>
    <row r="70" spans="1:418" s="118" customFormat="1" ht="18.75">
      <c r="A70" s="131">
        <v>61</v>
      </c>
      <c r="B70" s="132" t="s">
        <v>160</v>
      </c>
      <c r="C70" s="133" t="s">
        <v>97</v>
      </c>
      <c r="D70" s="134">
        <v>31</v>
      </c>
      <c r="E70" s="134">
        <v>33</v>
      </c>
      <c r="F70" s="137">
        <f t="shared" si="0"/>
        <v>64</v>
      </c>
      <c r="G70" s="137">
        <f t="shared" si="1"/>
        <v>64</v>
      </c>
      <c r="H70" s="135" t="str">
        <f t="shared" si="265"/>
        <v>B</v>
      </c>
      <c r="I70" s="135" t="str">
        <f>VLOOKUP(RANK(G70,$G$10:$G$109),Sheet1!$A$381:$B$480,2,FALSE)</f>
        <v>67th</v>
      </c>
      <c r="J70" s="134">
        <v>31</v>
      </c>
      <c r="K70" s="134">
        <v>25</v>
      </c>
      <c r="L70" s="137">
        <f t="shared" si="2"/>
        <v>56</v>
      </c>
      <c r="M70" s="137">
        <f t="shared" si="3"/>
        <v>56</v>
      </c>
      <c r="N70" s="135" t="str">
        <f t="shared" si="4"/>
        <v>C</v>
      </c>
      <c r="O70" s="141" t="str">
        <f>VLOOKUP(RANK(M70,$M$10:$M$109),Sheet1!$A$381:$B$480,2,FALSE)</f>
        <v>32nd</v>
      </c>
      <c r="P70" s="144">
        <v>30</v>
      </c>
      <c r="Q70" s="144">
        <v>25</v>
      </c>
      <c r="R70" s="147">
        <f t="shared" si="5"/>
        <v>55</v>
      </c>
      <c r="S70" s="137">
        <f t="shared" si="6"/>
        <v>55</v>
      </c>
      <c r="T70" s="135" t="str">
        <f t="shared" si="7"/>
        <v>C</v>
      </c>
      <c r="U70" s="135" t="str">
        <f>VLOOKUP(RANK(S70,$S$10:$S$109),Sheet1!$A$381:$B$480,2,FALSE)</f>
        <v>21st</v>
      </c>
      <c r="V70" s="134">
        <v>33</v>
      </c>
      <c r="W70" s="134">
        <v>40</v>
      </c>
      <c r="X70" s="137">
        <f t="shared" si="191"/>
        <v>73</v>
      </c>
      <c r="Y70" s="137">
        <f t="shared" si="244"/>
        <v>73</v>
      </c>
      <c r="Z70" s="135" t="str">
        <f t="shared" si="8"/>
        <v>B</v>
      </c>
      <c r="AA70" s="135" t="str">
        <f>VLOOKUP(RANK(Y70,$Y$10:$Y$109),Sheet1!$A$381:$B$480,2,FALSE)</f>
        <v>16th</v>
      </c>
      <c r="AB70" s="134">
        <v>30</v>
      </c>
      <c r="AC70" s="134">
        <v>34</v>
      </c>
      <c r="AD70" s="137">
        <f t="shared" si="9"/>
        <v>64</v>
      </c>
      <c r="AE70" s="137">
        <f t="shared" si="10"/>
        <v>64</v>
      </c>
      <c r="AF70" s="135" t="str">
        <f t="shared" si="11"/>
        <v>B</v>
      </c>
      <c r="AG70" s="135" t="str">
        <f>VLOOKUP(RANK(AE70,$AE$10:$AE$109),Sheet1!$A$381:$B$480,2,FALSE)</f>
        <v>43rd</v>
      </c>
      <c r="AH70" s="137"/>
      <c r="AI70" s="137"/>
      <c r="AJ70" s="137">
        <f t="shared" si="12"/>
        <v>0</v>
      </c>
      <c r="AK70" s="137">
        <f t="shared" si="13"/>
        <v>0</v>
      </c>
      <c r="AL70" s="135" t="str">
        <f t="shared" si="14"/>
        <v>F</v>
      </c>
      <c r="AM70" s="135" t="str">
        <f>VLOOKUP(RANK(AK70,$AK$10:$AK$109),Sheet1!$A$381:$B$480,2,FALSE)</f>
        <v>1st</v>
      </c>
      <c r="AN70" s="134"/>
      <c r="AO70" s="134"/>
      <c r="AP70" s="137">
        <f t="shared" si="15"/>
        <v>0</v>
      </c>
      <c r="AQ70" s="137">
        <f t="shared" si="16"/>
        <v>0</v>
      </c>
      <c r="AR70" s="135" t="str">
        <f t="shared" si="17"/>
        <v>F</v>
      </c>
      <c r="AS70" s="135" t="str">
        <f>VLOOKUP(RANK(AQ70,$AQ$10:$AQ$109),Sheet1!$A$381:$B$480,2,FALSE)</f>
        <v>1st</v>
      </c>
      <c r="AT70" s="144">
        <v>22</v>
      </c>
      <c r="AU70" s="144">
        <v>29</v>
      </c>
      <c r="AV70" s="137">
        <f t="shared" si="18"/>
        <v>51</v>
      </c>
      <c r="AW70" s="137">
        <f t="shared" si="19"/>
        <v>51</v>
      </c>
      <c r="AX70" s="135" t="str">
        <f t="shared" si="20"/>
        <v>C</v>
      </c>
      <c r="AY70" s="141" t="str">
        <f>VLOOKUP(RANK(AW70,$AW$10:$AW$109),Sheet1!$A$381:$B$480,2,FALSE)</f>
        <v>45th</v>
      </c>
      <c r="AZ70" s="144">
        <v>32</v>
      </c>
      <c r="BA70" s="144">
        <v>19</v>
      </c>
      <c r="BB70" s="147">
        <f t="shared" si="21"/>
        <v>51</v>
      </c>
      <c r="BC70" s="137">
        <f t="shared" si="22"/>
        <v>51</v>
      </c>
      <c r="BD70" s="135" t="str">
        <f t="shared" si="23"/>
        <v>C</v>
      </c>
      <c r="BE70" s="135" t="str">
        <f>VLOOKUP(RANK(BC70,$BC$10:$BC$109),Sheet1!$A$381:$B$480,2,FALSE)</f>
        <v>54th</v>
      </c>
      <c r="BF70" s="144">
        <v>17</v>
      </c>
      <c r="BG70" s="144">
        <v>25</v>
      </c>
      <c r="BH70" s="137">
        <f t="shared" si="24"/>
        <v>42</v>
      </c>
      <c r="BI70" s="137">
        <f t="shared" si="25"/>
        <v>42</v>
      </c>
      <c r="BJ70" s="135" t="str">
        <f t="shared" si="26"/>
        <v>D</v>
      </c>
      <c r="BK70" s="141" t="str">
        <f>VLOOKUP(RANK(BI70,$BI$10:$BI$109),Sheet1!$A$381:$B$480,2,FALSE)</f>
        <v>28th</v>
      </c>
      <c r="BL70" s="149">
        <v>24</v>
      </c>
      <c r="BM70" s="149">
        <v>28</v>
      </c>
      <c r="BN70" s="147">
        <f t="shared" si="27"/>
        <v>52</v>
      </c>
      <c r="BO70" s="137">
        <f t="shared" si="28"/>
        <v>52</v>
      </c>
      <c r="BP70" s="135" t="str">
        <f t="shared" si="29"/>
        <v>C</v>
      </c>
      <c r="BQ70" s="141" t="str">
        <f>VLOOKUP(RANK(BO70,$BO$10:$BO$109),Sheet1!$A$381:$B$480,2,FALSE)</f>
        <v>56th</v>
      </c>
      <c r="BR70" s="149">
        <v>27</v>
      </c>
      <c r="BS70" s="149">
        <v>16</v>
      </c>
      <c r="BT70" s="147">
        <f t="shared" si="30"/>
        <v>43</v>
      </c>
      <c r="BU70" s="137">
        <f t="shared" si="31"/>
        <v>43</v>
      </c>
      <c r="BV70" s="135" t="str">
        <f t="shared" si="32"/>
        <v>D</v>
      </c>
      <c r="BW70" s="135" t="str">
        <f>VLOOKUP(RANK(BU70,$BU$10:$BU$109),Sheet1!$A$381:$B$480,2,FALSE)</f>
        <v>51st</v>
      </c>
      <c r="BX70" s="149">
        <v>30</v>
      </c>
      <c r="BY70" s="149">
        <v>10</v>
      </c>
      <c r="BZ70" s="137">
        <f t="shared" si="33"/>
        <v>40</v>
      </c>
      <c r="CA70" s="137">
        <f t="shared" si="34"/>
        <v>40</v>
      </c>
      <c r="CB70" s="135" t="str">
        <f t="shared" si="35"/>
        <v>D</v>
      </c>
      <c r="CC70" s="135" t="str">
        <f>VLOOKUP(RANK(CA70,$CA$10:$CA$109),Sheet1!$A$381:$B$480,2,FALSE)</f>
        <v>43rd</v>
      </c>
      <c r="CD70" s="149">
        <v>22</v>
      </c>
      <c r="CE70" s="149">
        <v>20</v>
      </c>
      <c r="CF70" s="137">
        <f t="shared" si="36"/>
        <v>42</v>
      </c>
      <c r="CG70" s="137">
        <f t="shared" si="37"/>
        <v>42</v>
      </c>
      <c r="CH70" s="135" t="str">
        <f t="shared" si="38"/>
        <v>D</v>
      </c>
      <c r="CI70" s="135" t="str">
        <f>VLOOKUP(RANK(CG70,$CG$10:$CG$109),Sheet1!$A$381:$B$480,2,FALSE)</f>
        <v>87th</v>
      </c>
      <c r="CJ70" s="137"/>
      <c r="CK70" s="137"/>
      <c r="CL70" s="137">
        <f t="shared" si="39"/>
        <v>0</v>
      </c>
      <c r="CM70" s="137">
        <f t="shared" si="40"/>
        <v>0</v>
      </c>
      <c r="CN70" s="135" t="str">
        <f t="shared" si="41"/>
        <v>F</v>
      </c>
      <c r="CO70" s="135" t="str">
        <f>VLOOKUP(RANK(CM70,$CM$10:$CM$109),Sheet1!$A$381:$B$480,2,FALSE)</f>
        <v>1st</v>
      </c>
      <c r="CP70" s="137"/>
      <c r="CQ70" s="137"/>
      <c r="CR70" s="137">
        <f t="shared" si="42"/>
        <v>0</v>
      </c>
      <c r="CS70" s="137">
        <f t="shared" si="43"/>
        <v>0</v>
      </c>
      <c r="CT70" s="135" t="str">
        <f t="shared" si="44"/>
        <v>F</v>
      </c>
      <c r="CU70" s="135" t="str">
        <f>VLOOKUP(RANK(CS70,$CS$10:$CS$109),Sheet1!$A$381:$B$480,2,FALSE)</f>
        <v>1st</v>
      </c>
      <c r="CV70" s="151"/>
      <c r="CW70" s="135"/>
      <c r="CX70" s="151">
        <f t="shared" si="266"/>
        <v>0</v>
      </c>
      <c r="CY70" s="151">
        <f t="shared" si="267"/>
        <v>0</v>
      </c>
      <c r="CZ70" s="135" t="str">
        <f t="shared" si="45"/>
        <v>F</v>
      </c>
      <c r="DA70" s="135" t="str">
        <f>VLOOKUP(RANK(CY70,$CY$10:$CY$109),Sheet1!$A$381:$B$480,2,FALSE)</f>
        <v>1st</v>
      </c>
      <c r="DB70" s="135"/>
      <c r="DC70" s="151">
        <f t="shared" si="268"/>
        <v>633</v>
      </c>
      <c r="DD70" s="151">
        <f t="shared" si="269"/>
        <v>37.235294117647101</v>
      </c>
      <c r="DE70" s="135" t="str">
        <f>VLOOKUP(RANK(DD70,$DD$10:$DD$109),Sheet1!$A$381:$B$480,2,FALSE)</f>
        <v>44th</v>
      </c>
      <c r="DF70" s="137"/>
      <c r="DG70" s="160">
        <f t="shared" si="46"/>
        <v>670.23529411764696</v>
      </c>
      <c r="DH70" s="119"/>
      <c r="DI70" s="162">
        <v>30</v>
      </c>
      <c r="DJ70" s="162">
        <v>51</v>
      </c>
      <c r="DK70" s="137">
        <f t="shared" si="47"/>
        <v>81</v>
      </c>
      <c r="DL70" s="137" t="str">
        <f t="shared" si="245"/>
        <v>64</v>
      </c>
      <c r="DM70" s="137">
        <f t="shared" si="49"/>
        <v>145</v>
      </c>
      <c r="DN70" s="137">
        <f t="shared" si="50"/>
        <v>72.5</v>
      </c>
      <c r="DO70" s="135" t="str">
        <f t="shared" si="51"/>
        <v>B</v>
      </c>
      <c r="DP70" s="135" t="str">
        <f>VLOOKUP(RANK(DN70,$DN$10:$DN$109),Sheet1!$A$381:$B$480,2,FALSE)</f>
        <v>25th</v>
      </c>
      <c r="DQ70" s="166">
        <v>23</v>
      </c>
      <c r="DR70" s="166">
        <v>16</v>
      </c>
      <c r="DS70" s="137">
        <f t="shared" si="52"/>
        <v>39</v>
      </c>
      <c r="DT70" s="137" t="str">
        <f t="shared" si="246"/>
        <v>56</v>
      </c>
      <c r="DU70" s="137">
        <f t="shared" si="54"/>
        <v>95</v>
      </c>
      <c r="DV70" s="137">
        <f t="shared" si="247"/>
        <v>47.5</v>
      </c>
      <c r="DW70" s="135" t="str">
        <f t="shared" si="56"/>
        <v>D</v>
      </c>
      <c r="DX70" s="135" t="str">
        <f>VLOOKUP(RANK(DV70,$DV$10:$DV$109),Sheet1!$A$381:$B$480,2,FALSE)</f>
        <v>61st</v>
      </c>
      <c r="DY70" s="168">
        <v>31</v>
      </c>
      <c r="DZ70" s="168">
        <v>27</v>
      </c>
      <c r="EA70" s="137">
        <f t="shared" si="57"/>
        <v>58</v>
      </c>
      <c r="EB70" s="137" t="str">
        <f t="shared" si="248"/>
        <v>55</v>
      </c>
      <c r="EC70" s="137">
        <f t="shared" si="59"/>
        <v>113</v>
      </c>
      <c r="ED70" s="137">
        <f t="shared" si="60"/>
        <v>56.5</v>
      </c>
      <c r="EE70" s="135" t="str">
        <f t="shared" si="61"/>
        <v>C</v>
      </c>
      <c r="EF70" s="135" t="str">
        <f>VLOOKUP(RANK(ED70,$ED$10:$ED$109),Sheet1!$A$381:$B$480,2,FALSE)</f>
        <v>19th</v>
      </c>
      <c r="EG70" s="162">
        <v>34</v>
      </c>
      <c r="EH70" s="162">
        <v>31</v>
      </c>
      <c r="EI70" s="137">
        <f t="shared" si="62"/>
        <v>65</v>
      </c>
      <c r="EJ70" s="137" t="str">
        <f t="shared" si="249"/>
        <v>73</v>
      </c>
      <c r="EK70" s="137">
        <f t="shared" si="64"/>
        <v>138</v>
      </c>
      <c r="EL70" s="137">
        <f t="shared" si="65"/>
        <v>69</v>
      </c>
      <c r="EM70" s="135" t="str">
        <f t="shared" si="66"/>
        <v>B</v>
      </c>
      <c r="EN70" s="135" t="str">
        <f>VLOOKUP(RANK(EL70,$EL$10:$EL$109),Sheet1!$A$381:$B$480,2,FALSE)</f>
        <v>11th</v>
      </c>
      <c r="EO70" s="162">
        <v>30</v>
      </c>
      <c r="EP70" s="162">
        <v>11</v>
      </c>
      <c r="EQ70" s="137">
        <f t="shared" si="67"/>
        <v>41</v>
      </c>
      <c r="ER70" s="137" t="str">
        <f t="shared" si="250"/>
        <v>64</v>
      </c>
      <c r="ES70" s="137">
        <f t="shared" si="69"/>
        <v>105</v>
      </c>
      <c r="ET70" s="137">
        <f t="shared" si="70"/>
        <v>52.5</v>
      </c>
      <c r="EU70" s="135" t="str">
        <f t="shared" si="71"/>
        <v>C</v>
      </c>
      <c r="EV70" s="135" t="str">
        <f>VLOOKUP(RANK(ET70,$ET$10:$ET$109),Sheet1!$A$381:$B$480,2,FALSE)</f>
        <v>53rd</v>
      </c>
      <c r="EW70" s="137"/>
      <c r="EX70" s="137"/>
      <c r="EY70" s="137">
        <f t="shared" si="72"/>
        <v>0</v>
      </c>
      <c r="EZ70" s="137" t="str">
        <f t="shared" si="251"/>
        <v>0</v>
      </c>
      <c r="FA70" s="137">
        <f t="shared" si="74"/>
        <v>0</v>
      </c>
      <c r="FB70" s="137">
        <f t="shared" si="75"/>
        <v>0</v>
      </c>
      <c r="FC70" s="135" t="str">
        <f t="shared" si="76"/>
        <v>F</v>
      </c>
      <c r="FD70" s="135" t="str">
        <f>VLOOKUP(RANK(FB70,$FB$10:$FB$109),Sheet1!$A$381:$B$480,2,FALSE)</f>
        <v>1st</v>
      </c>
      <c r="FE70" s="137"/>
      <c r="FF70" s="137"/>
      <c r="FG70" s="137">
        <f t="shared" si="77"/>
        <v>0</v>
      </c>
      <c r="FH70" s="137" t="str">
        <f t="shared" si="252"/>
        <v>0</v>
      </c>
      <c r="FI70" s="137">
        <f t="shared" si="79"/>
        <v>0</v>
      </c>
      <c r="FJ70" s="137">
        <f t="shared" si="80"/>
        <v>0</v>
      </c>
      <c r="FK70" s="135" t="str">
        <f t="shared" si="81"/>
        <v>F</v>
      </c>
      <c r="FL70" s="135" t="str">
        <f>VLOOKUP(RANK(FJ70,$FJ$10:$FJ$109),Sheet1!$A$381:$B$480,2,FALSE)</f>
        <v>1st</v>
      </c>
      <c r="FM70" s="166">
        <v>25</v>
      </c>
      <c r="FN70" s="166">
        <v>30</v>
      </c>
      <c r="FO70" s="137">
        <f t="shared" si="82"/>
        <v>55</v>
      </c>
      <c r="FP70" s="137" t="str">
        <f t="shared" si="253"/>
        <v>51</v>
      </c>
      <c r="FQ70" s="137">
        <f t="shared" si="84"/>
        <v>106</v>
      </c>
      <c r="FR70" s="137">
        <f t="shared" si="85"/>
        <v>53</v>
      </c>
      <c r="FS70" s="135" t="str">
        <f t="shared" si="86"/>
        <v>C</v>
      </c>
      <c r="FT70" s="135" t="str">
        <f>VLOOKUP(RANK(FR70,$FR$10:$FR$109),Sheet1!$A$381:$B$480,2,FALSE)</f>
        <v>36th</v>
      </c>
      <c r="FU70" s="149">
        <v>40</v>
      </c>
      <c r="FV70" s="149">
        <v>15</v>
      </c>
      <c r="FW70" s="137">
        <f t="shared" si="87"/>
        <v>55</v>
      </c>
      <c r="FX70" s="137" t="str">
        <f t="shared" si="254"/>
        <v>51</v>
      </c>
      <c r="FY70" s="137">
        <f t="shared" si="196"/>
        <v>55</v>
      </c>
      <c r="FZ70" s="137">
        <f t="shared" si="89"/>
        <v>27.5</v>
      </c>
      <c r="GA70" s="135" t="str">
        <f t="shared" si="90"/>
        <v>F</v>
      </c>
      <c r="GB70" s="135" t="str">
        <f>VLOOKUP(RANK(FZ70,$FZ$10:$FZ$109),Sheet1!$A$381:$B$480,2,FALSE)</f>
        <v>39th</v>
      </c>
      <c r="GC70" s="166">
        <v>27</v>
      </c>
      <c r="GD70" s="166">
        <v>30</v>
      </c>
      <c r="GE70" s="137">
        <f t="shared" si="91"/>
        <v>57</v>
      </c>
      <c r="GF70" s="137" t="str">
        <f t="shared" si="255"/>
        <v>42</v>
      </c>
      <c r="GG70" s="135">
        <f t="shared" si="270"/>
        <v>99</v>
      </c>
      <c r="GH70" s="137">
        <f t="shared" si="271"/>
        <v>49.5</v>
      </c>
      <c r="GI70" s="135" t="str">
        <f t="shared" si="93"/>
        <v>D</v>
      </c>
      <c r="GJ70" s="135" t="str">
        <f>VLOOKUP(RANK(GH70,$GH$10:$GH$109),Sheet1!$A$381:$B$480,2,FALSE)</f>
        <v>15th</v>
      </c>
      <c r="GK70" s="166">
        <v>26</v>
      </c>
      <c r="GL70" s="166">
        <v>15</v>
      </c>
      <c r="GM70" s="137">
        <f t="shared" si="94"/>
        <v>41</v>
      </c>
      <c r="GN70" s="137" t="str">
        <f t="shared" si="256"/>
        <v>52</v>
      </c>
      <c r="GO70" s="135">
        <f t="shared" si="272"/>
        <v>93</v>
      </c>
      <c r="GP70" s="137">
        <f t="shared" si="96"/>
        <v>46.5</v>
      </c>
      <c r="GQ70" s="135" t="str">
        <f t="shared" si="97"/>
        <v>D</v>
      </c>
      <c r="GR70" s="135" t="str">
        <f>VLOOKUP(RANK(GP70,$GP$10:$GP$109),Sheet1!$A$381:$B$480,2,FALSE)</f>
        <v>74th</v>
      </c>
      <c r="GS70" s="166">
        <v>35</v>
      </c>
      <c r="GT70" s="166">
        <v>33</v>
      </c>
      <c r="GU70" s="137">
        <f t="shared" si="98"/>
        <v>68</v>
      </c>
      <c r="GV70" s="137" t="str">
        <f t="shared" si="257"/>
        <v>43</v>
      </c>
      <c r="GW70" s="137">
        <f t="shared" si="100"/>
        <v>111</v>
      </c>
      <c r="GX70" s="137">
        <f t="shared" si="101"/>
        <v>55.5</v>
      </c>
      <c r="GY70" s="135" t="str">
        <f t="shared" si="102"/>
        <v>C</v>
      </c>
      <c r="GZ70" s="135" t="str">
        <f>VLOOKUP(RANK(GX70,$GX$10:$GX$109),Sheet1!$A$381:$B$480,2,FALSE)</f>
        <v>35th</v>
      </c>
      <c r="HA70" s="166">
        <v>29</v>
      </c>
      <c r="HB70" s="166">
        <v>7</v>
      </c>
      <c r="HC70" s="137">
        <f t="shared" si="103"/>
        <v>36</v>
      </c>
      <c r="HD70" s="137" t="str">
        <f t="shared" si="258"/>
        <v>40</v>
      </c>
      <c r="HE70" s="137">
        <f t="shared" si="105"/>
        <v>76</v>
      </c>
      <c r="HF70" s="137">
        <f t="shared" si="106"/>
        <v>38</v>
      </c>
      <c r="HG70" s="135" t="str">
        <f t="shared" si="107"/>
        <v>E</v>
      </c>
      <c r="HH70" s="135" t="str">
        <f>VLOOKUP(RANK(HF70,$HF$10:$HF$109),Sheet1!$A$381:$B$480,2,FALSE)</f>
        <v>80th</v>
      </c>
      <c r="HI70" s="149">
        <v>30</v>
      </c>
      <c r="HJ70" s="149">
        <v>45</v>
      </c>
      <c r="HK70" s="137">
        <f t="shared" si="108"/>
        <v>75</v>
      </c>
      <c r="HL70" s="137" t="str">
        <f t="shared" si="259"/>
        <v>42</v>
      </c>
      <c r="HM70" s="137">
        <f t="shared" si="110"/>
        <v>117</v>
      </c>
      <c r="HN70" s="137">
        <f t="shared" si="111"/>
        <v>58.5</v>
      </c>
      <c r="HO70" s="135" t="str">
        <f t="shared" si="112"/>
        <v>C</v>
      </c>
      <c r="HP70" s="135" t="str">
        <f>VLOOKUP(RANK(HN70,$HN$10:$HN$109),Sheet1!$A$381:$B$480,2,FALSE)</f>
        <v>77th</v>
      </c>
      <c r="HQ70" s="137"/>
      <c r="HR70" s="137"/>
      <c r="HS70" s="137">
        <f t="shared" si="113"/>
        <v>0</v>
      </c>
      <c r="HT70" s="137" t="str">
        <f t="shared" si="260"/>
        <v>0</v>
      </c>
      <c r="HU70" s="137">
        <f t="shared" si="115"/>
        <v>0</v>
      </c>
      <c r="HV70" s="137">
        <f t="shared" si="116"/>
        <v>0</v>
      </c>
      <c r="HW70" s="135" t="str">
        <f t="shared" si="117"/>
        <v>F</v>
      </c>
      <c r="HX70" s="135" t="str">
        <f>VLOOKUP(RANK(HV70,$HV$10:$HV$109),Sheet1!$A$381:$B$480,2,FALSE)</f>
        <v>1st</v>
      </c>
      <c r="HY70" s="137"/>
      <c r="HZ70" s="137"/>
      <c r="IA70" s="137">
        <f t="shared" si="261"/>
        <v>0</v>
      </c>
      <c r="IB70" s="137" t="str">
        <f t="shared" si="262"/>
        <v>0</v>
      </c>
      <c r="IC70" s="137">
        <f t="shared" si="120"/>
        <v>0</v>
      </c>
      <c r="ID70" s="137">
        <f t="shared" si="121"/>
        <v>0</v>
      </c>
      <c r="IE70" s="135" t="str">
        <f t="shared" si="122"/>
        <v>F</v>
      </c>
      <c r="IF70" s="135" t="str">
        <f>VLOOKUP(RANK(ID70,$ID$10:$ID$109),Sheet1!$A$381:$B$480,2,FALSE)</f>
        <v>1st</v>
      </c>
      <c r="IG70" s="135"/>
      <c r="IH70" s="135"/>
      <c r="II70" s="135">
        <f t="shared" si="273"/>
        <v>0</v>
      </c>
      <c r="IJ70" s="135" t="str">
        <f t="shared" si="274"/>
        <v>0</v>
      </c>
      <c r="IK70" s="135">
        <f t="shared" si="275"/>
        <v>0</v>
      </c>
      <c r="IL70" s="135">
        <f t="shared" si="276"/>
        <v>0</v>
      </c>
      <c r="IM70" s="135" t="str">
        <f t="shared" si="123"/>
        <v>F</v>
      </c>
      <c r="IN70" s="135" t="str">
        <f>VLOOKUP(RANK(IL70,$IL$10:$IL$109),Sheet1!$A$381:$B$480,2,FALSE)</f>
        <v>1st</v>
      </c>
      <c r="IO70" s="135">
        <f t="shared" si="277"/>
        <v>626.5</v>
      </c>
      <c r="IP70" s="177">
        <f t="shared" si="278"/>
        <v>36.852941176470601</v>
      </c>
      <c r="IQ70" s="135" t="str">
        <f>VLOOKUP(RANK(IP70,$IP$10:$IP$109),Sheet1!$A$381:$B$480,2,FALSE)</f>
        <v>37th</v>
      </c>
      <c r="IR70" s="178"/>
      <c r="IS70" s="137"/>
      <c r="IT70" s="137"/>
      <c r="IU70" s="137"/>
      <c r="IV70" s="137"/>
      <c r="IW70" s="181"/>
      <c r="IX70" s="184"/>
      <c r="IY70" s="186"/>
      <c r="IZ70" s="186">
        <f t="shared" si="206"/>
        <v>0</v>
      </c>
      <c r="JA70" s="186" t="str">
        <f t="shared" si="124"/>
        <v>64</v>
      </c>
      <c r="JB70" s="186" t="str">
        <f t="shared" si="125"/>
        <v>81</v>
      </c>
      <c r="JC70" s="186">
        <f t="shared" si="279"/>
        <v>145</v>
      </c>
      <c r="JD70" s="186">
        <f t="shared" si="280"/>
        <v>48.3333333333333</v>
      </c>
      <c r="JE70" s="135" t="str">
        <f t="shared" si="126"/>
        <v>D</v>
      </c>
      <c r="JF70" s="151" t="str">
        <f>VLOOKUP(RANK(JD70,$JD$10:$JD$109),Sheet1!$A$381:$B$480,2,FALSE)</f>
        <v>25th</v>
      </c>
      <c r="JG70" s="186"/>
      <c r="JH70" s="186"/>
      <c r="JI70" s="186">
        <f t="shared" si="127"/>
        <v>0</v>
      </c>
      <c r="JJ70" s="186" t="str">
        <f t="shared" si="128"/>
        <v>56</v>
      </c>
      <c r="JK70" s="186" t="str">
        <f t="shared" si="129"/>
        <v>39</v>
      </c>
      <c r="JL70" s="186">
        <f t="shared" si="281"/>
        <v>95</v>
      </c>
      <c r="JM70" s="186">
        <f t="shared" si="282"/>
        <v>31.6666666666667</v>
      </c>
      <c r="JN70" s="135" t="str">
        <f t="shared" si="130"/>
        <v>F</v>
      </c>
      <c r="JO70" s="151" t="str">
        <f>VLOOKUP(RANK(JM70,$JM$10:$JM$109),Sheet1!$A$381:$B$480,2,FALSE)</f>
        <v>61st</v>
      </c>
      <c r="JP70" s="186"/>
      <c r="JQ70" s="186"/>
      <c r="JR70" s="186">
        <f t="shared" si="131"/>
        <v>0</v>
      </c>
      <c r="JS70" s="186" t="str">
        <f t="shared" si="132"/>
        <v>55</v>
      </c>
      <c r="JT70" s="186" t="str">
        <f t="shared" si="133"/>
        <v>58</v>
      </c>
      <c r="JU70" s="186">
        <f t="shared" si="283"/>
        <v>113</v>
      </c>
      <c r="JV70" s="186">
        <f t="shared" si="284"/>
        <v>37.6666666666667</v>
      </c>
      <c r="JW70" s="135" t="str">
        <f t="shared" si="134"/>
        <v>E</v>
      </c>
      <c r="JX70" s="151" t="str">
        <f>VLOOKUP(RANK(JV70,$JV$10:$JV$109),Sheet1!$A$381:$B$480,2,FALSE)</f>
        <v>19th</v>
      </c>
      <c r="JY70" s="186"/>
      <c r="JZ70" s="186"/>
      <c r="KA70" s="186">
        <f t="shared" si="135"/>
        <v>0</v>
      </c>
      <c r="KB70" s="186" t="str">
        <f t="shared" si="136"/>
        <v>73</v>
      </c>
      <c r="KC70" s="186" t="str">
        <f t="shared" si="137"/>
        <v>65</v>
      </c>
      <c r="KD70" s="186">
        <f t="shared" si="285"/>
        <v>138</v>
      </c>
      <c r="KE70" s="186">
        <f t="shared" si="286"/>
        <v>46</v>
      </c>
      <c r="KF70" s="135" t="str">
        <f t="shared" si="138"/>
        <v>D</v>
      </c>
      <c r="KG70" s="151" t="str">
        <f>VLOOKUP(RANK(KE70,$KE$10:$KE$109),Sheet1!$A$381:$B$480,2,FALSE)</f>
        <v>11th</v>
      </c>
      <c r="KH70" s="186"/>
      <c r="KI70" s="186"/>
      <c r="KJ70" s="186">
        <f t="shared" si="139"/>
        <v>0</v>
      </c>
      <c r="KK70" s="186" t="str">
        <f t="shared" si="140"/>
        <v>64</v>
      </c>
      <c r="KL70" s="186" t="str">
        <f t="shared" si="141"/>
        <v>41</v>
      </c>
      <c r="KM70" s="186">
        <f t="shared" si="287"/>
        <v>105</v>
      </c>
      <c r="KN70" s="186">
        <f t="shared" si="288"/>
        <v>35</v>
      </c>
      <c r="KO70" s="135" t="str">
        <f t="shared" si="142"/>
        <v>E</v>
      </c>
      <c r="KP70" s="151" t="str">
        <f>VLOOKUP(RANK(KN70,$KN$10:$KN$109),Sheet1!$A$381:$B$480,2,FALSE)</f>
        <v>53rd</v>
      </c>
      <c r="KQ70" s="186"/>
      <c r="KR70" s="186"/>
      <c r="KS70" s="186">
        <f t="shared" si="143"/>
        <v>0</v>
      </c>
      <c r="KT70" s="186" t="str">
        <f t="shared" si="144"/>
        <v>0</v>
      </c>
      <c r="KU70" s="186" t="str">
        <f t="shared" si="145"/>
        <v>0</v>
      </c>
      <c r="KV70" s="186">
        <f t="shared" si="289"/>
        <v>0</v>
      </c>
      <c r="KW70" s="186">
        <f t="shared" si="290"/>
        <v>0</v>
      </c>
      <c r="KX70" s="135" t="str">
        <f t="shared" si="146"/>
        <v>F</v>
      </c>
      <c r="KY70" s="151" t="str">
        <f>VLOOKUP(RANK(KW70,$KW$10:$KW$109),Sheet1!$A$381:$B$480,2,FALSE)</f>
        <v>1st</v>
      </c>
      <c r="KZ70" s="186"/>
      <c r="LA70" s="186"/>
      <c r="LB70" s="186">
        <f t="shared" si="147"/>
        <v>0</v>
      </c>
      <c r="LC70" s="186" t="str">
        <f t="shared" si="148"/>
        <v>0</v>
      </c>
      <c r="LD70" s="186" t="str">
        <f t="shared" si="149"/>
        <v>0</v>
      </c>
      <c r="LE70" s="186">
        <f t="shared" si="291"/>
        <v>0</v>
      </c>
      <c r="LF70" s="186">
        <f t="shared" si="292"/>
        <v>0</v>
      </c>
      <c r="LG70" s="135" t="str">
        <f t="shared" si="150"/>
        <v>F</v>
      </c>
      <c r="LH70" s="151" t="str">
        <f>VLOOKUP(RANK(LF70,$LF$10:$LF$109),Sheet1!$A$381:$B$480,2,FALSE)</f>
        <v>1st</v>
      </c>
      <c r="LI70" s="186"/>
      <c r="LJ70" s="186"/>
      <c r="LK70" s="186">
        <f t="shared" si="151"/>
        <v>0</v>
      </c>
      <c r="LL70" s="186" t="str">
        <f t="shared" si="152"/>
        <v>51</v>
      </c>
      <c r="LM70" s="186" t="str">
        <f t="shared" si="153"/>
        <v>55</v>
      </c>
      <c r="LN70" s="186">
        <f t="shared" si="293"/>
        <v>106</v>
      </c>
      <c r="LO70" s="186">
        <f t="shared" si="294"/>
        <v>35.3333333333333</v>
      </c>
      <c r="LP70" s="135" t="str">
        <f t="shared" si="154"/>
        <v>E</v>
      </c>
      <c r="LQ70" s="151" t="str">
        <f>VLOOKUP(RANK(LO70,$LO$10:$LO$109),Sheet1!$A$381:$B$480,2,FALSE)</f>
        <v>36th</v>
      </c>
      <c r="LR70" s="186"/>
      <c r="LS70" s="186"/>
      <c r="LT70" s="186">
        <f t="shared" si="155"/>
        <v>0</v>
      </c>
      <c r="LU70" s="186" t="str">
        <f t="shared" si="156"/>
        <v>51</v>
      </c>
      <c r="LV70" s="186" t="str">
        <f t="shared" si="157"/>
        <v>55</v>
      </c>
      <c r="LW70" s="186">
        <f t="shared" si="295"/>
        <v>106</v>
      </c>
      <c r="LX70" s="186">
        <f t="shared" si="296"/>
        <v>35.3333333333333</v>
      </c>
      <c r="LY70" s="135" t="str">
        <f t="shared" si="158"/>
        <v>E</v>
      </c>
      <c r="LZ70" s="151" t="str">
        <f>VLOOKUP(RANK(LX70,$LX$10:$LX$109),Sheet1!$A$381:$B$480,2,FALSE)</f>
        <v>43rd</v>
      </c>
      <c r="MA70" s="186"/>
      <c r="MB70" s="186"/>
      <c r="MC70" s="186">
        <f t="shared" si="159"/>
        <v>0</v>
      </c>
      <c r="MD70" s="186" t="str">
        <f t="shared" si="160"/>
        <v>42</v>
      </c>
      <c r="ME70" s="186" t="str">
        <f t="shared" si="161"/>
        <v>57</v>
      </c>
      <c r="MF70" s="183">
        <f t="shared" si="297"/>
        <v>99</v>
      </c>
      <c r="MG70" s="151">
        <f t="shared" si="298"/>
        <v>33</v>
      </c>
      <c r="MH70" s="135" t="str">
        <f t="shared" si="162"/>
        <v>F</v>
      </c>
      <c r="MI70" s="151" t="str">
        <f>VLOOKUP(RANK(MG70,$MG$10:$MG$109),Sheet1!$A$381:$B$480,2,FALSE)</f>
        <v>15th</v>
      </c>
      <c r="MJ70" s="186"/>
      <c r="MK70" s="186"/>
      <c r="ML70" s="186">
        <f t="shared" si="163"/>
        <v>0</v>
      </c>
      <c r="MM70" s="186" t="str">
        <f t="shared" si="164"/>
        <v>52</v>
      </c>
      <c r="MN70" s="186" t="str">
        <f t="shared" si="165"/>
        <v>41</v>
      </c>
      <c r="MO70" s="186">
        <f t="shared" si="299"/>
        <v>93</v>
      </c>
      <c r="MP70" s="186">
        <f t="shared" si="300"/>
        <v>31</v>
      </c>
      <c r="MQ70" s="135" t="str">
        <f t="shared" si="166"/>
        <v>F</v>
      </c>
      <c r="MR70" s="151" t="str">
        <f>VLOOKUP(RANK(MP70,$MP$10:$MP$109),Sheet1!$A$381:$B$480,2,FALSE)</f>
        <v>74th</v>
      </c>
      <c r="MS70" s="186"/>
      <c r="MT70" s="186"/>
      <c r="MU70" s="186">
        <f t="shared" si="167"/>
        <v>0</v>
      </c>
      <c r="MV70" s="186" t="str">
        <f t="shared" si="168"/>
        <v>43</v>
      </c>
      <c r="MW70" s="186" t="str">
        <f t="shared" si="169"/>
        <v>68</v>
      </c>
      <c r="MX70" s="186">
        <f t="shared" si="301"/>
        <v>111</v>
      </c>
      <c r="MY70" s="186">
        <f t="shared" si="302"/>
        <v>37</v>
      </c>
      <c r="MZ70" s="135" t="str">
        <f t="shared" si="170"/>
        <v>E</v>
      </c>
      <c r="NA70" s="151" t="str">
        <f>VLOOKUP(RANK(MY70,$MY$10:$MY$109),Sheet1!$A$381:$B$480,2,FALSE)</f>
        <v>35th</v>
      </c>
      <c r="NB70" s="186"/>
      <c r="NC70" s="186"/>
      <c r="ND70" s="186">
        <f t="shared" si="171"/>
        <v>0</v>
      </c>
      <c r="NE70" s="186" t="str">
        <f t="shared" si="172"/>
        <v>40</v>
      </c>
      <c r="NF70" s="186" t="str">
        <f t="shared" si="173"/>
        <v>36</v>
      </c>
      <c r="NG70" s="186">
        <f t="shared" si="303"/>
        <v>76</v>
      </c>
      <c r="NH70" s="186">
        <f t="shared" si="304"/>
        <v>25.3333333333333</v>
      </c>
      <c r="NI70" s="135" t="str">
        <f t="shared" si="174"/>
        <v>F</v>
      </c>
      <c r="NJ70" s="151" t="str">
        <f>VLOOKUP(RANK(NH70,$NH$10:$NH$109),Sheet1!$A$381:$B$480,2,FALSE)</f>
        <v>80th</v>
      </c>
      <c r="NK70" s="186"/>
      <c r="NL70" s="186"/>
      <c r="NM70" s="186">
        <f t="shared" si="175"/>
        <v>0</v>
      </c>
      <c r="NN70" s="186" t="str">
        <f t="shared" si="176"/>
        <v>42</v>
      </c>
      <c r="NO70" s="186" t="str">
        <f t="shared" si="177"/>
        <v>75</v>
      </c>
      <c r="NP70" s="186">
        <f t="shared" si="305"/>
        <v>117</v>
      </c>
      <c r="NQ70" s="186">
        <f t="shared" si="263"/>
        <v>39</v>
      </c>
      <c r="NR70" s="135" t="str">
        <f t="shared" si="179"/>
        <v>E</v>
      </c>
      <c r="NS70" s="151" t="str">
        <f>VLOOKUP(RANK(NQ70,$NQ$10:$NQ$109),Sheet1!$A$381:$B$480,2,FALSE)</f>
        <v>77th</v>
      </c>
      <c r="NT70" s="186"/>
      <c r="NU70" s="186"/>
      <c r="NV70" s="186">
        <f t="shared" si="180"/>
        <v>0</v>
      </c>
      <c r="NW70" s="186" t="str">
        <f t="shared" si="181"/>
        <v>0</v>
      </c>
      <c r="NX70" s="186" t="str">
        <f t="shared" si="182"/>
        <v>0</v>
      </c>
      <c r="NY70" s="186">
        <f t="shared" si="306"/>
        <v>0</v>
      </c>
      <c r="NZ70" s="186">
        <f t="shared" si="264"/>
        <v>0</v>
      </c>
      <c r="OA70" s="135" t="str">
        <f t="shared" si="184"/>
        <v>F</v>
      </c>
      <c r="OB70" s="151" t="str">
        <f>VLOOKUP(RANK(NZ70,$NZ$10:$NZ$109),Sheet1!$A$381:$B$480,2,FALSE)</f>
        <v>1st</v>
      </c>
      <c r="OC70" s="186"/>
      <c r="OD70" s="186"/>
      <c r="OE70" s="186">
        <f t="shared" si="185"/>
        <v>0</v>
      </c>
      <c r="OF70" s="186" t="str">
        <f t="shared" si="186"/>
        <v>0</v>
      </c>
      <c r="OG70" s="186" t="str">
        <f t="shared" si="187"/>
        <v>0</v>
      </c>
      <c r="OH70" s="186">
        <f t="shared" si="307"/>
        <v>0</v>
      </c>
      <c r="OI70" s="186">
        <f t="shared" si="236"/>
        <v>0</v>
      </c>
      <c r="OJ70" s="135" t="str">
        <f t="shared" si="188"/>
        <v>F</v>
      </c>
      <c r="OK70" s="151" t="str">
        <f>VLOOKUP(RANK(OI70,$OI$10:$OI$109),Sheet1!$A$381:$B$480,2,FALSE)</f>
        <v>1st</v>
      </c>
      <c r="OL70" s="151"/>
      <c r="OM70" s="151"/>
      <c r="ON70" s="151">
        <f t="shared" si="308"/>
        <v>0</v>
      </c>
      <c r="OO70" s="151" t="str">
        <f t="shared" si="309"/>
        <v>0</v>
      </c>
      <c r="OP70" s="151" t="str">
        <f t="shared" si="310"/>
        <v>0</v>
      </c>
      <c r="OQ70" s="151">
        <f t="shared" si="311"/>
        <v>0</v>
      </c>
      <c r="OR70" s="151">
        <f t="shared" si="312"/>
        <v>0</v>
      </c>
      <c r="OS70" s="135" t="str">
        <f t="shared" si="189"/>
        <v>F</v>
      </c>
      <c r="OT70" s="151" t="str">
        <f>VLOOKUP(RANK(OR70,$OI$10:$OI$109),Sheet1!$A$381:$B$480,2,FALSE)</f>
        <v>1st</v>
      </c>
      <c r="OU70" s="151">
        <f t="shared" si="313"/>
        <v>434.66666666666703</v>
      </c>
      <c r="OV70" s="151">
        <f t="shared" si="314"/>
        <v>25.568627450980401</v>
      </c>
      <c r="OW70" s="151" t="str">
        <f>VLOOKUP(RANK(OV70,$OV$10:$OV$109),Sheet1!$A$381:$B$480,2,FALSE)</f>
        <v>37th</v>
      </c>
      <c r="OX70" s="151"/>
      <c r="OY70" s="186"/>
      <c r="OZ70" s="186"/>
      <c r="PA70" s="186"/>
      <c r="PB70" s="186"/>
    </row>
    <row r="71" spans="1:418" s="118" customFormat="1" ht="18.75">
      <c r="A71" s="131">
        <v>62</v>
      </c>
      <c r="B71" s="132" t="s">
        <v>161</v>
      </c>
      <c r="C71" s="133" t="s">
        <v>97</v>
      </c>
      <c r="D71" s="134">
        <v>25</v>
      </c>
      <c r="E71" s="134">
        <v>40</v>
      </c>
      <c r="F71" s="137">
        <f t="shared" si="0"/>
        <v>65</v>
      </c>
      <c r="G71" s="137">
        <f t="shared" si="1"/>
        <v>65</v>
      </c>
      <c r="H71" s="135" t="str">
        <f t="shared" si="265"/>
        <v>B</v>
      </c>
      <c r="I71" s="135" t="str">
        <f>VLOOKUP(RANK(G71,$G$10:$G$109),Sheet1!$A$381:$B$480,2,FALSE)</f>
        <v>56th</v>
      </c>
      <c r="J71" s="134">
        <v>33</v>
      </c>
      <c r="K71" s="134">
        <v>34</v>
      </c>
      <c r="L71" s="137">
        <f t="shared" si="2"/>
        <v>67</v>
      </c>
      <c r="M71" s="137">
        <f t="shared" si="3"/>
        <v>67</v>
      </c>
      <c r="N71" s="135" t="str">
        <f t="shared" si="4"/>
        <v>B</v>
      </c>
      <c r="O71" s="141" t="str">
        <f>VLOOKUP(RANK(M71,$M$10:$M$109),Sheet1!$A$381:$B$480,2,FALSE)</f>
        <v>15th</v>
      </c>
      <c r="P71" s="144">
        <v>28</v>
      </c>
      <c r="Q71" s="144">
        <v>5</v>
      </c>
      <c r="R71" s="147">
        <f t="shared" si="5"/>
        <v>33</v>
      </c>
      <c r="S71" s="137">
        <f t="shared" si="6"/>
        <v>33</v>
      </c>
      <c r="T71" s="135" t="str">
        <f t="shared" si="7"/>
        <v>F</v>
      </c>
      <c r="U71" s="135" t="str">
        <f>VLOOKUP(RANK(S71,$S$10:$S$109),Sheet1!$A$381:$B$480,2,FALSE)</f>
        <v>77th</v>
      </c>
      <c r="V71" s="134">
        <v>28</v>
      </c>
      <c r="W71" s="134">
        <v>37</v>
      </c>
      <c r="X71" s="137">
        <f t="shared" si="191"/>
        <v>65</v>
      </c>
      <c r="Y71" s="137">
        <f t="shared" si="244"/>
        <v>65</v>
      </c>
      <c r="Z71" s="135" t="str">
        <f t="shared" si="8"/>
        <v>B</v>
      </c>
      <c r="AA71" s="135" t="str">
        <f>VLOOKUP(RANK(Y71,$Y$10:$Y$109),Sheet1!$A$381:$B$480,2,FALSE)</f>
        <v>27th</v>
      </c>
      <c r="AB71" s="134">
        <v>35</v>
      </c>
      <c r="AC71" s="134">
        <v>45</v>
      </c>
      <c r="AD71" s="137">
        <f t="shared" si="9"/>
        <v>80</v>
      </c>
      <c r="AE71" s="137">
        <f t="shared" si="10"/>
        <v>80</v>
      </c>
      <c r="AF71" s="135" t="str">
        <f t="shared" si="11"/>
        <v>A</v>
      </c>
      <c r="AG71" s="135" t="str">
        <f>VLOOKUP(RANK(AE71,$AE$10:$AE$109),Sheet1!$A$381:$B$480,2,FALSE)</f>
        <v>13th</v>
      </c>
      <c r="AH71" s="137"/>
      <c r="AI71" s="137"/>
      <c r="AJ71" s="137">
        <f t="shared" si="12"/>
        <v>0</v>
      </c>
      <c r="AK71" s="137">
        <f t="shared" si="13"/>
        <v>0</v>
      </c>
      <c r="AL71" s="135" t="str">
        <f t="shared" si="14"/>
        <v>F</v>
      </c>
      <c r="AM71" s="135" t="str">
        <f>VLOOKUP(RANK(AK71,$AK$10:$AK$109),Sheet1!$A$381:$B$480,2,FALSE)</f>
        <v>1st</v>
      </c>
      <c r="AN71" s="134"/>
      <c r="AO71" s="134"/>
      <c r="AP71" s="137">
        <f t="shared" si="15"/>
        <v>0</v>
      </c>
      <c r="AQ71" s="137">
        <f t="shared" si="16"/>
        <v>0</v>
      </c>
      <c r="AR71" s="135" t="str">
        <f t="shared" si="17"/>
        <v>F</v>
      </c>
      <c r="AS71" s="135" t="str">
        <f>VLOOKUP(RANK(AQ71,$AQ$10:$AQ$109),Sheet1!$A$381:$B$480,2,FALSE)</f>
        <v>1st</v>
      </c>
      <c r="AT71" s="144">
        <v>24</v>
      </c>
      <c r="AU71" s="144">
        <v>34</v>
      </c>
      <c r="AV71" s="137">
        <f t="shared" si="18"/>
        <v>58</v>
      </c>
      <c r="AW71" s="137">
        <f t="shared" si="19"/>
        <v>58</v>
      </c>
      <c r="AX71" s="135" t="str">
        <f t="shared" si="20"/>
        <v>C</v>
      </c>
      <c r="AY71" s="141" t="str">
        <f>VLOOKUP(RANK(AW71,$AW$10:$AW$109),Sheet1!$A$381:$B$480,2,FALSE)</f>
        <v>16th</v>
      </c>
      <c r="AZ71" s="144">
        <v>33</v>
      </c>
      <c r="BA71" s="144">
        <v>25</v>
      </c>
      <c r="BB71" s="147">
        <f t="shared" si="21"/>
        <v>58</v>
      </c>
      <c r="BC71" s="137">
        <f t="shared" si="22"/>
        <v>58</v>
      </c>
      <c r="BD71" s="135" t="str">
        <f t="shared" si="23"/>
        <v>C</v>
      </c>
      <c r="BE71" s="135" t="str">
        <f>VLOOKUP(RANK(BC71,$BC$10:$BC$109),Sheet1!$A$381:$B$480,2,FALSE)</f>
        <v>33rd</v>
      </c>
      <c r="BF71" s="144">
        <v>21</v>
      </c>
      <c r="BG71" s="144">
        <v>16</v>
      </c>
      <c r="BH71" s="137">
        <f t="shared" si="24"/>
        <v>37</v>
      </c>
      <c r="BI71" s="137">
        <f t="shared" si="25"/>
        <v>37</v>
      </c>
      <c r="BJ71" s="135" t="str">
        <f t="shared" si="26"/>
        <v>E</v>
      </c>
      <c r="BK71" s="141" t="str">
        <f>VLOOKUP(RANK(BI71,$BI$10:$BI$109),Sheet1!$A$381:$B$480,2,FALSE)</f>
        <v>41st</v>
      </c>
      <c r="BL71" s="149">
        <v>27</v>
      </c>
      <c r="BM71" s="149">
        <v>26</v>
      </c>
      <c r="BN71" s="147">
        <f t="shared" si="27"/>
        <v>53</v>
      </c>
      <c r="BO71" s="137">
        <f t="shared" si="28"/>
        <v>53</v>
      </c>
      <c r="BP71" s="135" t="str">
        <f t="shared" si="29"/>
        <v>C</v>
      </c>
      <c r="BQ71" s="141" t="str">
        <f>VLOOKUP(RANK(BO71,$BO$10:$BO$109),Sheet1!$A$381:$B$480,2,FALSE)</f>
        <v>36th</v>
      </c>
      <c r="BR71" s="149">
        <v>28</v>
      </c>
      <c r="BS71" s="149">
        <v>26</v>
      </c>
      <c r="BT71" s="147">
        <f t="shared" si="30"/>
        <v>54</v>
      </c>
      <c r="BU71" s="137">
        <f t="shared" si="31"/>
        <v>54</v>
      </c>
      <c r="BV71" s="135" t="str">
        <f t="shared" si="32"/>
        <v>C</v>
      </c>
      <c r="BW71" s="135" t="str">
        <f>VLOOKUP(RANK(BU71,$BU$10:$BU$109),Sheet1!$A$381:$B$480,2,FALSE)</f>
        <v>35th</v>
      </c>
      <c r="BX71" s="149">
        <v>26</v>
      </c>
      <c r="BY71" s="149">
        <v>11</v>
      </c>
      <c r="BZ71" s="137">
        <f t="shared" si="33"/>
        <v>37</v>
      </c>
      <c r="CA71" s="137">
        <f t="shared" si="34"/>
        <v>37</v>
      </c>
      <c r="CB71" s="135" t="str">
        <f t="shared" si="35"/>
        <v>E</v>
      </c>
      <c r="CC71" s="135" t="str">
        <f>VLOOKUP(RANK(CA71,$CA$10:$CA$109),Sheet1!$A$381:$B$480,2,FALSE)</f>
        <v>70th</v>
      </c>
      <c r="CD71" s="149">
        <v>30</v>
      </c>
      <c r="CE71" s="149">
        <v>40</v>
      </c>
      <c r="CF71" s="137">
        <f t="shared" si="36"/>
        <v>70</v>
      </c>
      <c r="CG71" s="137">
        <f t="shared" si="37"/>
        <v>70</v>
      </c>
      <c r="CH71" s="135" t="str">
        <f t="shared" si="38"/>
        <v>B</v>
      </c>
      <c r="CI71" s="135" t="str">
        <f>VLOOKUP(RANK(CG71,$CG$10:$CG$109),Sheet1!$A$381:$B$480,2,FALSE)</f>
        <v>17th</v>
      </c>
      <c r="CJ71" s="137"/>
      <c r="CK71" s="137"/>
      <c r="CL71" s="137">
        <f t="shared" si="39"/>
        <v>0</v>
      </c>
      <c r="CM71" s="137">
        <f t="shared" si="40"/>
        <v>0</v>
      </c>
      <c r="CN71" s="135" t="str">
        <f t="shared" si="41"/>
        <v>F</v>
      </c>
      <c r="CO71" s="135" t="str">
        <f>VLOOKUP(RANK(CM71,$CM$10:$CM$109),Sheet1!$A$381:$B$480,2,FALSE)</f>
        <v>1st</v>
      </c>
      <c r="CP71" s="137"/>
      <c r="CQ71" s="137"/>
      <c r="CR71" s="137">
        <f t="shared" si="42"/>
        <v>0</v>
      </c>
      <c r="CS71" s="137">
        <f t="shared" si="43"/>
        <v>0</v>
      </c>
      <c r="CT71" s="135" t="str">
        <f t="shared" si="44"/>
        <v>F</v>
      </c>
      <c r="CU71" s="135" t="str">
        <f>VLOOKUP(RANK(CS71,$CS$10:$CS$109),Sheet1!$A$381:$B$480,2,FALSE)</f>
        <v>1st</v>
      </c>
      <c r="CV71" s="151"/>
      <c r="CW71" s="135"/>
      <c r="CX71" s="151">
        <f t="shared" si="266"/>
        <v>0</v>
      </c>
      <c r="CY71" s="151">
        <f t="shared" si="267"/>
        <v>0</v>
      </c>
      <c r="CZ71" s="135" t="str">
        <f t="shared" si="45"/>
        <v>F</v>
      </c>
      <c r="DA71" s="135" t="str">
        <f>VLOOKUP(RANK(CY71,$CY$10:$CY$109),Sheet1!$A$381:$B$480,2,FALSE)</f>
        <v>1st</v>
      </c>
      <c r="DB71" s="135"/>
      <c r="DC71" s="151">
        <f t="shared" si="268"/>
        <v>677</v>
      </c>
      <c r="DD71" s="151">
        <f t="shared" si="269"/>
        <v>39.823529411764703</v>
      </c>
      <c r="DE71" s="135" t="str">
        <f>VLOOKUP(RANK(DD71,$DD$10:$DD$109),Sheet1!$A$381:$B$480,2,FALSE)</f>
        <v>28th</v>
      </c>
      <c r="DF71" s="137"/>
      <c r="DG71" s="160">
        <f t="shared" si="46"/>
        <v>716.82352941176498</v>
      </c>
      <c r="DH71" s="119"/>
      <c r="DI71" s="162">
        <v>26</v>
      </c>
      <c r="DJ71" s="162">
        <v>36</v>
      </c>
      <c r="DK71" s="137">
        <f t="shared" si="47"/>
        <v>62</v>
      </c>
      <c r="DL71" s="137" t="str">
        <f t="shared" si="245"/>
        <v>65</v>
      </c>
      <c r="DM71" s="137">
        <f t="shared" si="49"/>
        <v>127</v>
      </c>
      <c r="DN71" s="137">
        <f t="shared" si="50"/>
        <v>63.5</v>
      </c>
      <c r="DO71" s="135" t="str">
        <f t="shared" si="51"/>
        <v>B</v>
      </c>
      <c r="DP71" s="135" t="str">
        <f>VLOOKUP(RANK(DN71,$DN$10:$DN$109),Sheet1!$A$381:$B$480,2,FALSE)</f>
        <v>63rd</v>
      </c>
      <c r="DQ71" s="166">
        <v>32</v>
      </c>
      <c r="DR71" s="166">
        <v>19</v>
      </c>
      <c r="DS71" s="137">
        <f t="shared" si="52"/>
        <v>51</v>
      </c>
      <c r="DT71" s="137" t="str">
        <f t="shared" si="246"/>
        <v>67</v>
      </c>
      <c r="DU71" s="137">
        <f t="shared" si="54"/>
        <v>118</v>
      </c>
      <c r="DV71" s="137">
        <f t="shared" si="247"/>
        <v>59</v>
      </c>
      <c r="DW71" s="135" t="str">
        <f t="shared" si="56"/>
        <v>C</v>
      </c>
      <c r="DX71" s="135" t="str">
        <f>VLOOKUP(RANK(DV71,$DV$10:$DV$109),Sheet1!$A$381:$B$480,2,FALSE)</f>
        <v>14th</v>
      </c>
      <c r="DY71" s="168">
        <v>37</v>
      </c>
      <c r="DZ71" s="168">
        <v>20</v>
      </c>
      <c r="EA71" s="137">
        <f t="shared" si="57"/>
        <v>57</v>
      </c>
      <c r="EB71" s="137" t="str">
        <f t="shared" si="248"/>
        <v>33</v>
      </c>
      <c r="EC71" s="137">
        <f t="shared" si="59"/>
        <v>90</v>
      </c>
      <c r="ED71" s="137">
        <f t="shared" si="60"/>
        <v>45</v>
      </c>
      <c r="EE71" s="135" t="str">
        <f t="shared" si="61"/>
        <v>D</v>
      </c>
      <c r="EF71" s="135" t="str">
        <f>VLOOKUP(RANK(ED71,$ED$10:$ED$109),Sheet1!$A$381:$B$480,2,FALSE)</f>
        <v>52nd</v>
      </c>
      <c r="EG71" s="162">
        <v>35</v>
      </c>
      <c r="EH71" s="162">
        <v>34</v>
      </c>
      <c r="EI71" s="137">
        <f t="shared" si="62"/>
        <v>69</v>
      </c>
      <c r="EJ71" s="137" t="str">
        <f t="shared" si="249"/>
        <v>65</v>
      </c>
      <c r="EK71" s="137">
        <f t="shared" si="64"/>
        <v>134</v>
      </c>
      <c r="EL71" s="137">
        <f t="shared" si="65"/>
        <v>67</v>
      </c>
      <c r="EM71" s="135" t="str">
        <f t="shared" si="66"/>
        <v>B</v>
      </c>
      <c r="EN71" s="135" t="str">
        <f>VLOOKUP(RANK(EL71,$EL$10:$EL$109),Sheet1!$A$381:$B$480,2,FALSE)</f>
        <v>20th</v>
      </c>
      <c r="EO71" s="162">
        <v>32</v>
      </c>
      <c r="EP71" s="162">
        <v>32</v>
      </c>
      <c r="EQ71" s="137">
        <f t="shared" si="67"/>
        <v>64</v>
      </c>
      <c r="ER71" s="137" t="str">
        <f t="shared" si="250"/>
        <v>80</v>
      </c>
      <c r="ES71" s="137">
        <f t="shared" si="69"/>
        <v>144</v>
      </c>
      <c r="ET71" s="137">
        <f t="shared" si="70"/>
        <v>72</v>
      </c>
      <c r="EU71" s="135" t="str">
        <f t="shared" si="71"/>
        <v>B</v>
      </c>
      <c r="EV71" s="135" t="str">
        <f>VLOOKUP(RANK(ET71,$ET$10:$ET$109),Sheet1!$A$381:$B$480,2,FALSE)</f>
        <v>14th</v>
      </c>
      <c r="EW71" s="137"/>
      <c r="EX71" s="137"/>
      <c r="EY71" s="137">
        <f t="shared" si="72"/>
        <v>0</v>
      </c>
      <c r="EZ71" s="137" t="str">
        <f t="shared" si="251"/>
        <v>0</v>
      </c>
      <c r="FA71" s="137">
        <f t="shared" si="74"/>
        <v>0</v>
      </c>
      <c r="FB71" s="137">
        <f t="shared" si="75"/>
        <v>0</v>
      </c>
      <c r="FC71" s="135" t="str">
        <f t="shared" si="76"/>
        <v>F</v>
      </c>
      <c r="FD71" s="135" t="str">
        <f>VLOOKUP(RANK(FB71,$FB$10:$FB$109),Sheet1!$A$381:$B$480,2,FALSE)</f>
        <v>1st</v>
      </c>
      <c r="FE71" s="137"/>
      <c r="FF71" s="137"/>
      <c r="FG71" s="137">
        <f t="shared" si="77"/>
        <v>0</v>
      </c>
      <c r="FH71" s="137" t="str">
        <f t="shared" si="252"/>
        <v>0</v>
      </c>
      <c r="FI71" s="137">
        <f t="shared" si="79"/>
        <v>0</v>
      </c>
      <c r="FJ71" s="137">
        <f t="shared" si="80"/>
        <v>0</v>
      </c>
      <c r="FK71" s="135" t="str">
        <f t="shared" si="81"/>
        <v>F</v>
      </c>
      <c r="FL71" s="135" t="str">
        <f>VLOOKUP(RANK(FJ71,$FJ$10:$FJ$109),Sheet1!$A$381:$B$480,2,FALSE)</f>
        <v>1st</v>
      </c>
      <c r="FM71" s="166">
        <v>25</v>
      </c>
      <c r="FN71" s="166">
        <v>33</v>
      </c>
      <c r="FO71" s="137">
        <f t="shared" si="82"/>
        <v>58</v>
      </c>
      <c r="FP71" s="137" t="str">
        <f t="shared" si="253"/>
        <v>58</v>
      </c>
      <c r="FQ71" s="137">
        <f t="shared" si="84"/>
        <v>116</v>
      </c>
      <c r="FR71" s="137">
        <f t="shared" si="85"/>
        <v>58</v>
      </c>
      <c r="FS71" s="135" t="str">
        <f t="shared" si="86"/>
        <v>C</v>
      </c>
      <c r="FT71" s="135" t="str">
        <f>VLOOKUP(RANK(FR71,$FR$10:$FR$109),Sheet1!$A$381:$B$480,2,FALSE)</f>
        <v>11th</v>
      </c>
      <c r="FU71" s="149">
        <v>30</v>
      </c>
      <c r="FV71" s="149">
        <v>30</v>
      </c>
      <c r="FW71" s="137">
        <f t="shared" si="87"/>
        <v>60</v>
      </c>
      <c r="FX71" s="137" t="str">
        <f t="shared" si="254"/>
        <v>58</v>
      </c>
      <c r="FY71" s="137">
        <f t="shared" si="196"/>
        <v>60</v>
      </c>
      <c r="FZ71" s="137">
        <f t="shared" si="89"/>
        <v>30</v>
      </c>
      <c r="GA71" s="135" t="str">
        <f t="shared" si="90"/>
        <v>F</v>
      </c>
      <c r="GB71" s="135" t="str">
        <f>VLOOKUP(RANK(FZ71,$FZ$10:$FZ$109),Sheet1!$A$381:$B$480,2,FALSE)</f>
        <v>23rd</v>
      </c>
      <c r="GC71" s="166">
        <v>24</v>
      </c>
      <c r="GD71" s="166">
        <v>31</v>
      </c>
      <c r="GE71" s="137">
        <f t="shared" si="91"/>
        <v>55</v>
      </c>
      <c r="GF71" s="137" t="str">
        <f t="shared" si="255"/>
        <v>37</v>
      </c>
      <c r="GG71" s="135">
        <f t="shared" si="270"/>
        <v>92</v>
      </c>
      <c r="GH71" s="137">
        <f t="shared" si="271"/>
        <v>46</v>
      </c>
      <c r="GI71" s="135" t="str">
        <f t="shared" si="93"/>
        <v>D</v>
      </c>
      <c r="GJ71" s="135" t="str">
        <f>VLOOKUP(RANK(GH71,$GH$10:$GH$109),Sheet1!$A$381:$B$480,2,FALSE)</f>
        <v>24th</v>
      </c>
      <c r="GK71" s="166">
        <v>29</v>
      </c>
      <c r="GL71" s="166">
        <v>19</v>
      </c>
      <c r="GM71" s="137">
        <f t="shared" si="94"/>
        <v>48</v>
      </c>
      <c r="GN71" s="137" t="str">
        <f t="shared" si="256"/>
        <v>53</v>
      </c>
      <c r="GO71" s="135">
        <f t="shared" si="272"/>
        <v>101</v>
      </c>
      <c r="GP71" s="137">
        <f t="shared" si="96"/>
        <v>50.5</v>
      </c>
      <c r="GQ71" s="135" t="str">
        <f t="shared" si="97"/>
        <v>C</v>
      </c>
      <c r="GR71" s="135" t="str">
        <f>VLOOKUP(RANK(GP71,$GP$10:$GP$109),Sheet1!$A$381:$B$480,2,FALSE)</f>
        <v>19th</v>
      </c>
      <c r="GS71" s="166">
        <v>36</v>
      </c>
      <c r="GT71" s="166">
        <v>24</v>
      </c>
      <c r="GU71" s="137">
        <f t="shared" si="98"/>
        <v>60</v>
      </c>
      <c r="GV71" s="137" t="str">
        <f t="shared" si="257"/>
        <v>54</v>
      </c>
      <c r="GW71" s="137">
        <f t="shared" si="100"/>
        <v>114</v>
      </c>
      <c r="GX71" s="137">
        <f t="shared" si="101"/>
        <v>57</v>
      </c>
      <c r="GY71" s="135" t="str">
        <f t="shared" si="102"/>
        <v>C</v>
      </c>
      <c r="GZ71" s="135" t="str">
        <f>VLOOKUP(RANK(GX71,$GX$10:$GX$109),Sheet1!$A$381:$B$480,2,FALSE)</f>
        <v>29th</v>
      </c>
      <c r="HA71" s="166">
        <v>29</v>
      </c>
      <c r="HB71" s="166">
        <v>17</v>
      </c>
      <c r="HC71" s="137">
        <f t="shared" si="103"/>
        <v>46</v>
      </c>
      <c r="HD71" s="137" t="str">
        <f t="shared" si="258"/>
        <v>37</v>
      </c>
      <c r="HE71" s="137">
        <f t="shared" si="105"/>
        <v>83</v>
      </c>
      <c r="HF71" s="137">
        <f t="shared" si="106"/>
        <v>41.5</v>
      </c>
      <c r="HG71" s="135" t="str">
        <f t="shared" si="107"/>
        <v>D</v>
      </c>
      <c r="HH71" s="135" t="str">
        <f>VLOOKUP(RANK(HF71,$HF$10:$HF$109),Sheet1!$A$381:$B$480,2,FALSE)</f>
        <v>47th</v>
      </c>
      <c r="HI71" s="149">
        <v>31</v>
      </c>
      <c r="HJ71" s="149">
        <v>49</v>
      </c>
      <c r="HK71" s="137">
        <f t="shared" si="108"/>
        <v>80</v>
      </c>
      <c r="HL71" s="137" t="str">
        <f t="shared" si="259"/>
        <v>70</v>
      </c>
      <c r="HM71" s="137">
        <f t="shared" si="110"/>
        <v>150</v>
      </c>
      <c r="HN71" s="137">
        <f t="shared" si="111"/>
        <v>75</v>
      </c>
      <c r="HO71" s="135" t="str">
        <f t="shared" si="112"/>
        <v>A</v>
      </c>
      <c r="HP71" s="135" t="str">
        <f>VLOOKUP(RANK(HN71,$HN$10:$HN$109),Sheet1!$A$381:$B$480,2,FALSE)</f>
        <v>12th</v>
      </c>
      <c r="HQ71" s="137"/>
      <c r="HR71" s="137"/>
      <c r="HS71" s="137">
        <f t="shared" si="113"/>
        <v>0</v>
      </c>
      <c r="HT71" s="137" t="str">
        <f t="shared" si="260"/>
        <v>0</v>
      </c>
      <c r="HU71" s="137">
        <f t="shared" si="115"/>
        <v>0</v>
      </c>
      <c r="HV71" s="137">
        <f t="shared" si="116"/>
        <v>0</v>
      </c>
      <c r="HW71" s="135" t="str">
        <f t="shared" si="117"/>
        <v>F</v>
      </c>
      <c r="HX71" s="135" t="str">
        <f>VLOOKUP(RANK(HV71,$HV$10:$HV$109),Sheet1!$A$381:$B$480,2,FALSE)</f>
        <v>1st</v>
      </c>
      <c r="HY71" s="137"/>
      <c r="HZ71" s="137"/>
      <c r="IA71" s="137">
        <f t="shared" si="261"/>
        <v>0</v>
      </c>
      <c r="IB71" s="137" t="str">
        <f t="shared" si="262"/>
        <v>0</v>
      </c>
      <c r="IC71" s="137">
        <f t="shared" si="120"/>
        <v>0</v>
      </c>
      <c r="ID71" s="137">
        <f t="shared" si="121"/>
        <v>0</v>
      </c>
      <c r="IE71" s="135" t="str">
        <f t="shared" si="122"/>
        <v>F</v>
      </c>
      <c r="IF71" s="135" t="str">
        <f>VLOOKUP(RANK(ID71,$ID$10:$ID$109),Sheet1!$A$381:$B$480,2,FALSE)</f>
        <v>1st</v>
      </c>
      <c r="IG71" s="135"/>
      <c r="IH71" s="135"/>
      <c r="II71" s="135">
        <f t="shared" si="273"/>
        <v>0</v>
      </c>
      <c r="IJ71" s="135" t="str">
        <f t="shared" si="274"/>
        <v>0</v>
      </c>
      <c r="IK71" s="135">
        <f t="shared" si="275"/>
        <v>0</v>
      </c>
      <c r="IL71" s="135">
        <f t="shared" si="276"/>
        <v>0</v>
      </c>
      <c r="IM71" s="135" t="str">
        <f t="shared" si="123"/>
        <v>F</v>
      </c>
      <c r="IN71" s="135" t="str">
        <f>VLOOKUP(RANK(IL71,$IL$10:$IL$109),Sheet1!$A$381:$B$480,2,FALSE)</f>
        <v>1st</v>
      </c>
      <c r="IO71" s="135">
        <f t="shared" si="277"/>
        <v>664.5</v>
      </c>
      <c r="IP71" s="177">
        <f t="shared" si="278"/>
        <v>39.088235294117602</v>
      </c>
      <c r="IQ71" s="135" t="str">
        <f>VLOOKUP(RANK(IP71,$IP$10:$IP$109),Sheet1!$A$381:$B$480,2,FALSE)</f>
        <v>20th</v>
      </c>
      <c r="IR71" s="178"/>
      <c r="IS71" s="137"/>
      <c r="IT71" s="137"/>
      <c r="IU71" s="137"/>
      <c r="IV71" s="137"/>
      <c r="IW71" s="181"/>
      <c r="IX71" s="184"/>
      <c r="IY71" s="186"/>
      <c r="IZ71" s="186">
        <f t="shared" si="206"/>
        <v>0</v>
      </c>
      <c r="JA71" s="186" t="str">
        <f t="shared" si="124"/>
        <v>65</v>
      </c>
      <c r="JB71" s="186" t="str">
        <f t="shared" si="125"/>
        <v>62</v>
      </c>
      <c r="JC71" s="186">
        <f t="shared" si="279"/>
        <v>127</v>
      </c>
      <c r="JD71" s="186">
        <f t="shared" si="280"/>
        <v>42.3333333333333</v>
      </c>
      <c r="JE71" s="135" t="str">
        <f t="shared" si="126"/>
        <v>D</v>
      </c>
      <c r="JF71" s="151" t="str">
        <f>VLOOKUP(RANK(JD71,$JD$10:$JD$109),Sheet1!$A$381:$B$480,2,FALSE)</f>
        <v>63rd</v>
      </c>
      <c r="JG71" s="186"/>
      <c r="JH71" s="186"/>
      <c r="JI71" s="186">
        <f t="shared" si="127"/>
        <v>0</v>
      </c>
      <c r="JJ71" s="186" t="str">
        <f t="shared" si="128"/>
        <v>67</v>
      </c>
      <c r="JK71" s="186" t="str">
        <f t="shared" si="129"/>
        <v>51</v>
      </c>
      <c r="JL71" s="186">
        <f t="shared" si="281"/>
        <v>118</v>
      </c>
      <c r="JM71" s="186">
        <f t="shared" si="282"/>
        <v>39.3333333333333</v>
      </c>
      <c r="JN71" s="135" t="str">
        <f t="shared" si="130"/>
        <v>E</v>
      </c>
      <c r="JO71" s="151" t="str">
        <f>VLOOKUP(RANK(JM71,$JM$10:$JM$109),Sheet1!$A$381:$B$480,2,FALSE)</f>
        <v>14th</v>
      </c>
      <c r="JP71" s="186"/>
      <c r="JQ71" s="186"/>
      <c r="JR71" s="186">
        <f t="shared" si="131"/>
        <v>0</v>
      </c>
      <c r="JS71" s="186" t="str">
        <f t="shared" si="132"/>
        <v>33</v>
      </c>
      <c r="JT71" s="186" t="str">
        <f t="shared" si="133"/>
        <v>57</v>
      </c>
      <c r="JU71" s="186">
        <f t="shared" si="283"/>
        <v>90</v>
      </c>
      <c r="JV71" s="186">
        <f t="shared" si="284"/>
        <v>30</v>
      </c>
      <c r="JW71" s="135" t="str">
        <f t="shared" si="134"/>
        <v>F</v>
      </c>
      <c r="JX71" s="151" t="str">
        <f>VLOOKUP(RANK(JV71,$JV$10:$JV$109),Sheet1!$A$381:$B$480,2,FALSE)</f>
        <v>52nd</v>
      </c>
      <c r="JY71" s="186"/>
      <c r="JZ71" s="186"/>
      <c r="KA71" s="186">
        <f t="shared" si="135"/>
        <v>0</v>
      </c>
      <c r="KB71" s="186" t="str">
        <f t="shared" si="136"/>
        <v>65</v>
      </c>
      <c r="KC71" s="186" t="str">
        <f t="shared" si="137"/>
        <v>69</v>
      </c>
      <c r="KD71" s="186">
        <f t="shared" si="285"/>
        <v>134</v>
      </c>
      <c r="KE71" s="186">
        <f t="shared" si="286"/>
        <v>44.6666666666667</v>
      </c>
      <c r="KF71" s="135" t="str">
        <f t="shared" si="138"/>
        <v>D</v>
      </c>
      <c r="KG71" s="151" t="str">
        <f>VLOOKUP(RANK(KE71,$KE$10:$KE$109),Sheet1!$A$381:$B$480,2,FALSE)</f>
        <v>20th</v>
      </c>
      <c r="KH71" s="186"/>
      <c r="KI71" s="186"/>
      <c r="KJ71" s="186">
        <f t="shared" si="139"/>
        <v>0</v>
      </c>
      <c r="KK71" s="186" t="str">
        <f t="shared" si="140"/>
        <v>80</v>
      </c>
      <c r="KL71" s="186" t="str">
        <f t="shared" si="141"/>
        <v>64</v>
      </c>
      <c r="KM71" s="186">
        <f t="shared" si="287"/>
        <v>144</v>
      </c>
      <c r="KN71" s="186">
        <f t="shared" si="288"/>
        <v>48</v>
      </c>
      <c r="KO71" s="135" t="str">
        <f t="shared" si="142"/>
        <v>D</v>
      </c>
      <c r="KP71" s="151" t="str">
        <f>VLOOKUP(RANK(KN71,$KN$10:$KN$109),Sheet1!$A$381:$B$480,2,FALSE)</f>
        <v>14th</v>
      </c>
      <c r="KQ71" s="186"/>
      <c r="KR71" s="186"/>
      <c r="KS71" s="186">
        <f t="shared" si="143"/>
        <v>0</v>
      </c>
      <c r="KT71" s="186" t="str">
        <f t="shared" si="144"/>
        <v>0</v>
      </c>
      <c r="KU71" s="186" t="str">
        <f t="shared" si="145"/>
        <v>0</v>
      </c>
      <c r="KV71" s="186">
        <f t="shared" si="289"/>
        <v>0</v>
      </c>
      <c r="KW71" s="186">
        <f t="shared" si="290"/>
        <v>0</v>
      </c>
      <c r="KX71" s="135" t="str">
        <f t="shared" si="146"/>
        <v>F</v>
      </c>
      <c r="KY71" s="151" t="str">
        <f>VLOOKUP(RANK(KW71,$KW$10:$KW$109),Sheet1!$A$381:$B$480,2,FALSE)</f>
        <v>1st</v>
      </c>
      <c r="KZ71" s="186"/>
      <c r="LA71" s="186"/>
      <c r="LB71" s="186">
        <f t="shared" si="147"/>
        <v>0</v>
      </c>
      <c r="LC71" s="186" t="str">
        <f t="shared" si="148"/>
        <v>0</v>
      </c>
      <c r="LD71" s="186" t="str">
        <f t="shared" si="149"/>
        <v>0</v>
      </c>
      <c r="LE71" s="186">
        <f t="shared" si="291"/>
        <v>0</v>
      </c>
      <c r="LF71" s="186">
        <f t="shared" si="292"/>
        <v>0</v>
      </c>
      <c r="LG71" s="135" t="str">
        <f t="shared" si="150"/>
        <v>F</v>
      </c>
      <c r="LH71" s="151" t="str">
        <f>VLOOKUP(RANK(LF71,$LF$10:$LF$109),Sheet1!$A$381:$B$480,2,FALSE)</f>
        <v>1st</v>
      </c>
      <c r="LI71" s="186"/>
      <c r="LJ71" s="186"/>
      <c r="LK71" s="186">
        <f t="shared" si="151"/>
        <v>0</v>
      </c>
      <c r="LL71" s="186" t="str">
        <f t="shared" si="152"/>
        <v>58</v>
      </c>
      <c r="LM71" s="186" t="str">
        <f t="shared" si="153"/>
        <v>58</v>
      </c>
      <c r="LN71" s="186">
        <f t="shared" si="293"/>
        <v>116</v>
      </c>
      <c r="LO71" s="186">
        <f t="shared" si="294"/>
        <v>38.6666666666667</v>
      </c>
      <c r="LP71" s="135" t="str">
        <f t="shared" si="154"/>
        <v>E</v>
      </c>
      <c r="LQ71" s="151" t="str">
        <f>VLOOKUP(RANK(LO71,$LO$10:$LO$109),Sheet1!$A$381:$B$480,2,FALSE)</f>
        <v>11th</v>
      </c>
      <c r="LR71" s="186"/>
      <c r="LS71" s="186"/>
      <c r="LT71" s="186">
        <f t="shared" si="155"/>
        <v>0</v>
      </c>
      <c r="LU71" s="186" t="str">
        <f t="shared" si="156"/>
        <v>58</v>
      </c>
      <c r="LV71" s="186" t="str">
        <f t="shared" si="157"/>
        <v>60</v>
      </c>
      <c r="LW71" s="186">
        <f t="shared" si="295"/>
        <v>118</v>
      </c>
      <c r="LX71" s="186">
        <f t="shared" si="296"/>
        <v>39.3333333333333</v>
      </c>
      <c r="LY71" s="135" t="str">
        <f t="shared" si="158"/>
        <v>E</v>
      </c>
      <c r="LZ71" s="151" t="str">
        <f>VLOOKUP(RANK(LX71,$LX$10:$LX$109),Sheet1!$A$381:$B$480,2,FALSE)</f>
        <v>24th</v>
      </c>
      <c r="MA71" s="186"/>
      <c r="MB71" s="186"/>
      <c r="MC71" s="186">
        <f t="shared" si="159"/>
        <v>0</v>
      </c>
      <c r="MD71" s="186" t="str">
        <f t="shared" si="160"/>
        <v>37</v>
      </c>
      <c r="ME71" s="186" t="str">
        <f t="shared" si="161"/>
        <v>55</v>
      </c>
      <c r="MF71" s="183">
        <f t="shared" si="297"/>
        <v>92</v>
      </c>
      <c r="MG71" s="151">
        <f t="shared" si="298"/>
        <v>30.6666666666667</v>
      </c>
      <c r="MH71" s="135" t="str">
        <f t="shared" si="162"/>
        <v>F</v>
      </c>
      <c r="MI71" s="151" t="str">
        <f>VLOOKUP(RANK(MG71,$MG$10:$MG$109),Sheet1!$A$381:$B$480,2,FALSE)</f>
        <v>24th</v>
      </c>
      <c r="MJ71" s="186"/>
      <c r="MK71" s="186"/>
      <c r="ML71" s="186">
        <f t="shared" si="163"/>
        <v>0</v>
      </c>
      <c r="MM71" s="186" t="str">
        <f t="shared" si="164"/>
        <v>53</v>
      </c>
      <c r="MN71" s="186" t="str">
        <f t="shared" si="165"/>
        <v>48</v>
      </c>
      <c r="MO71" s="186">
        <f t="shared" si="299"/>
        <v>101</v>
      </c>
      <c r="MP71" s="186">
        <f t="shared" si="300"/>
        <v>33.6666666666667</v>
      </c>
      <c r="MQ71" s="135" t="str">
        <f t="shared" si="166"/>
        <v>F</v>
      </c>
      <c r="MR71" s="151" t="str">
        <f>VLOOKUP(RANK(MP71,$MP$10:$MP$109),Sheet1!$A$381:$B$480,2,FALSE)</f>
        <v>19th</v>
      </c>
      <c r="MS71" s="186"/>
      <c r="MT71" s="186"/>
      <c r="MU71" s="186">
        <f t="shared" si="167"/>
        <v>0</v>
      </c>
      <c r="MV71" s="186" t="str">
        <f t="shared" si="168"/>
        <v>54</v>
      </c>
      <c r="MW71" s="186" t="str">
        <f t="shared" si="169"/>
        <v>60</v>
      </c>
      <c r="MX71" s="186">
        <f t="shared" si="301"/>
        <v>114</v>
      </c>
      <c r="MY71" s="186">
        <f t="shared" si="302"/>
        <v>38</v>
      </c>
      <c r="MZ71" s="135" t="str">
        <f t="shared" si="170"/>
        <v>E</v>
      </c>
      <c r="NA71" s="151" t="str">
        <f>VLOOKUP(RANK(MY71,$MY$10:$MY$109),Sheet1!$A$381:$B$480,2,FALSE)</f>
        <v>29th</v>
      </c>
      <c r="NB71" s="186"/>
      <c r="NC71" s="186"/>
      <c r="ND71" s="186">
        <f t="shared" si="171"/>
        <v>0</v>
      </c>
      <c r="NE71" s="186" t="str">
        <f t="shared" si="172"/>
        <v>37</v>
      </c>
      <c r="NF71" s="186" t="str">
        <f t="shared" si="173"/>
        <v>46</v>
      </c>
      <c r="NG71" s="186">
        <f t="shared" si="303"/>
        <v>83</v>
      </c>
      <c r="NH71" s="186">
        <f t="shared" si="304"/>
        <v>27.6666666666667</v>
      </c>
      <c r="NI71" s="135" t="str">
        <f t="shared" si="174"/>
        <v>F</v>
      </c>
      <c r="NJ71" s="151" t="str">
        <f>VLOOKUP(RANK(NH71,$NH$10:$NH$109),Sheet1!$A$381:$B$480,2,FALSE)</f>
        <v>47th</v>
      </c>
      <c r="NK71" s="186"/>
      <c r="NL71" s="186"/>
      <c r="NM71" s="186">
        <f t="shared" si="175"/>
        <v>0</v>
      </c>
      <c r="NN71" s="186" t="str">
        <f t="shared" si="176"/>
        <v>70</v>
      </c>
      <c r="NO71" s="186" t="str">
        <f t="shared" si="177"/>
        <v>80</v>
      </c>
      <c r="NP71" s="186">
        <f t="shared" si="305"/>
        <v>150</v>
      </c>
      <c r="NQ71" s="186">
        <f t="shared" si="263"/>
        <v>50</v>
      </c>
      <c r="NR71" s="135" t="str">
        <f t="shared" si="179"/>
        <v>C</v>
      </c>
      <c r="NS71" s="151" t="str">
        <f>VLOOKUP(RANK(NQ71,$NQ$10:$NQ$109),Sheet1!$A$381:$B$480,2,FALSE)</f>
        <v>12th</v>
      </c>
      <c r="NT71" s="186"/>
      <c r="NU71" s="186"/>
      <c r="NV71" s="186">
        <f t="shared" si="180"/>
        <v>0</v>
      </c>
      <c r="NW71" s="186" t="str">
        <f t="shared" si="181"/>
        <v>0</v>
      </c>
      <c r="NX71" s="186" t="str">
        <f t="shared" si="182"/>
        <v>0</v>
      </c>
      <c r="NY71" s="186">
        <f t="shared" si="306"/>
        <v>0</v>
      </c>
      <c r="NZ71" s="186">
        <f t="shared" si="264"/>
        <v>0</v>
      </c>
      <c r="OA71" s="135" t="str">
        <f t="shared" si="184"/>
        <v>F</v>
      </c>
      <c r="OB71" s="151" t="str">
        <f>VLOOKUP(RANK(NZ71,$NZ$10:$NZ$109),Sheet1!$A$381:$B$480,2,FALSE)</f>
        <v>1st</v>
      </c>
      <c r="OC71" s="186"/>
      <c r="OD71" s="186"/>
      <c r="OE71" s="186">
        <f t="shared" si="185"/>
        <v>0</v>
      </c>
      <c r="OF71" s="186" t="str">
        <f t="shared" si="186"/>
        <v>0</v>
      </c>
      <c r="OG71" s="186" t="str">
        <f t="shared" si="187"/>
        <v>0</v>
      </c>
      <c r="OH71" s="186">
        <f t="shared" si="307"/>
        <v>0</v>
      </c>
      <c r="OI71" s="186">
        <f t="shared" si="236"/>
        <v>0</v>
      </c>
      <c r="OJ71" s="135" t="str">
        <f t="shared" si="188"/>
        <v>F</v>
      </c>
      <c r="OK71" s="151" t="str">
        <f>VLOOKUP(RANK(OI71,$OI$10:$OI$109),Sheet1!$A$381:$B$480,2,FALSE)</f>
        <v>1st</v>
      </c>
      <c r="OL71" s="151"/>
      <c r="OM71" s="151"/>
      <c r="ON71" s="151">
        <f t="shared" si="308"/>
        <v>0</v>
      </c>
      <c r="OO71" s="151" t="str">
        <f t="shared" si="309"/>
        <v>0</v>
      </c>
      <c r="OP71" s="151" t="str">
        <f t="shared" si="310"/>
        <v>0</v>
      </c>
      <c r="OQ71" s="151">
        <f t="shared" si="311"/>
        <v>0</v>
      </c>
      <c r="OR71" s="151">
        <f t="shared" si="312"/>
        <v>0</v>
      </c>
      <c r="OS71" s="135" t="str">
        <f t="shared" si="189"/>
        <v>F</v>
      </c>
      <c r="OT71" s="151" t="str">
        <f>VLOOKUP(RANK(OR71,$OI$10:$OI$109),Sheet1!$A$381:$B$480,2,FALSE)</f>
        <v>1st</v>
      </c>
      <c r="OU71" s="151">
        <f t="shared" si="313"/>
        <v>462.33333333333297</v>
      </c>
      <c r="OV71" s="151">
        <f t="shared" si="314"/>
        <v>27.196078431372602</v>
      </c>
      <c r="OW71" s="151" t="str">
        <f>VLOOKUP(RANK(OV71,$OV$10:$OV$109),Sheet1!$A$381:$B$480,2,FALSE)</f>
        <v>20th</v>
      </c>
      <c r="OX71" s="151"/>
      <c r="OY71" s="186"/>
      <c r="OZ71" s="186"/>
      <c r="PA71" s="186"/>
      <c r="PB71" s="186"/>
    </row>
    <row r="72" spans="1:418" s="118" customFormat="1" ht="18.75">
      <c r="A72" s="131">
        <v>63</v>
      </c>
      <c r="B72" s="132" t="s">
        <v>162</v>
      </c>
      <c r="C72" s="133" t="s">
        <v>97</v>
      </c>
      <c r="D72" s="134">
        <v>24</v>
      </c>
      <c r="E72" s="134">
        <v>31</v>
      </c>
      <c r="F72" s="137">
        <f t="shared" si="0"/>
        <v>55</v>
      </c>
      <c r="G72" s="137">
        <f t="shared" si="1"/>
        <v>55</v>
      </c>
      <c r="H72" s="135" t="str">
        <f t="shared" si="265"/>
        <v>C</v>
      </c>
      <c r="I72" s="135" t="str">
        <f>VLOOKUP(RANK(G72,$G$10:$G$109),Sheet1!$A$381:$B$480,2,FALSE)</f>
        <v>89th</v>
      </c>
      <c r="J72" s="134">
        <v>25</v>
      </c>
      <c r="K72" s="134">
        <v>21</v>
      </c>
      <c r="L72" s="137">
        <f t="shared" si="2"/>
        <v>46</v>
      </c>
      <c r="M72" s="137">
        <f t="shared" si="3"/>
        <v>46</v>
      </c>
      <c r="N72" s="135" t="str">
        <f t="shared" si="4"/>
        <v>D</v>
      </c>
      <c r="O72" s="141" t="str">
        <f>VLOOKUP(RANK(M72,$M$10:$M$109),Sheet1!$A$381:$B$480,2,FALSE)</f>
        <v>77th</v>
      </c>
      <c r="P72" s="144">
        <v>25</v>
      </c>
      <c r="Q72" s="144">
        <v>15</v>
      </c>
      <c r="R72" s="147">
        <f t="shared" si="5"/>
        <v>40</v>
      </c>
      <c r="S72" s="137">
        <f t="shared" si="6"/>
        <v>40</v>
      </c>
      <c r="T72" s="135" t="str">
        <f t="shared" si="7"/>
        <v>D</v>
      </c>
      <c r="U72" s="135" t="str">
        <f>VLOOKUP(RANK(S72,$S$10:$S$109),Sheet1!$A$381:$B$480,2,FALSE)</f>
        <v>57th</v>
      </c>
      <c r="V72" s="134">
        <v>31</v>
      </c>
      <c r="W72" s="134">
        <v>20</v>
      </c>
      <c r="X72" s="137">
        <f t="shared" si="191"/>
        <v>51</v>
      </c>
      <c r="Y72" s="137">
        <f t="shared" si="244"/>
        <v>51</v>
      </c>
      <c r="Z72" s="135" t="str">
        <f t="shared" si="8"/>
        <v>C</v>
      </c>
      <c r="AA72" s="135" t="str">
        <f>VLOOKUP(RANK(Y72,$Y$10:$Y$109),Sheet1!$A$381:$B$480,2,FALSE)</f>
        <v>54th</v>
      </c>
      <c r="AB72" s="134">
        <v>31</v>
      </c>
      <c r="AC72" s="134">
        <v>38</v>
      </c>
      <c r="AD72" s="137">
        <f t="shared" si="9"/>
        <v>69</v>
      </c>
      <c r="AE72" s="137">
        <f t="shared" si="10"/>
        <v>69</v>
      </c>
      <c r="AF72" s="135" t="str">
        <f t="shared" si="11"/>
        <v>B</v>
      </c>
      <c r="AG72" s="135" t="str">
        <f>VLOOKUP(RANK(AE72,$AE$10:$AE$109),Sheet1!$A$381:$B$480,2,FALSE)</f>
        <v>33rd</v>
      </c>
      <c r="AH72" s="137"/>
      <c r="AI72" s="137"/>
      <c r="AJ72" s="137">
        <f t="shared" si="12"/>
        <v>0</v>
      </c>
      <c r="AK72" s="137">
        <f t="shared" si="13"/>
        <v>0</v>
      </c>
      <c r="AL72" s="135" t="str">
        <f t="shared" si="14"/>
        <v>F</v>
      </c>
      <c r="AM72" s="135" t="str">
        <f>VLOOKUP(RANK(AK72,$AK$10:$AK$109),Sheet1!$A$381:$B$480,2,FALSE)</f>
        <v>1st</v>
      </c>
      <c r="AN72" s="134"/>
      <c r="AO72" s="134"/>
      <c r="AP72" s="137">
        <f t="shared" si="15"/>
        <v>0</v>
      </c>
      <c r="AQ72" s="137">
        <f t="shared" si="16"/>
        <v>0</v>
      </c>
      <c r="AR72" s="135" t="str">
        <f t="shared" si="17"/>
        <v>F</v>
      </c>
      <c r="AS72" s="135" t="str">
        <f>VLOOKUP(RANK(AQ72,$AQ$10:$AQ$109),Sheet1!$A$381:$B$480,2,FALSE)</f>
        <v>1st</v>
      </c>
      <c r="AT72" s="142">
        <v>25</v>
      </c>
      <c r="AU72" s="145">
        <v>25</v>
      </c>
      <c r="AV72" s="137">
        <f t="shared" si="18"/>
        <v>50</v>
      </c>
      <c r="AW72" s="137">
        <f t="shared" si="19"/>
        <v>50</v>
      </c>
      <c r="AX72" s="135" t="str">
        <f t="shared" si="20"/>
        <v>C</v>
      </c>
      <c r="AY72" s="141" t="str">
        <f>VLOOKUP(RANK(AW72,$AW$10:$AW$109),Sheet1!$A$381:$B$480,2,FALSE)</f>
        <v>58th</v>
      </c>
      <c r="AZ72" s="144">
        <v>30</v>
      </c>
      <c r="BA72" s="144">
        <v>10</v>
      </c>
      <c r="BB72" s="147">
        <f t="shared" si="21"/>
        <v>40</v>
      </c>
      <c r="BC72" s="137">
        <f t="shared" si="22"/>
        <v>40</v>
      </c>
      <c r="BD72" s="135" t="str">
        <f t="shared" si="23"/>
        <v>D</v>
      </c>
      <c r="BE72" s="135" t="str">
        <f>VLOOKUP(RANK(BC72,$BC$10:$BC$109),Sheet1!$A$381:$B$480,2,FALSE)</f>
        <v>85th</v>
      </c>
      <c r="BF72" s="144">
        <v>12</v>
      </c>
      <c r="BG72" s="144">
        <v>12</v>
      </c>
      <c r="BH72" s="137">
        <f t="shared" si="24"/>
        <v>24</v>
      </c>
      <c r="BI72" s="137">
        <f t="shared" si="25"/>
        <v>24</v>
      </c>
      <c r="BJ72" s="135" t="str">
        <f t="shared" si="26"/>
        <v>F</v>
      </c>
      <c r="BK72" s="141" t="str">
        <f>VLOOKUP(RANK(BI72,$BI$10:$BI$109),Sheet1!$A$381:$B$480,2,FALSE)</f>
        <v>83rd</v>
      </c>
      <c r="BL72" s="149">
        <v>29</v>
      </c>
      <c r="BM72" s="149">
        <v>28</v>
      </c>
      <c r="BN72" s="147">
        <f t="shared" si="27"/>
        <v>57</v>
      </c>
      <c r="BO72" s="137">
        <f t="shared" si="28"/>
        <v>57</v>
      </c>
      <c r="BP72" s="135" t="str">
        <f t="shared" si="29"/>
        <v>C</v>
      </c>
      <c r="BQ72" s="141" t="str">
        <f>VLOOKUP(RANK(BO72,$BO$10:$BO$109),Sheet1!$A$381:$B$480,2,FALSE)</f>
        <v>7th</v>
      </c>
      <c r="BR72" s="149">
        <v>29</v>
      </c>
      <c r="BS72" s="149">
        <v>15</v>
      </c>
      <c r="BT72" s="147">
        <f t="shared" si="30"/>
        <v>44</v>
      </c>
      <c r="BU72" s="137">
        <f t="shared" si="31"/>
        <v>44</v>
      </c>
      <c r="BV72" s="135" t="str">
        <f t="shared" si="32"/>
        <v>D</v>
      </c>
      <c r="BW72" s="135" t="str">
        <f>VLOOKUP(RANK(BU72,$BU$10:$BU$109),Sheet1!$A$381:$B$480,2,FALSE)</f>
        <v>48th</v>
      </c>
      <c r="BX72" s="149">
        <v>32</v>
      </c>
      <c r="BY72" s="149">
        <v>10</v>
      </c>
      <c r="BZ72" s="137">
        <f t="shared" si="33"/>
        <v>42</v>
      </c>
      <c r="CA72" s="137">
        <f t="shared" si="34"/>
        <v>42</v>
      </c>
      <c r="CB72" s="135" t="str">
        <f t="shared" si="35"/>
        <v>D</v>
      </c>
      <c r="CC72" s="135" t="str">
        <f>VLOOKUP(RANK(CA72,$CA$10:$CA$109),Sheet1!$A$381:$B$480,2,FALSE)</f>
        <v>32nd</v>
      </c>
      <c r="CD72" s="149">
        <v>20</v>
      </c>
      <c r="CE72" s="149">
        <v>20</v>
      </c>
      <c r="CF72" s="137">
        <f t="shared" si="36"/>
        <v>40</v>
      </c>
      <c r="CG72" s="137">
        <f t="shared" si="37"/>
        <v>40</v>
      </c>
      <c r="CH72" s="135" t="str">
        <f t="shared" si="38"/>
        <v>D</v>
      </c>
      <c r="CI72" s="135" t="str">
        <f>VLOOKUP(RANK(CG72,$CG$10:$CG$109),Sheet1!$A$381:$B$480,2,FALSE)</f>
        <v>94th</v>
      </c>
      <c r="CJ72" s="137"/>
      <c r="CK72" s="137"/>
      <c r="CL72" s="137">
        <f t="shared" si="39"/>
        <v>0</v>
      </c>
      <c r="CM72" s="137">
        <f t="shared" si="40"/>
        <v>0</v>
      </c>
      <c r="CN72" s="135" t="str">
        <f t="shared" si="41"/>
        <v>F</v>
      </c>
      <c r="CO72" s="135" t="str">
        <f>VLOOKUP(RANK(CM72,$CM$10:$CM$109),Sheet1!$A$381:$B$480,2,FALSE)</f>
        <v>1st</v>
      </c>
      <c r="CP72" s="137"/>
      <c r="CQ72" s="137"/>
      <c r="CR72" s="137">
        <f t="shared" si="42"/>
        <v>0</v>
      </c>
      <c r="CS72" s="137">
        <f t="shared" si="43"/>
        <v>0</v>
      </c>
      <c r="CT72" s="135" t="str">
        <f t="shared" si="44"/>
        <v>F</v>
      </c>
      <c r="CU72" s="135" t="str">
        <f>VLOOKUP(RANK(CS72,$CS$10:$CS$109),Sheet1!$A$381:$B$480,2,FALSE)</f>
        <v>1st</v>
      </c>
      <c r="CV72" s="151"/>
      <c r="CW72" s="135"/>
      <c r="CX72" s="151">
        <f t="shared" si="266"/>
        <v>0</v>
      </c>
      <c r="CY72" s="151">
        <f t="shared" si="267"/>
        <v>0</v>
      </c>
      <c r="CZ72" s="135" t="str">
        <f t="shared" si="45"/>
        <v>F</v>
      </c>
      <c r="DA72" s="135" t="str">
        <f>VLOOKUP(RANK(CY72,$CY$10:$CY$109),Sheet1!$A$381:$B$480,2,FALSE)</f>
        <v>1st</v>
      </c>
      <c r="DB72" s="135"/>
      <c r="DC72" s="151">
        <f t="shared" si="268"/>
        <v>558</v>
      </c>
      <c r="DD72" s="151">
        <f t="shared" si="269"/>
        <v>32.823529411764703</v>
      </c>
      <c r="DE72" s="135" t="str">
        <f>VLOOKUP(RANK(DD72,$DD$10:$DD$109),Sheet1!$A$381:$B$480,2,FALSE)</f>
        <v>72nd</v>
      </c>
      <c r="DF72" s="137"/>
      <c r="DG72" s="160">
        <f t="shared" si="46"/>
        <v>590.82352941176498</v>
      </c>
      <c r="DH72" s="119"/>
      <c r="DI72" s="162">
        <v>20</v>
      </c>
      <c r="DJ72" s="162">
        <v>28</v>
      </c>
      <c r="DK72" s="137">
        <f t="shared" si="47"/>
        <v>48</v>
      </c>
      <c r="DL72" s="137" t="str">
        <f t="shared" si="245"/>
        <v>55</v>
      </c>
      <c r="DM72" s="137">
        <f t="shared" si="49"/>
        <v>103</v>
      </c>
      <c r="DN72" s="137">
        <f t="shared" si="50"/>
        <v>51.5</v>
      </c>
      <c r="DO72" s="135" t="str">
        <f t="shared" si="51"/>
        <v>C</v>
      </c>
      <c r="DP72" s="135" t="str">
        <f>VLOOKUP(RANK(DN72,$DN$10:$DN$109),Sheet1!$A$381:$B$480,2,FALSE)</f>
        <v>87th</v>
      </c>
      <c r="DQ72" s="166">
        <v>29</v>
      </c>
      <c r="DR72" s="166">
        <v>13</v>
      </c>
      <c r="DS72" s="137">
        <f t="shared" si="52"/>
        <v>42</v>
      </c>
      <c r="DT72" s="137" t="str">
        <f t="shared" si="246"/>
        <v>46</v>
      </c>
      <c r="DU72" s="137">
        <f t="shared" si="54"/>
        <v>88</v>
      </c>
      <c r="DV72" s="137">
        <f t="shared" si="247"/>
        <v>44</v>
      </c>
      <c r="DW72" s="135" t="str">
        <f t="shared" si="56"/>
        <v>D</v>
      </c>
      <c r="DX72" s="135" t="str">
        <f>VLOOKUP(RANK(DV72,$DV$10:$DV$109),Sheet1!$A$381:$B$480,2,FALSE)</f>
        <v>76th</v>
      </c>
      <c r="DY72" s="168">
        <v>29</v>
      </c>
      <c r="DZ72" s="168">
        <v>16</v>
      </c>
      <c r="EA72" s="137">
        <f t="shared" si="57"/>
        <v>45</v>
      </c>
      <c r="EB72" s="137" t="str">
        <f t="shared" si="248"/>
        <v>40</v>
      </c>
      <c r="EC72" s="137">
        <f t="shared" si="59"/>
        <v>85</v>
      </c>
      <c r="ED72" s="137">
        <f t="shared" si="60"/>
        <v>42.5</v>
      </c>
      <c r="EE72" s="135" t="str">
        <f t="shared" si="61"/>
        <v>D</v>
      </c>
      <c r="EF72" s="135" t="str">
        <f>VLOOKUP(RANK(ED72,$ED$10:$ED$109),Sheet1!$A$381:$B$480,2,FALSE)</f>
        <v>59th</v>
      </c>
      <c r="EG72" s="162">
        <v>13</v>
      </c>
      <c r="EH72" s="162">
        <v>30</v>
      </c>
      <c r="EI72" s="137">
        <f t="shared" si="62"/>
        <v>43</v>
      </c>
      <c r="EJ72" s="137" t="str">
        <f t="shared" si="249"/>
        <v>51</v>
      </c>
      <c r="EK72" s="137">
        <f t="shared" si="64"/>
        <v>94</v>
      </c>
      <c r="EL72" s="137">
        <f t="shared" si="65"/>
        <v>47</v>
      </c>
      <c r="EM72" s="135" t="str">
        <f t="shared" si="66"/>
        <v>D</v>
      </c>
      <c r="EN72" s="135" t="str">
        <f>VLOOKUP(RANK(EL72,$EL$10:$EL$109),Sheet1!$A$381:$B$480,2,FALSE)</f>
        <v>73rd</v>
      </c>
      <c r="EO72" s="162">
        <v>25</v>
      </c>
      <c r="EP72" s="162">
        <v>26</v>
      </c>
      <c r="EQ72" s="137">
        <f t="shared" si="67"/>
        <v>51</v>
      </c>
      <c r="ER72" s="137" t="str">
        <f t="shared" si="250"/>
        <v>69</v>
      </c>
      <c r="ES72" s="137">
        <f t="shared" si="69"/>
        <v>120</v>
      </c>
      <c r="ET72" s="137">
        <f t="shared" si="70"/>
        <v>60</v>
      </c>
      <c r="EU72" s="135" t="str">
        <f t="shared" si="71"/>
        <v>B</v>
      </c>
      <c r="EV72" s="135" t="str">
        <f>VLOOKUP(RANK(ET72,$ET$10:$ET$109),Sheet1!$A$381:$B$480,2,FALSE)</f>
        <v>37th</v>
      </c>
      <c r="EW72" s="137"/>
      <c r="EX72" s="137"/>
      <c r="EY72" s="137">
        <f t="shared" si="72"/>
        <v>0</v>
      </c>
      <c r="EZ72" s="137" t="str">
        <f t="shared" si="251"/>
        <v>0</v>
      </c>
      <c r="FA72" s="137">
        <f t="shared" si="74"/>
        <v>0</v>
      </c>
      <c r="FB72" s="137">
        <f t="shared" si="75"/>
        <v>0</v>
      </c>
      <c r="FC72" s="135" t="str">
        <f t="shared" si="76"/>
        <v>F</v>
      </c>
      <c r="FD72" s="135" t="str">
        <f>VLOOKUP(RANK(FB72,$FB$10:$FB$109),Sheet1!$A$381:$B$480,2,FALSE)</f>
        <v>1st</v>
      </c>
      <c r="FE72" s="137"/>
      <c r="FF72" s="137"/>
      <c r="FG72" s="137">
        <f t="shared" si="77"/>
        <v>0</v>
      </c>
      <c r="FH72" s="137" t="str">
        <f t="shared" si="252"/>
        <v>0</v>
      </c>
      <c r="FI72" s="137">
        <f t="shared" si="79"/>
        <v>0</v>
      </c>
      <c r="FJ72" s="137">
        <f t="shared" si="80"/>
        <v>0</v>
      </c>
      <c r="FK72" s="135" t="str">
        <f t="shared" si="81"/>
        <v>F</v>
      </c>
      <c r="FL72" s="135" t="str">
        <f>VLOOKUP(RANK(FJ72,$FJ$10:$FJ$109),Sheet1!$A$381:$B$480,2,FALSE)</f>
        <v>1st</v>
      </c>
      <c r="FM72" s="164">
        <v>28</v>
      </c>
      <c r="FN72" s="165">
        <v>22</v>
      </c>
      <c r="FO72" s="137">
        <f t="shared" si="82"/>
        <v>50</v>
      </c>
      <c r="FP72" s="137" t="str">
        <f t="shared" si="253"/>
        <v>50</v>
      </c>
      <c r="FQ72" s="137">
        <f t="shared" si="84"/>
        <v>100</v>
      </c>
      <c r="FR72" s="137">
        <f t="shared" si="85"/>
        <v>50</v>
      </c>
      <c r="FS72" s="135" t="str">
        <f t="shared" si="86"/>
        <v>C</v>
      </c>
      <c r="FT72" s="135" t="str">
        <f>VLOOKUP(RANK(FR72,$FR$10:$FR$109),Sheet1!$A$381:$B$480,2,FALSE)</f>
        <v>77th</v>
      </c>
      <c r="FU72" s="149">
        <v>9</v>
      </c>
      <c r="FV72" s="149">
        <v>20</v>
      </c>
      <c r="FW72" s="137">
        <f t="shared" si="87"/>
        <v>29</v>
      </c>
      <c r="FX72" s="137" t="str">
        <f t="shared" si="254"/>
        <v>40</v>
      </c>
      <c r="FY72" s="137">
        <f t="shared" si="196"/>
        <v>29</v>
      </c>
      <c r="FZ72" s="137">
        <f t="shared" si="89"/>
        <v>14.5</v>
      </c>
      <c r="GA72" s="135" t="str">
        <f t="shared" si="90"/>
        <v>F</v>
      </c>
      <c r="GB72" s="135" t="str">
        <f>VLOOKUP(RANK(FZ72,$FZ$10:$FZ$109),Sheet1!$A$381:$B$480,2,FALSE)</f>
        <v>87th</v>
      </c>
      <c r="GC72" s="166">
        <v>9</v>
      </c>
      <c r="GD72" s="166">
        <v>25</v>
      </c>
      <c r="GE72" s="137">
        <f t="shared" si="91"/>
        <v>34</v>
      </c>
      <c r="GF72" s="137" t="str">
        <f t="shared" si="255"/>
        <v>24</v>
      </c>
      <c r="GG72" s="135">
        <f t="shared" si="270"/>
        <v>58</v>
      </c>
      <c r="GH72" s="137">
        <f t="shared" si="271"/>
        <v>29</v>
      </c>
      <c r="GI72" s="135" t="str">
        <f t="shared" si="93"/>
        <v>F</v>
      </c>
      <c r="GJ72" s="135" t="str">
        <f>VLOOKUP(RANK(GH72,$GH$10:$GH$109),Sheet1!$A$381:$B$480,2,FALSE)</f>
        <v>83rd</v>
      </c>
      <c r="GK72" s="166">
        <v>24</v>
      </c>
      <c r="GL72" s="166">
        <v>17</v>
      </c>
      <c r="GM72" s="137">
        <f t="shared" si="94"/>
        <v>41</v>
      </c>
      <c r="GN72" s="137" t="str">
        <f t="shared" si="256"/>
        <v>57</v>
      </c>
      <c r="GO72" s="135">
        <f t="shared" si="272"/>
        <v>98</v>
      </c>
      <c r="GP72" s="137">
        <f t="shared" si="96"/>
        <v>49</v>
      </c>
      <c r="GQ72" s="135" t="str">
        <f t="shared" si="97"/>
        <v>D</v>
      </c>
      <c r="GR72" s="135" t="str">
        <f>VLOOKUP(RANK(GP72,$GP$10:$GP$109),Sheet1!$A$381:$B$480,2,FALSE)</f>
        <v>31st</v>
      </c>
      <c r="GS72" s="166">
        <v>27</v>
      </c>
      <c r="GT72" s="166">
        <v>18</v>
      </c>
      <c r="GU72" s="137">
        <f t="shared" si="98"/>
        <v>45</v>
      </c>
      <c r="GV72" s="137" t="str">
        <f t="shared" si="257"/>
        <v>44</v>
      </c>
      <c r="GW72" s="137">
        <f t="shared" si="100"/>
        <v>89</v>
      </c>
      <c r="GX72" s="137">
        <f t="shared" si="101"/>
        <v>44.5</v>
      </c>
      <c r="GY72" s="135" t="str">
        <f t="shared" si="102"/>
        <v>D</v>
      </c>
      <c r="GZ72" s="135" t="str">
        <f>VLOOKUP(RANK(GX72,$GX$10:$GX$109),Sheet1!$A$381:$B$480,2,FALSE)</f>
        <v>60th</v>
      </c>
      <c r="HA72" s="166">
        <v>28</v>
      </c>
      <c r="HB72" s="166">
        <v>14</v>
      </c>
      <c r="HC72" s="137">
        <f t="shared" si="103"/>
        <v>42</v>
      </c>
      <c r="HD72" s="137" t="str">
        <f t="shared" si="258"/>
        <v>42</v>
      </c>
      <c r="HE72" s="137">
        <f t="shared" si="105"/>
        <v>84</v>
      </c>
      <c r="HF72" s="137">
        <f t="shared" si="106"/>
        <v>42</v>
      </c>
      <c r="HG72" s="135" t="str">
        <f t="shared" si="107"/>
        <v>D</v>
      </c>
      <c r="HH72" s="135" t="str">
        <f>VLOOKUP(RANK(HF72,$HF$10:$HF$109),Sheet1!$A$381:$B$480,2,FALSE)</f>
        <v>42nd</v>
      </c>
      <c r="HI72" s="149">
        <v>32</v>
      </c>
      <c r="HJ72" s="149">
        <v>52</v>
      </c>
      <c r="HK72" s="137">
        <f t="shared" si="108"/>
        <v>84</v>
      </c>
      <c r="HL72" s="137" t="str">
        <f t="shared" si="259"/>
        <v>40</v>
      </c>
      <c r="HM72" s="137">
        <f t="shared" si="110"/>
        <v>124</v>
      </c>
      <c r="HN72" s="137">
        <f t="shared" si="111"/>
        <v>62</v>
      </c>
      <c r="HO72" s="135" t="str">
        <f t="shared" si="112"/>
        <v>B</v>
      </c>
      <c r="HP72" s="135" t="str">
        <f>VLOOKUP(RANK(HN72,$HN$10:$HN$109),Sheet1!$A$381:$B$480,2,FALSE)</f>
        <v>60th</v>
      </c>
      <c r="HQ72" s="137"/>
      <c r="HR72" s="137"/>
      <c r="HS72" s="137">
        <f t="shared" si="113"/>
        <v>0</v>
      </c>
      <c r="HT72" s="137" t="str">
        <f t="shared" si="260"/>
        <v>0</v>
      </c>
      <c r="HU72" s="137">
        <f t="shared" si="115"/>
        <v>0</v>
      </c>
      <c r="HV72" s="137">
        <f t="shared" si="116"/>
        <v>0</v>
      </c>
      <c r="HW72" s="135" t="str">
        <f t="shared" si="117"/>
        <v>F</v>
      </c>
      <c r="HX72" s="135" t="str">
        <f>VLOOKUP(RANK(HV72,$HV$10:$HV$109),Sheet1!$A$381:$B$480,2,FALSE)</f>
        <v>1st</v>
      </c>
      <c r="HY72" s="137"/>
      <c r="HZ72" s="137"/>
      <c r="IA72" s="137">
        <f t="shared" si="261"/>
        <v>0</v>
      </c>
      <c r="IB72" s="137" t="str">
        <f t="shared" si="262"/>
        <v>0</v>
      </c>
      <c r="IC72" s="137">
        <f t="shared" si="120"/>
        <v>0</v>
      </c>
      <c r="ID72" s="137">
        <f t="shared" si="121"/>
        <v>0</v>
      </c>
      <c r="IE72" s="135" t="str">
        <f t="shared" si="122"/>
        <v>F</v>
      </c>
      <c r="IF72" s="135" t="str">
        <f>VLOOKUP(RANK(ID72,$ID$10:$ID$109),Sheet1!$A$381:$B$480,2,FALSE)</f>
        <v>1st</v>
      </c>
      <c r="IG72" s="135"/>
      <c r="IH72" s="135"/>
      <c r="II72" s="135">
        <f t="shared" si="273"/>
        <v>0</v>
      </c>
      <c r="IJ72" s="135" t="str">
        <f t="shared" si="274"/>
        <v>0</v>
      </c>
      <c r="IK72" s="135">
        <f t="shared" si="275"/>
        <v>0</v>
      </c>
      <c r="IL72" s="135">
        <f t="shared" si="276"/>
        <v>0</v>
      </c>
      <c r="IM72" s="135" t="str">
        <f t="shared" si="123"/>
        <v>F</v>
      </c>
      <c r="IN72" s="135" t="str">
        <f>VLOOKUP(RANK(IL72,$IL$10:$IL$109),Sheet1!$A$381:$B$480,2,FALSE)</f>
        <v>1st</v>
      </c>
      <c r="IO72" s="135">
        <f t="shared" si="277"/>
        <v>536</v>
      </c>
      <c r="IP72" s="177">
        <f t="shared" si="278"/>
        <v>31.529411764705898</v>
      </c>
      <c r="IQ72" s="135" t="str">
        <f>VLOOKUP(RANK(IP72,$IP$10:$IP$109),Sheet1!$A$381:$B$480,2,FALSE)</f>
        <v>70th</v>
      </c>
      <c r="IR72" s="178"/>
      <c r="IS72" s="137"/>
      <c r="IT72" s="137"/>
      <c r="IU72" s="137"/>
      <c r="IV72" s="137"/>
      <c r="IW72" s="181"/>
      <c r="IX72" s="184"/>
      <c r="IY72" s="186"/>
      <c r="IZ72" s="186">
        <f t="shared" si="206"/>
        <v>0</v>
      </c>
      <c r="JA72" s="186" t="str">
        <f t="shared" si="124"/>
        <v>55</v>
      </c>
      <c r="JB72" s="186" t="str">
        <f t="shared" si="125"/>
        <v>48</v>
      </c>
      <c r="JC72" s="186">
        <f t="shared" si="279"/>
        <v>103</v>
      </c>
      <c r="JD72" s="186">
        <f t="shared" si="280"/>
        <v>34.3333333333333</v>
      </c>
      <c r="JE72" s="135" t="str">
        <f t="shared" si="126"/>
        <v>F</v>
      </c>
      <c r="JF72" s="151" t="str">
        <f>VLOOKUP(RANK(JD72,$JD$10:$JD$109),Sheet1!$A$381:$B$480,2,FALSE)</f>
        <v>87th</v>
      </c>
      <c r="JG72" s="186"/>
      <c r="JH72" s="186"/>
      <c r="JI72" s="186">
        <f t="shared" si="127"/>
        <v>0</v>
      </c>
      <c r="JJ72" s="186" t="str">
        <f t="shared" si="128"/>
        <v>46</v>
      </c>
      <c r="JK72" s="186" t="str">
        <f t="shared" si="129"/>
        <v>42</v>
      </c>
      <c r="JL72" s="186">
        <f t="shared" si="281"/>
        <v>88</v>
      </c>
      <c r="JM72" s="186">
        <f t="shared" si="282"/>
        <v>29.3333333333333</v>
      </c>
      <c r="JN72" s="135" t="str">
        <f t="shared" si="130"/>
        <v>F</v>
      </c>
      <c r="JO72" s="151" t="str">
        <f>VLOOKUP(RANK(JM72,$JM$10:$JM$109),Sheet1!$A$381:$B$480,2,FALSE)</f>
        <v>76th</v>
      </c>
      <c r="JP72" s="186"/>
      <c r="JQ72" s="186"/>
      <c r="JR72" s="186">
        <f t="shared" si="131"/>
        <v>0</v>
      </c>
      <c r="JS72" s="186" t="str">
        <f t="shared" si="132"/>
        <v>40</v>
      </c>
      <c r="JT72" s="186" t="str">
        <f t="shared" si="133"/>
        <v>45</v>
      </c>
      <c r="JU72" s="186">
        <f t="shared" si="283"/>
        <v>85</v>
      </c>
      <c r="JV72" s="186">
        <f t="shared" si="284"/>
        <v>28.3333333333333</v>
      </c>
      <c r="JW72" s="135" t="str">
        <f t="shared" si="134"/>
        <v>F</v>
      </c>
      <c r="JX72" s="151" t="str">
        <f>VLOOKUP(RANK(JV72,$JV$10:$JV$109),Sheet1!$A$381:$B$480,2,FALSE)</f>
        <v>59th</v>
      </c>
      <c r="JY72" s="186"/>
      <c r="JZ72" s="186"/>
      <c r="KA72" s="186">
        <f t="shared" si="135"/>
        <v>0</v>
      </c>
      <c r="KB72" s="186" t="str">
        <f t="shared" si="136"/>
        <v>51</v>
      </c>
      <c r="KC72" s="186" t="str">
        <f t="shared" si="137"/>
        <v>43</v>
      </c>
      <c r="KD72" s="186">
        <f t="shared" si="285"/>
        <v>94</v>
      </c>
      <c r="KE72" s="186">
        <f t="shared" si="286"/>
        <v>31.3333333333333</v>
      </c>
      <c r="KF72" s="135" t="str">
        <f t="shared" si="138"/>
        <v>F</v>
      </c>
      <c r="KG72" s="151" t="str">
        <f>VLOOKUP(RANK(KE72,$KE$10:$KE$109),Sheet1!$A$381:$B$480,2,FALSE)</f>
        <v>73rd</v>
      </c>
      <c r="KH72" s="186"/>
      <c r="KI72" s="186"/>
      <c r="KJ72" s="186">
        <f t="shared" si="139"/>
        <v>0</v>
      </c>
      <c r="KK72" s="186" t="str">
        <f t="shared" si="140"/>
        <v>69</v>
      </c>
      <c r="KL72" s="186" t="str">
        <f t="shared" si="141"/>
        <v>51</v>
      </c>
      <c r="KM72" s="186">
        <f t="shared" si="287"/>
        <v>120</v>
      </c>
      <c r="KN72" s="186">
        <f t="shared" si="288"/>
        <v>40</v>
      </c>
      <c r="KO72" s="135" t="str">
        <f t="shared" si="142"/>
        <v>D</v>
      </c>
      <c r="KP72" s="151" t="str">
        <f>VLOOKUP(RANK(KN72,$KN$10:$KN$109),Sheet1!$A$381:$B$480,2,FALSE)</f>
        <v>37th</v>
      </c>
      <c r="KQ72" s="186"/>
      <c r="KR72" s="186"/>
      <c r="KS72" s="186">
        <f t="shared" si="143"/>
        <v>0</v>
      </c>
      <c r="KT72" s="186" t="str">
        <f t="shared" si="144"/>
        <v>0</v>
      </c>
      <c r="KU72" s="186" t="str">
        <f t="shared" si="145"/>
        <v>0</v>
      </c>
      <c r="KV72" s="186">
        <f t="shared" si="289"/>
        <v>0</v>
      </c>
      <c r="KW72" s="186">
        <f t="shared" si="290"/>
        <v>0</v>
      </c>
      <c r="KX72" s="135" t="str">
        <f t="shared" si="146"/>
        <v>F</v>
      </c>
      <c r="KY72" s="151" t="str">
        <f>VLOOKUP(RANK(KW72,$KW$10:$KW$109),Sheet1!$A$381:$B$480,2,FALSE)</f>
        <v>1st</v>
      </c>
      <c r="KZ72" s="186"/>
      <c r="LA72" s="186"/>
      <c r="LB72" s="186">
        <f t="shared" si="147"/>
        <v>0</v>
      </c>
      <c r="LC72" s="186" t="str">
        <f t="shared" si="148"/>
        <v>0</v>
      </c>
      <c r="LD72" s="186" t="str">
        <f t="shared" si="149"/>
        <v>0</v>
      </c>
      <c r="LE72" s="186">
        <f t="shared" si="291"/>
        <v>0</v>
      </c>
      <c r="LF72" s="186">
        <f t="shared" si="292"/>
        <v>0</v>
      </c>
      <c r="LG72" s="135" t="str">
        <f t="shared" si="150"/>
        <v>F</v>
      </c>
      <c r="LH72" s="151" t="str">
        <f>VLOOKUP(RANK(LF72,$LF$10:$LF$109),Sheet1!$A$381:$B$480,2,FALSE)</f>
        <v>1st</v>
      </c>
      <c r="LI72" s="186"/>
      <c r="LJ72" s="186"/>
      <c r="LK72" s="186">
        <f t="shared" si="151"/>
        <v>0</v>
      </c>
      <c r="LL72" s="186" t="str">
        <f t="shared" si="152"/>
        <v>50</v>
      </c>
      <c r="LM72" s="186" t="str">
        <f t="shared" si="153"/>
        <v>50</v>
      </c>
      <c r="LN72" s="186">
        <f t="shared" si="293"/>
        <v>100</v>
      </c>
      <c r="LO72" s="186">
        <f t="shared" si="294"/>
        <v>33.3333333333333</v>
      </c>
      <c r="LP72" s="135" t="str">
        <f t="shared" si="154"/>
        <v>F</v>
      </c>
      <c r="LQ72" s="151" t="str">
        <f>VLOOKUP(RANK(LO72,$LO$10:$LO$109),Sheet1!$A$381:$B$480,2,FALSE)</f>
        <v>77th</v>
      </c>
      <c r="LR72" s="186"/>
      <c r="LS72" s="186"/>
      <c r="LT72" s="186">
        <f t="shared" si="155"/>
        <v>0</v>
      </c>
      <c r="LU72" s="186" t="str">
        <f t="shared" si="156"/>
        <v>40</v>
      </c>
      <c r="LV72" s="186" t="str">
        <f t="shared" si="157"/>
        <v>29</v>
      </c>
      <c r="LW72" s="186">
        <f t="shared" si="295"/>
        <v>69</v>
      </c>
      <c r="LX72" s="186">
        <f t="shared" si="296"/>
        <v>23</v>
      </c>
      <c r="LY72" s="135" t="str">
        <f t="shared" si="158"/>
        <v>F</v>
      </c>
      <c r="LZ72" s="151" t="str">
        <f>VLOOKUP(RANK(LX72,$LX$10:$LX$109),Sheet1!$A$381:$B$480,2,FALSE)</f>
        <v>94th</v>
      </c>
      <c r="MA72" s="186"/>
      <c r="MB72" s="186"/>
      <c r="MC72" s="186">
        <f t="shared" si="159"/>
        <v>0</v>
      </c>
      <c r="MD72" s="186" t="str">
        <f t="shared" si="160"/>
        <v>24</v>
      </c>
      <c r="ME72" s="186" t="str">
        <f t="shared" si="161"/>
        <v>34</v>
      </c>
      <c r="MF72" s="183">
        <f t="shared" si="297"/>
        <v>58</v>
      </c>
      <c r="MG72" s="151">
        <f t="shared" si="298"/>
        <v>19.3333333333333</v>
      </c>
      <c r="MH72" s="135" t="str">
        <f t="shared" si="162"/>
        <v>F</v>
      </c>
      <c r="MI72" s="151" t="str">
        <f>VLOOKUP(RANK(MG72,$MG$10:$MG$109),Sheet1!$A$381:$B$480,2,FALSE)</f>
        <v>83rd</v>
      </c>
      <c r="MJ72" s="186"/>
      <c r="MK72" s="186"/>
      <c r="ML72" s="186">
        <f t="shared" si="163"/>
        <v>0</v>
      </c>
      <c r="MM72" s="186" t="str">
        <f t="shared" si="164"/>
        <v>57</v>
      </c>
      <c r="MN72" s="186" t="str">
        <f t="shared" si="165"/>
        <v>41</v>
      </c>
      <c r="MO72" s="186">
        <f t="shared" si="299"/>
        <v>98</v>
      </c>
      <c r="MP72" s="186">
        <f t="shared" si="300"/>
        <v>32.6666666666667</v>
      </c>
      <c r="MQ72" s="135" t="str">
        <f t="shared" si="166"/>
        <v>F</v>
      </c>
      <c r="MR72" s="151" t="str">
        <f>VLOOKUP(RANK(MP72,$MP$10:$MP$109),Sheet1!$A$381:$B$480,2,FALSE)</f>
        <v>31st</v>
      </c>
      <c r="MS72" s="186"/>
      <c r="MT72" s="186"/>
      <c r="MU72" s="186">
        <f t="shared" si="167"/>
        <v>0</v>
      </c>
      <c r="MV72" s="186" t="str">
        <f t="shared" si="168"/>
        <v>44</v>
      </c>
      <c r="MW72" s="186" t="str">
        <f t="shared" si="169"/>
        <v>45</v>
      </c>
      <c r="MX72" s="186">
        <f t="shared" si="301"/>
        <v>89</v>
      </c>
      <c r="MY72" s="186">
        <f t="shared" si="302"/>
        <v>29.6666666666667</v>
      </c>
      <c r="MZ72" s="135" t="str">
        <f t="shared" si="170"/>
        <v>F</v>
      </c>
      <c r="NA72" s="151" t="str">
        <f>VLOOKUP(RANK(MY72,$MY$10:$MY$109),Sheet1!$A$381:$B$480,2,FALSE)</f>
        <v>60th</v>
      </c>
      <c r="NB72" s="186"/>
      <c r="NC72" s="186"/>
      <c r="ND72" s="186">
        <f t="shared" si="171"/>
        <v>0</v>
      </c>
      <c r="NE72" s="186" t="str">
        <f t="shared" si="172"/>
        <v>42</v>
      </c>
      <c r="NF72" s="186" t="str">
        <f t="shared" si="173"/>
        <v>42</v>
      </c>
      <c r="NG72" s="186">
        <f t="shared" si="303"/>
        <v>84</v>
      </c>
      <c r="NH72" s="186">
        <f t="shared" si="304"/>
        <v>28</v>
      </c>
      <c r="NI72" s="135" t="str">
        <f t="shared" si="174"/>
        <v>F</v>
      </c>
      <c r="NJ72" s="151" t="str">
        <f>VLOOKUP(RANK(NH72,$NH$10:$NH$109),Sheet1!$A$381:$B$480,2,FALSE)</f>
        <v>42nd</v>
      </c>
      <c r="NK72" s="186"/>
      <c r="NL72" s="186"/>
      <c r="NM72" s="186">
        <f t="shared" si="175"/>
        <v>0</v>
      </c>
      <c r="NN72" s="186" t="str">
        <f t="shared" si="176"/>
        <v>40</v>
      </c>
      <c r="NO72" s="186" t="str">
        <f t="shared" si="177"/>
        <v>84</v>
      </c>
      <c r="NP72" s="186">
        <f t="shared" si="305"/>
        <v>124</v>
      </c>
      <c r="NQ72" s="186">
        <f t="shared" si="263"/>
        <v>41.3333333333333</v>
      </c>
      <c r="NR72" s="135" t="str">
        <f t="shared" si="179"/>
        <v>D</v>
      </c>
      <c r="NS72" s="151" t="str">
        <f>VLOOKUP(RANK(NQ72,$NQ$10:$NQ$109),Sheet1!$A$381:$B$480,2,FALSE)</f>
        <v>60th</v>
      </c>
      <c r="NT72" s="186"/>
      <c r="NU72" s="186"/>
      <c r="NV72" s="186">
        <f t="shared" si="180"/>
        <v>0</v>
      </c>
      <c r="NW72" s="186" t="str">
        <f t="shared" si="181"/>
        <v>0</v>
      </c>
      <c r="NX72" s="186" t="str">
        <f t="shared" si="182"/>
        <v>0</v>
      </c>
      <c r="NY72" s="186">
        <f t="shared" si="306"/>
        <v>0</v>
      </c>
      <c r="NZ72" s="186">
        <f t="shared" si="264"/>
        <v>0</v>
      </c>
      <c r="OA72" s="135" t="str">
        <f t="shared" si="184"/>
        <v>F</v>
      </c>
      <c r="OB72" s="151" t="str">
        <f>VLOOKUP(RANK(NZ72,$NZ$10:$NZ$109),Sheet1!$A$381:$B$480,2,FALSE)</f>
        <v>1st</v>
      </c>
      <c r="OC72" s="186"/>
      <c r="OD72" s="186"/>
      <c r="OE72" s="186">
        <f t="shared" si="185"/>
        <v>0</v>
      </c>
      <c r="OF72" s="186" t="str">
        <f t="shared" si="186"/>
        <v>0</v>
      </c>
      <c r="OG72" s="186" t="str">
        <f t="shared" si="187"/>
        <v>0</v>
      </c>
      <c r="OH72" s="186">
        <f t="shared" si="307"/>
        <v>0</v>
      </c>
      <c r="OI72" s="186">
        <f t="shared" si="236"/>
        <v>0</v>
      </c>
      <c r="OJ72" s="135" t="str">
        <f t="shared" si="188"/>
        <v>F</v>
      </c>
      <c r="OK72" s="151" t="str">
        <f>VLOOKUP(RANK(OI72,$OI$10:$OI$109),Sheet1!$A$381:$B$480,2,FALSE)</f>
        <v>1st</v>
      </c>
      <c r="OL72" s="151"/>
      <c r="OM72" s="151"/>
      <c r="ON72" s="151">
        <f t="shared" si="308"/>
        <v>0</v>
      </c>
      <c r="OO72" s="151" t="str">
        <f t="shared" si="309"/>
        <v>0</v>
      </c>
      <c r="OP72" s="151" t="str">
        <f t="shared" si="310"/>
        <v>0</v>
      </c>
      <c r="OQ72" s="151">
        <f t="shared" si="311"/>
        <v>0</v>
      </c>
      <c r="OR72" s="151">
        <f t="shared" si="312"/>
        <v>0</v>
      </c>
      <c r="OS72" s="135" t="str">
        <f t="shared" si="189"/>
        <v>F</v>
      </c>
      <c r="OT72" s="151" t="str">
        <f>VLOOKUP(RANK(OR72,$OI$10:$OI$109),Sheet1!$A$381:$B$480,2,FALSE)</f>
        <v>1st</v>
      </c>
      <c r="OU72" s="151">
        <f t="shared" si="313"/>
        <v>370.66666666666703</v>
      </c>
      <c r="OV72" s="151">
        <f t="shared" si="314"/>
        <v>21.803921568627398</v>
      </c>
      <c r="OW72" s="151" t="str">
        <f>VLOOKUP(RANK(OV72,$OV$10:$OV$109),Sheet1!$A$381:$B$480,2,FALSE)</f>
        <v>73rd</v>
      </c>
      <c r="OX72" s="151"/>
      <c r="OY72" s="186"/>
      <c r="OZ72" s="186"/>
      <c r="PA72" s="186"/>
      <c r="PB72" s="186"/>
    </row>
    <row r="73" spans="1:418" s="118" customFormat="1" ht="18.75">
      <c r="A73" s="131">
        <v>64</v>
      </c>
      <c r="B73" s="132" t="s">
        <v>163</v>
      </c>
      <c r="C73" s="133" t="s">
        <v>97</v>
      </c>
      <c r="D73" s="134">
        <v>25</v>
      </c>
      <c r="E73" s="134">
        <v>41</v>
      </c>
      <c r="F73" s="137">
        <f t="shared" si="0"/>
        <v>66</v>
      </c>
      <c r="G73" s="137">
        <f t="shared" si="1"/>
        <v>66</v>
      </c>
      <c r="H73" s="135" t="str">
        <f t="shared" si="265"/>
        <v>B</v>
      </c>
      <c r="I73" s="135" t="str">
        <f>VLOOKUP(RANK(G73,$G$10:$G$109),Sheet1!$A$381:$B$480,2,FALSE)</f>
        <v>54th</v>
      </c>
      <c r="J73" s="134">
        <v>20</v>
      </c>
      <c r="K73" s="134">
        <v>15</v>
      </c>
      <c r="L73" s="137">
        <f t="shared" si="2"/>
        <v>35</v>
      </c>
      <c r="M73" s="137">
        <f t="shared" si="3"/>
        <v>35</v>
      </c>
      <c r="N73" s="135" t="str">
        <f t="shared" si="4"/>
        <v>E</v>
      </c>
      <c r="O73" s="141" t="str">
        <f>VLOOKUP(RANK(M73,$M$10:$M$109),Sheet1!$A$381:$B$480,2,FALSE)</f>
        <v>92nd</v>
      </c>
      <c r="P73" s="144">
        <v>25</v>
      </c>
      <c r="Q73" s="144">
        <v>5</v>
      </c>
      <c r="R73" s="147">
        <f t="shared" si="5"/>
        <v>30</v>
      </c>
      <c r="S73" s="137">
        <f t="shared" si="6"/>
        <v>30</v>
      </c>
      <c r="T73" s="135" t="str">
        <f t="shared" si="7"/>
        <v>F</v>
      </c>
      <c r="U73" s="135" t="str">
        <f>VLOOKUP(RANK(S73,$S$10:$S$109),Sheet1!$A$381:$B$480,2,FALSE)</f>
        <v>80th</v>
      </c>
      <c r="V73" s="134">
        <v>30</v>
      </c>
      <c r="W73" s="134">
        <v>14</v>
      </c>
      <c r="X73" s="137">
        <f t="shared" si="191"/>
        <v>44</v>
      </c>
      <c r="Y73" s="137">
        <f t="shared" si="244"/>
        <v>44</v>
      </c>
      <c r="Z73" s="135" t="str">
        <f t="shared" si="8"/>
        <v>D</v>
      </c>
      <c r="AA73" s="135" t="str">
        <f>VLOOKUP(RANK(Y73,$Y$10:$Y$109),Sheet1!$A$381:$B$480,2,FALSE)</f>
        <v>83rd</v>
      </c>
      <c r="AB73" s="134">
        <v>28</v>
      </c>
      <c r="AC73" s="134">
        <v>10</v>
      </c>
      <c r="AD73" s="137">
        <f t="shared" si="9"/>
        <v>38</v>
      </c>
      <c r="AE73" s="137">
        <f t="shared" si="10"/>
        <v>38</v>
      </c>
      <c r="AF73" s="135" t="str">
        <f t="shared" si="11"/>
        <v>E</v>
      </c>
      <c r="AG73" s="135" t="str">
        <f>VLOOKUP(RANK(AE73,$AE$10:$AE$109),Sheet1!$A$381:$B$480,2,FALSE)</f>
        <v>81st</v>
      </c>
      <c r="AH73" s="137"/>
      <c r="AI73" s="137"/>
      <c r="AJ73" s="137">
        <f t="shared" si="12"/>
        <v>0</v>
      </c>
      <c r="AK73" s="137">
        <f t="shared" si="13"/>
        <v>0</v>
      </c>
      <c r="AL73" s="135" t="str">
        <f t="shared" si="14"/>
        <v>F</v>
      </c>
      <c r="AM73" s="135" t="str">
        <f>VLOOKUP(RANK(AK73,$AK$10:$AK$109),Sheet1!$A$381:$B$480,2,FALSE)</f>
        <v>1st</v>
      </c>
      <c r="AN73" s="134"/>
      <c r="AO73" s="134"/>
      <c r="AP73" s="137">
        <f t="shared" si="15"/>
        <v>0</v>
      </c>
      <c r="AQ73" s="137">
        <f t="shared" si="16"/>
        <v>0</v>
      </c>
      <c r="AR73" s="135" t="str">
        <f t="shared" si="17"/>
        <v>F</v>
      </c>
      <c r="AS73" s="135" t="str">
        <f>VLOOKUP(RANK(AQ73,$AQ$10:$AQ$109),Sheet1!$A$381:$B$480,2,FALSE)</f>
        <v>1st</v>
      </c>
      <c r="AT73" s="144">
        <v>24</v>
      </c>
      <c r="AU73" s="144">
        <v>27</v>
      </c>
      <c r="AV73" s="137">
        <f t="shared" si="18"/>
        <v>51</v>
      </c>
      <c r="AW73" s="137">
        <f t="shared" si="19"/>
        <v>51</v>
      </c>
      <c r="AX73" s="135" t="str">
        <f t="shared" si="20"/>
        <v>C</v>
      </c>
      <c r="AY73" s="141" t="str">
        <f>VLOOKUP(RANK(AW73,$AW$10:$AW$109),Sheet1!$A$381:$B$480,2,FALSE)</f>
        <v>45th</v>
      </c>
      <c r="AZ73" s="144">
        <v>30</v>
      </c>
      <c r="BA73" s="144">
        <v>10</v>
      </c>
      <c r="BB73" s="147">
        <f t="shared" si="21"/>
        <v>40</v>
      </c>
      <c r="BC73" s="137">
        <f t="shared" si="22"/>
        <v>40</v>
      </c>
      <c r="BD73" s="135" t="str">
        <f t="shared" si="23"/>
        <v>D</v>
      </c>
      <c r="BE73" s="135" t="str">
        <f>VLOOKUP(RANK(BC73,$BC$10:$BC$109),Sheet1!$A$381:$B$480,2,FALSE)</f>
        <v>85th</v>
      </c>
      <c r="BF73" s="144">
        <v>19</v>
      </c>
      <c r="BG73" s="144">
        <v>16</v>
      </c>
      <c r="BH73" s="137">
        <f t="shared" si="24"/>
        <v>35</v>
      </c>
      <c r="BI73" s="137">
        <f t="shared" si="25"/>
        <v>35</v>
      </c>
      <c r="BJ73" s="135" t="str">
        <f t="shared" si="26"/>
        <v>E</v>
      </c>
      <c r="BK73" s="141" t="str">
        <f>VLOOKUP(RANK(BI73,$BI$10:$BI$109),Sheet1!$A$381:$B$480,2,FALSE)</f>
        <v>48th</v>
      </c>
      <c r="BL73" s="149">
        <v>25</v>
      </c>
      <c r="BM73" s="149">
        <v>26</v>
      </c>
      <c r="BN73" s="147">
        <f t="shared" si="27"/>
        <v>51</v>
      </c>
      <c r="BO73" s="137">
        <f t="shared" si="28"/>
        <v>51</v>
      </c>
      <c r="BP73" s="135" t="str">
        <f t="shared" si="29"/>
        <v>C</v>
      </c>
      <c r="BQ73" s="141" t="str">
        <f>VLOOKUP(RANK(BO73,$BO$10:$BO$109),Sheet1!$A$381:$B$480,2,FALSE)</f>
        <v>69th</v>
      </c>
      <c r="BR73" s="149">
        <v>27</v>
      </c>
      <c r="BS73" s="149">
        <v>26</v>
      </c>
      <c r="BT73" s="147">
        <f t="shared" si="30"/>
        <v>53</v>
      </c>
      <c r="BU73" s="137">
        <f t="shared" si="31"/>
        <v>53</v>
      </c>
      <c r="BV73" s="135" t="str">
        <f t="shared" si="32"/>
        <v>C</v>
      </c>
      <c r="BW73" s="135" t="str">
        <f>VLOOKUP(RANK(BU73,$BU$10:$BU$109),Sheet1!$A$381:$B$480,2,FALSE)</f>
        <v>36th</v>
      </c>
      <c r="BX73" s="149">
        <v>27</v>
      </c>
      <c r="BY73" s="149">
        <v>13</v>
      </c>
      <c r="BZ73" s="137">
        <f t="shared" si="33"/>
        <v>40</v>
      </c>
      <c r="CA73" s="137">
        <f t="shared" si="34"/>
        <v>40</v>
      </c>
      <c r="CB73" s="135" t="str">
        <f t="shared" si="35"/>
        <v>D</v>
      </c>
      <c r="CC73" s="135" t="str">
        <f>VLOOKUP(RANK(CA73,$CA$10:$CA$109),Sheet1!$A$381:$B$480,2,FALSE)</f>
        <v>43rd</v>
      </c>
      <c r="CD73" s="149">
        <v>20</v>
      </c>
      <c r="CE73" s="149">
        <v>20</v>
      </c>
      <c r="CF73" s="137">
        <f t="shared" si="36"/>
        <v>40</v>
      </c>
      <c r="CG73" s="137">
        <f t="shared" si="37"/>
        <v>40</v>
      </c>
      <c r="CH73" s="135" t="str">
        <f t="shared" si="38"/>
        <v>D</v>
      </c>
      <c r="CI73" s="135" t="str">
        <f>VLOOKUP(RANK(CG73,$CG$10:$CG$109),Sheet1!$A$381:$B$480,2,FALSE)</f>
        <v>94th</v>
      </c>
      <c r="CJ73" s="137"/>
      <c r="CK73" s="137"/>
      <c r="CL73" s="137">
        <f t="shared" si="39"/>
        <v>0</v>
      </c>
      <c r="CM73" s="137">
        <f t="shared" si="40"/>
        <v>0</v>
      </c>
      <c r="CN73" s="135" t="str">
        <f t="shared" si="41"/>
        <v>F</v>
      </c>
      <c r="CO73" s="135" t="str">
        <f>VLOOKUP(RANK(CM73,$CM$10:$CM$109),Sheet1!$A$381:$B$480,2,FALSE)</f>
        <v>1st</v>
      </c>
      <c r="CP73" s="137"/>
      <c r="CQ73" s="137"/>
      <c r="CR73" s="137">
        <f t="shared" si="42"/>
        <v>0</v>
      </c>
      <c r="CS73" s="137">
        <f t="shared" si="43"/>
        <v>0</v>
      </c>
      <c r="CT73" s="135" t="str">
        <f t="shared" si="44"/>
        <v>F</v>
      </c>
      <c r="CU73" s="135" t="str">
        <f>VLOOKUP(RANK(CS73,$CS$10:$CS$109),Sheet1!$A$381:$B$480,2,FALSE)</f>
        <v>1st</v>
      </c>
      <c r="CV73" s="151"/>
      <c r="CW73" s="135"/>
      <c r="CX73" s="151">
        <f t="shared" si="266"/>
        <v>0</v>
      </c>
      <c r="CY73" s="151">
        <f t="shared" si="267"/>
        <v>0</v>
      </c>
      <c r="CZ73" s="135" t="str">
        <f t="shared" si="45"/>
        <v>F</v>
      </c>
      <c r="DA73" s="135" t="str">
        <f>VLOOKUP(RANK(CY73,$CY$10:$CY$109),Sheet1!$A$381:$B$480,2,FALSE)</f>
        <v>1st</v>
      </c>
      <c r="DB73" s="135"/>
      <c r="DC73" s="151">
        <f t="shared" si="268"/>
        <v>523</v>
      </c>
      <c r="DD73" s="151">
        <f t="shared" si="269"/>
        <v>30.764705882352899</v>
      </c>
      <c r="DE73" s="135" t="str">
        <f>VLOOKUP(RANK(DD73,$DD$10:$DD$109),Sheet1!$A$381:$B$480,2,FALSE)</f>
        <v>90th</v>
      </c>
      <c r="DF73" s="137"/>
      <c r="DG73" s="160">
        <f t="shared" si="46"/>
        <v>553.76470588235304</v>
      </c>
      <c r="DH73" s="119"/>
      <c r="DI73" s="162">
        <v>17</v>
      </c>
      <c r="DJ73" s="162">
        <v>52</v>
      </c>
      <c r="DK73" s="137">
        <f t="shared" si="47"/>
        <v>69</v>
      </c>
      <c r="DL73" s="137" t="str">
        <f t="shared" si="245"/>
        <v>66</v>
      </c>
      <c r="DM73" s="137">
        <f t="shared" si="49"/>
        <v>135</v>
      </c>
      <c r="DN73" s="137">
        <f t="shared" si="50"/>
        <v>67.5</v>
      </c>
      <c r="DO73" s="135" t="str">
        <f t="shared" si="51"/>
        <v>B</v>
      </c>
      <c r="DP73" s="135" t="str">
        <f>VLOOKUP(RANK(DN73,$DN$10:$DN$109),Sheet1!$A$381:$B$480,2,FALSE)</f>
        <v>47th</v>
      </c>
      <c r="DQ73" s="166">
        <v>28</v>
      </c>
      <c r="DR73" s="166">
        <v>14</v>
      </c>
      <c r="DS73" s="137">
        <f t="shared" si="52"/>
        <v>42</v>
      </c>
      <c r="DT73" s="137" t="str">
        <f t="shared" si="246"/>
        <v>35</v>
      </c>
      <c r="DU73" s="137">
        <f t="shared" si="54"/>
        <v>77</v>
      </c>
      <c r="DV73" s="137">
        <f t="shared" si="247"/>
        <v>38.5</v>
      </c>
      <c r="DW73" s="135" t="str">
        <f t="shared" si="56"/>
        <v>E</v>
      </c>
      <c r="DX73" s="135" t="str">
        <f>VLOOKUP(RANK(DV73,$DV$10:$DV$109),Sheet1!$A$381:$B$480,2,FALSE)</f>
        <v>88th</v>
      </c>
      <c r="DY73" s="168">
        <v>31</v>
      </c>
      <c r="DZ73" s="168">
        <v>14</v>
      </c>
      <c r="EA73" s="137">
        <f t="shared" si="57"/>
        <v>45</v>
      </c>
      <c r="EB73" s="137" t="str">
        <f t="shared" si="248"/>
        <v>30</v>
      </c>
      <c r="EC73" s="137">
        <f t="shared" si="59"/>
        <v>75</v>
      </c>
      <c r="ED73" s="137">
        <f t="shared" si="60"/>
        <v>37.5</v>
      </c>
      <c r="EE73" s="135" t="str">
        <f t="shared" si="61"/>
        <v>E</v>
      </c>
      <c r="EF73" s="135" t="str">
        <f>VLOOKUP(RANK(ED73,$ED$10:$ED$109),Sheet1!$A$381:$B$480,2,FALSE)</f>
        <v>74th</v>
      </c>
      <c r="EG73" s="162">
        <v>24</v>
      </c>
      <c r="EH73" s="162">
        <v>35</v>
      </c>
      <c r="EI73" s="137">
        <f t="shared" si="62"/>
        <v>59</v>
      </c>
      <c r="EJ73" s="137" t="str">
        <f t="shared" si="249"/>
        <v>44</v>
      </c>
      <c r="EK73" s="137">
        <f t="shared" si="64"/>
        <v>103</v>
      </c>
      <c r="EL73" s="137">
        <f t="shared" si="65"/>
        <v>51.5</v>
      </c>
      <c r="EM73" s="135" t="str">
        <f t="shared" si="66"/>
        <v>C</v>
      </c>
      <c r="EN73" s="135" t="str">
        <f>VLOOKUP(RANK(EL73,$EL$10:$EL$109),Sheet1!$A$381:$B$480,2,FALSE)</f>
        <v>57th</v>
      </c>
      <c r="EO73" s="162">
        <v>27</v>
      </c>
      <c r="EP73" s="162">
        <v>14</v>
      </c>
      <c r="EQ73" s="137">
        <f t="shared" si="67"/>
        <v>41</v>
      </c>
      <c r="ER73" s="137" t="str">
        <f t="shared" si="250"/>
        <v>38</v>
      </c>
      <c r="ES73" s="137">
        <f t="shared" si="69"/>
        <v>79</v>
      </c>
      <c r="ET73" s="137">
        <f t="shared" si="70"/>
        <v>39.5</v>
      </c>
      <c r="EU73" s="135" t="str">
        <f t="shared" si="71"/>
        <v>E</v>
      </c>
      <c r="EV73" s="135" t="str">
        <f>VLOOKUP(RANK(ET73,$ET$10:$ET$109),Sheet1!$A$381:$B$480,2,FALSE)</f>
        <v>76th</v>
      </c>
      <c r="EW73" s="137"/>
      <c r="EX73" s="137"/>
      <c r="EY73" s="137">
        <f t="shared" si="72"/>
        <v>0</v>
      </c>
      <c r="EZ73" s="137" t="str">
        <f t="shared" si="251"/>
        <v>0</v>
      </c>
      <c r="FA73" s="137">
        <f t="shared" si="74"/>
        <v>0</v>
      </c>
      <c r="FB73" s="137">
        <f t="shared" si="75"/>
        <v>0</v>
      </c>
      <c r="FC73" s="135" t="str">
        <f t="shared" si="76"/>
        <v>F</v>
      </c>
      <c r="FD73" s="135" t="str">
        <f>VLOOKUP(RANK(FB73,$FB$10:$FB$109),Sheet1!$A$381:$B$480,2,FALSE)</f>
        <v>1st</v>
      </c>
      <c r="FE73" s="137"/>
      <c r="FF73" s="137"/>
      <c r="FG73" s="137">
        <f t="shared" si="77"/>
        <v>0</v>
      </c>
      <c r="FH73" s="137" t="str">
        <f t="shared" si="252"/>
        <v>0</v>
      </c>
      <c r="FI73" s="137">
        <f t="shared" si="79"/>
        <v>0</v>
      </c>
      <c r="FJ73" s="137">
        <f t="shared" si="80"/>
        <v>0</v>
      </c>
      <c r="FK73" s="135" t="str">
        <f t="shared" si="81"/>
        <v>F</v>
      </c>
      <c r="FL73" s="135" t="str">
        <f>VLOOKUP(RANK(FJ73,$FJ$10:$FJ$109),Sheet1!$A$381:$B$480,2,FALSE)</f>
        <v>1st</v>
      </c>
      <c r="FM73" s="166">
        <v>25</v>
      </c>
      <c r="FN73" s="166">
        <v>36</v>
      </c>
      <c r="FO73" s="137">
        <f t="shared" si="82"/>
        <v>61</v>
      </c>
      <c r="FP73" s="137" t="str">
        <f t="shared" si="253"/>
        <v>51</v>
      </c>
      <c r="FQ73" s="137">
        <f t="shared" si="84"/>
        <v>112</v>
      </c>
      <c r="FR73" s="137">
        <f t="shared" si="85"/>
        <v>56</v>
      </c>
      <c r="FS73" s="135" t="str">
        <f t="shared" si="86"/>
        <v>C</v>
      </c>
      <c r="FT73" s="135" t="str">
        <f>VLOOKUP(RANK(FR73,$FR$10:$FR$109),Sheet1!$A$381:$B$480,2,FALSE)</f>
        <v>17th</v>
      </c>
      <c r="FU73" s="149">
        <v>27</v>
      </c>
      <c r="FV73" s="149">
        <v>20</v>
      </c>
      <c r="FW73" s="137">
        <f t="shared" si="87"/>
        <v>47</v>
      </c>
      <c r="FX73" s="137" t="str">
        <f t="shared" si="254"/>
        <v>40</v>
      </c>
      <c r="FY73" s="137">
        <f t="shared" si="196"/>
        <v>47</v>
      </c>
      <c r="FZ73" s="137">
        <f t="shared" si="89"/>
        <v>23.5</v>
      </c>
      <c r="GA73" s="135" t="str">
        <f t="shared" si="90"/>
        <v>F</v>
      </c>
      <c r="GB73" s="135" t="str">
        <f>VLOOKUP(RANK(FZ73,$FZ$10:$FZ$109),Sheet1!$A$381:$B$480,2,FALSE)</f>
        <v>57th</v>
      </c>
      <c r="GC73" s="166">
        <v>23</v>
      </c>
      <c r="GD73" s="166">
        <v>28</v>
      </c>
      <c r="GE73" s="137">
        <f t="shared" si="91"/>
        <v>51</v>
      </c>
      <c r="GF73" s="137" t="str">
        <f t="shared" si="255"/>
        <v>35</v>
      </c>
      <c r="GG73" s="135">
        <f t="shared" si="270"/>
        <v>86</v>
      </c>
      <c r="GH73" s="137">
        <f t="shared" si="271"/>
        <v>43</v>
      </c>
      <c r="GI73" s="135" t="str">
        <f t="shared" si="93"/>
        <v>D</v>
      </c>
      <c r="GJ73" s="135" t="str">
        <f>VLOOKUP(RANK(GH73,$GH$10:$GH$109),Sheet1!$A$381:$B$480,2,FALSE)</f>
        <v>34th</v>
      </c>
      <c r="GK73" s="166">
        <v>27</v>
      </c>
      <c r="GL73" s="166">
        <v>15</v>
      </c>
      <c r="GM73" s="137">
        <f t="shared" si="94"/>
        <v>42</v>
      </c>
      <c r="GN73" s="137" t="str">
        <f t="shared" si="256"/>
        <v>51</v>
      </c>
      <c r="GO73" s="135">
        <f t="shared" si="272"/>
        <v>93</v>
      </c>
      <c r="GP73" s="137">
        <f t="shared" si="96"/>
        <v>46.5</v>
      </c>
      <c r="GQ73" s="135" t="str">
        <f t="shared" si="97"/>
        <v>D</v>
      </c>
      <c r="GR73" s="135" t="str">
        <f>VLOOKUP(RANK(GP73,$GP$10:$GP$109),Sheet1!$A$381:$B$480,2,FALSE)</f>
        <v>74th</v>
      </c>
      <c r="GS73" s="166">
        <v>16</v>
      </c>
      <c r="GT73" s="166">
        <v>20</v>
      </c>
      <c r="GU73" s="137">
        <f t="shared" si="98"/>
        <v>36</v>
      </c>
      <c r="GV73" s="137" t="str">
        <f t="shared" si="257"/>
        <v>53</v>
      </c>
      <c r="GW73" s="137">
        <f t="shared" si="100"/>
        <v>89</v>
      </c>
      <c r="GX73" s="137">
        <f t="shared" si="101"/>
        <v>44.5</v>
      </c>
      <c r="GY73" s="135" t="str">
        <f t="shared" si="102"/>
        <v>D</v>
      </c>
      <c r="GZ73" s="135" t="str">
        <f>VLOOKUP(RANK(GX73,$GX$10:$GX$109),Sheet1!$A$381:$B$480,2,FALSE)</f>
        <v>60th</v>
      </c>
      <c r="HA73" s="166">
        <v>28</v>
      </c>
      <c r="HB73" s="166">
        <v>15</v>
      </c>
      <c r="HC73" s="137">
        <f t="shared" si="103"/>
        <v>43</v>
      </c>
      <c r="HD73" s="137" t="str">
        <f t="shared" si="258"/>
        <v>40</v>
      </c>
      <c r="HE73" s="137">
        <f t="shared" si="105"/>
        <v>83</v>
      </c>
      <c r="HF73" s="137">
        <f t="shared" si="106"/>
        <v>41.5</v>
      </c>
      <c r="HG73" s="135" t="str">
        <f t="shared" si="107"/>
        <v>D</v>
      </c>
      <c r="HH73" s="135" t="str">
        <f>VLOOKUP(RANK(HF73,$HF$10:$HF$109),Sheet1!$A$381:$B$480,2,FALSE)</f>
        <v>47th</v>
      </c>
      <c r="HI73" s="149">
        <v>27</v>
      </c>
      <c r="HJ73" s="149">
        <v>45</v>
      </c>
      <c r="HK73" s="137">
        <f t="shared" si="108"/>
        <v>72</v>
      </c>
      <c r="HL73" s="137" t="str">
        <f t="shared" si="259"/>
        <v>40</v>
      </c>
      <c r="HM73" s="137">
        <f t="shared" si="110"/>
        <v>112</v>
      </c>
      <c r="HN73" s="137">
        <f t="shared" si="111"/>
        <v>56</v>
      </c>
      <c r="HO73" s="135" t="str">
        <f t="shared" si="112"/>
        <v>C</v>
      </c>
      <c r="HP73" s="135" t="str">
        <f>VLOOKUP(RANK(HN73,$HN$10:$HN$109),Sheet1!$A$381:$B$480,2,FALSE)</f>
        <v>82nd</v>
      </c>
      <c r="HQ73" s="137"/>
      <c r="HR73" s="137"/>
      <c r="HS73" s="137">
        <f t="shared" si="113"/>
        <v>0</v>
      </c>
      <c r="HT73" s="137" t="str">
        <f t="shared" si="260"/>
        <v>0</v>
      </c>
      <c r="HU73" s="137">
        <f t="shared" si="115"/>
        <v>0</v>
      </c>
      <c r="HV73" s="137">
        <f t="shared" si="116"/>
        <v>0</v>
      </c>
      <c r="HW73" s="135" t="str">
        <f t="shared" si="117"/>
        <v>F</v>
      </c>
      <c r="HX73" s="135" t="str">
        <f>VLOOKUP(RANK(HV73,$HV$10:$HV$109),Sheet1!$A$381:$B$480,2,FALSE)</f>
        <v>1st</v>
      </c>
      <c r="HY73" s="137"/>
      <c r="HZ73" s="137"/>
      <c r="IA73" s="137">
        <f t="shared" si="261"/>
        <v>0</v>
      </c>
      <c r="IB73" s="137" t="str">
        <f t="shared" si="262"/>
        <v>0</v>
      </c>
      <c r="IC73" s="137">
        <f t="shared" si="120"/>
        <v>0</v>
      </c>
      <c r="ID73" s="137">
        <f t="shared" si="121"/>
        <v>0</v>
      </c>
      <c r="IE73" s="135" t="str">
        <f t="shared" si="122"/>
        <v>F</v>
      </c>
      <c r="IF73" s="135" t="str">
        <f>VLOOKUP(RANK(ID73,$ID$10:$ID$109),Sheet1!$A$381:$B$480,2,FALSE)</f>
        <v>1st</v>
      </c>
      <c r="IG73" s="135"/>
      <c r="IH73" s="135"/>
      <c r="II73" s="135">
        <f t="shared" si="273"/>
        <v>0</v>
      </c>
      <c r="IJ73" s="135" t="str">
        <f t="shared" si="274"/>
        <v>0</v>
      </c>
      <c r="IK73" s="135">
        <f t="shared" si="275"/>
        <v>0</v>
      </c>
      <c r="IL73" s="135">
        <f t="shared" si="276"/>
        <v>0</v>
      </c>
      <c r="IM73" s="135" t="str">
        <f t="shared" si="123"/>
        <v>F</v>
      </c>
      <c r="IN73" s="135" t="str">
        <f>VLOOKUP(RANK(IL73,$IL$10:$IL$109),Sheet1!$A$381:$B$480,2,FALSE)</f>
        <v>1st</v>
      </c>
      <c r="IO73" s="135">
        <f t="shared" si="277"/>
        <v>545.5</v>
      </c>
      <c r="IP73" s="177">
        <f t="shared" si="278"/>
        <v>32.088235294117602</v>
      </c>
      <c r="IQ73" s="135" t="str">
        <f>VLOOKUP(RANK(IP73,$IP$10:$IP$109),Sheet1!$A$381:$B$480,2,FALSE)</f>
        <v>67th</v>
      </c>
      <c r="IR73" s="178"/>
      <c r="IS73" s="137"/>
      <c r="IT73" s="137"/>
      <c r="IU73" s="137"/>
      <c r="IV73" s="137"/>
      <c r="IW73" s="181"/>
      <c r="IX73" s="184"/>
      <c r="IY73" s="186"/>
      <c r="IZ73" s="186">
        <f t="shared" si="206"/>
        <v>0</v>
      </c>
      <c r="JA73" s="186" t="str">
        <f t="shared" si="124"/>
        <v>66</v>
      </c>
      <c r="JB73" s="186" t="str">
        <f t="shared" si="125"/>
        <v>69</v>
      </c>
      <c r="JC73" s="186">
        <f t="shared" si="279"/>
        <v>135</v>
      </c>
      <c r="JD73" s="186">
        <f t="shared" si="280"/>
        <v>45</v>
      </c>
      <c r="JE73" s="135" t="str">
        <f t="shared" si="126"/>
        <v>D</v>
      </c>
      <c r="JF73" s="151" t="str">
        <f>VLOOKUP(RANK(JD73,$JD$10:$JD$109),Sheet1!$A$381:$B$480,2,FALSE)</f>
        <v>47th</v>
      </c>
      <c r="JG73" s="186"/>
      <c r="JH73" s="186"/>
      <c r="JI73" s="186">
        <f t="shared" si="127"/>
        <v>0</v>
      </c>
      <c r="JJ73" s="186" t="str">
        <f t="shared" si="128"/>
        <v>35</v>
      </c>
      <c r="JK73" s="186" t="str">
        <f t="shared" si="129"/>
        <v>42</v>
      </c>
      <c r="JL73" s="186">
        <f t="shared" si="281"/>
        <v>77</v>
      </c>
      <c r="JM73" s="186">
        <f t="shared" si="282"/>
        <v>25.6666666666667</v>
      </c>
      <c r="JN73" s="135" t="str">
        <f t="shared" si="130"/>
        <v>F</v>
      </c>
      <c r="JO73" s="151" t="str">
        <f>VLOOKUP(RANK(JM73,$JM$10:$JM$109),Sheet1!$A$381:$B$480,2,FALSE)</f>
        <v>88th</v>
      </c>
      <c r="JP73" s="186"/>
      <c r="JQ73" s="186"/>
      <c r="JR73" s="186">
        <f t="shared" si="131"/>
        <v>0</v>
      </c>
      <c r="JS73" s="186" t="str">
        <f t="shared" si="132"/>
        <v>30</v>
      </c>
      <c r="JT73" s="186" t="str">
        <f t="shared" si="133"/>
        <v>45</v>
      </c>
      <c r="JU73" s="186">
        <f t="shared" si="283"/>
        <v>75</v>
      </c>
      <c r="JV73" s="186">
        <f t="shared" si="284"/>
        <v>25</v>
      </c>
      <c r="JW73" s="135" t="str">
        <f t="shared" si="134"/>
        <v>F</v>
      </c>
      <c r="JX73" s="151" t="str">
        <f>VLOOKUP(RANK(JV73,$JV$10:$JV$109),Sheet1!$A$381:$B$480,2,FALSE)</f>
        <v>74th</v>
      </c>
      <c r="JY73" s="186"/>
      <c r="JZ73" s="186"/>
      <c r="KA73" s="186">
        <f t="shared" si="135"/>
        <v>0</v>
      </c>
      <c r="KB73" s="186" t="str">
        <f t="shared" si="136"/>
        <v>44</v>
      </c>
      <c r="KC73" s="186" t="str">
        <f t="shared" si="137"/>
        <v>59</v>
      </c>
      <c r="KD73" s="186">
        <f t="shared" si="285"/>
        <v>103</v>
      </c>
      <c r="KE73" s="186">
        <f t="shared" si="286"/>
        <v>34.3333333333333</v>
      </c>
      <c r="KF73" s="135" t="str">
        <f t="shared" si="138"/>
        <v>F</v>
      </c>
      <c r="KG73" s="151" t="str">
        <f>VLOOKUP(RANK(KE73,$KE$10:$KE$109),Sheet1!$A$381:$B$480,2,FALSE)</f>
        <v>57th</v>
      </c>
      <c r="KH73" s="186"/>
      <c r="KI73" s="186"/>
      <c r="KJ73" s="186">
        <f t="shared" si="139"/>
        <v>0</v>
      </c>
      <c r="KK73" s="186" t="str">
        <f t="shared" si="140"/>
        <v>38</v>
      </c>
      <c r="KL73" s="186" t="str">
        <f t="shared" si="141"/>
        <v>41</v>
      </c>
      <c r="KM73" s="186">
        <f t="shared" si="287"/>
        <v>79</v>
      </c>
      <c r="KN73" s="186">
        <f t="shared" si="288"/>
        <v>26.3333333333333</v>
      </c>
      <c r="KO73" s="135" t="str">
        <f t="shared" si="142"/>
        <v>F</v>
      </c>
      <c r="KP73" s="151" t="str">
        <f>VLOOKUP(RANK(KN73,$KN$10:$KN$109),Sheet1!$A$381:$B$480,2,FALSE)</f>
        <v>76th</v>
      </c>
      <c r="KQ73" s="186"/>
      <c r="KR73" s="186"/>
      <c r="KS73" s="186">
        <f t="shared" si="143"/>
        <v>0</v>
      </c>
      <c r="KT73" s="186" t="str">
        <f t="shared" si="144"/>
        <v>0</v>
      </c>
      <c r="KU73" s="186" t="str">
        <f t="shared" si="145"/>
        <v>0</v>
      </c>
      <c r="KV73" s="186">
        <f t="shared" si="289"/>
        <v>0</v>
      </c>
      <c r="KW73" s="186">
        <f t="shared" si="290"/>
        <v>0</v>
      </c>
      <c r="KX73" s="135" t="str">
        <f t="shared" si="146"/>
        <v>F</v>
      </c>
      <c r="KY73" s="151" t="str">
        <f>VLOOKUP(RANK(KW73,$KW$10:$KW$109),Sheet1!$A$381:$B$480,2,FALSE)</f>
        <v>1st</v>
      </c>
      <c r="KZ73" s="186"/>
      <c r="LA73" s="186"/>
      <c r="LB73" s="186">
        <f t="shared" si="147"/>
        <v>0</v>
      </c>
      <c r="LC73" s="186" t="str">
        <f t="shared" si="148"/>
        <v>0</v>
      </c>
      <c r="LD73" s="186" t="str">
        <f t="shared" si="149"/>
        <v>0</v>
      </c>
      <c r="LE73" s="186">
        <f t="shared" si="291"/>
        <v>0</v>
      </c>
      <c r="LF73" s="186">
        <f t="shared" si="292"/>
        <v>0</v>
      </c>
      <c r="LG73" s="135" t="str">
        <f t="shared" si="150"/>
        <v>F</v>
      </c>
      <c r="LH73" s="151" t="str">
        <f>VLOOKUP(RANK(LF73,$LF$10:$LF$109),Sheet1!$A$381:$B$480,2,FALSE)</f>
        <v>1st</v>
      </c>
      <c r="LI73" s="186"/>
      <c r="LJ73" s="186"/>
      <c r="LK73" s="186">
        <f t="shared" si="151"/>
        <v>0</v>
      </c>
      <c r="LL73" s="186" t="str">
        <f t="shared" si="152"/>
        <v>51</v>
      </c>
      <c r="LM73" s="186" t="str">
        <f t="shared" si="153"/>
        <v>61</v>
      </c>
      <c r="LN73" s="186">
        <f t="shared" si="293"/>
        <v>112</v>
      </c>
      <c r="LO73" s="186">
        <f t="shared" si="294"/>
        <v>37.3333333333333</v>
      </c>
      <c r="LP73" s="135" t="str">
        <f t="shared" si="154"/>
        <v>E</v>
      </c>
      <c r="LQ73" s="151" t="str">
        <f>VLOOKUP(RANK(LO73,$LO$10:$LO$109),Sheet1!$A$381:$B$480,2,FALSE)</f>
        <v>17th</v>
      </c>
      <c r="LR73" s="186"/>
      <c r="LS73" s="186"/>
      <c r="LT73" s="186">
        <f t="shared" si="155"/>
        <v>0</v>
      </c>
      <c r="LU73" s="186" t="str">
        <f t="shared" si="156"/>
        <v>40</v>
      </c>
      <c r="LV73" s="186" t="str">
        <f t="shared" si="157"/>
        <v>47</v>
      </c>
      <c r="LW73" s="186">
        <f t="shared" si="295"/>
        <v>87</v>
      </c>
      <c r="LX73" s="186">
        <f t="shared" si="296"/>
        <v>29</v>
      </c>
      <c r="LY73" s="135" t="str">
        <f t="shared" si="158"/>
        <v>F</v>
      </c>
      <c r="LZ73" s="151" t="str">
        <f>VLOOKUP(RANK(LX73,$LX$10:$LX$109),Sheet1!$A$381:$B$480,2,FALSE)</f>
        <v>80th</v>
      </c>
      <c r="MA73" s="186"/>
      <c r="MB73" s="186"/>
      <c r="MC73" s="186">
        <f t="shared" si="159"/>
        <v>0</v>
      </c>
      <c r="MD73" s="186" t="str">
        <f t="shared" si="160"/>
        <v>35</v>
      </c>
      <c r="ME73" s="186" t="str">
        <f t="shared" si="161"/>
        <v>51</v>
      </c>
      <c r="MF73" s="183">
        <f t="shared" si="297"/>
        <v>86</v>
      </c>
      <c r="MG73" s="151">
        <f t="shared" si="298"/>
        <v>28.6666666666667</v>
      </c>
      <c r="MH73" s="135" t="str">
        <f t="shared" si="162"/>
        <v>F</v>
      </c>
      <c r="MI73" s="151" t="str">
        <f>VLOOKUP(RANK(MG73,$MG$10:$MG$109),Sheet1!$A$381:$B$480,2,FALSE)</f>
        <v>34th</v>
      </c>
      <c r="MJ73" s="186"/>
      <c r="MK73" s="186"/>
      <c r="ML73" s="186">
        <f t="shared" si="163"/>
        <v>0</v>
      </c>
      <c r="MM73" s="186" t="str">
        <f t="shared" si="164"/>
        <v>51</v>
      </c>
      <c r="MN73" s="186" t="str">
        <f t="shared" si="165"/>
        <v>42</v>
      </c>
      <c r="MO73" s="186">
        <f t="shared" si="299"/>
        <v>93</v>
      </c>
      <c r="MP73" s="186">
        <f t="shared" si="300"/>
        <v>31</v>
      </c>
      <c r="MQ73" s="135" t="str">
        <f t="shared" si="166"/>
        <v>F</v>
      </c>
      <c r="MR73" s="151" t="str">
        <f>VLOOKUP(RANK(MP73,$MP$10:$MP$109),Sheet1!$A$381:$B$480,2,FALSE)</f>
        <v>74th</v>
      </c>
      <c r="MS73" s="186"/>
      <c r="MT73" s="186"/>
      <c r="MU73" s="186">
        <f t="shared" si="167"/>
        <v>0</v>
      </c>
      <c r="MV73" s="186" t="str">
        <f t="shared" si="168"/>
        <v>53</v>
      </c>
      <c r="MW73" s="186" t="str">
        <f t="shared" si="169"/>
        <v>36</v>
      </c>
      <c r="MX73" s="186">
        <f t="shared" si="301"/>
        <v>89</v>
      </c>
      <c r="MY73" s="186">
        <f t="shared" si="302"/>
        <v>29.6666666666667</v>
      </c>
      <c r="MZ73" s="135" t="str">
        <f t="shared" si="170"/>
        <v>F</v>
      </c>
      <c r="NA73" s="151" t="str">
        <f>VLOOKUP(RANK(MY73,$MY$10:$MY$109),Sheet1!$A$381:$B$480,2,FALSE)</f>
        <v>60th</v>
      </c>
      <c r="NB73" s="186"/>
      <c r="NC73" s="186"/>
      <c r="ND73" s="186">
        <f t="shared" si="171"/>
        <v>0</v>
      </c>
      <c r="NE73" s="186" t="str">
        <f t="shared" si="172"/>
        <v>40</v>
      </c>
      <c r="NF73" s="186" t="str">
        <f t="shared" si="173"/>
        <v>43</v>
      </c>
      <c r="NG73" s="186">
        <f t="shared" si="303"/>
        <v>83</v>
      </c>
      <c r="NH73" s="186">
        <f t="shared" si="304"/>
        <v>27.6666666666667</v>
      </c>
      <c r="NI73" s="135" t="str">
        <f t="shared" si="174"/>
        <v>F</v>
      </c>
      <c r="NJ73" s="151" t="str">
        <f>VLOOKUP(RANK(NH73,$NH$10:$NH$109),Sheet1!$A$381:$B$480,2,FALSE)</f>
        <v>47th</v>
      </c>
      <c r="NK73" s="186"/>
      <c r="NL73" s="186"/>
      <c r="NM73" s="186">
        <f t="shared" si="175"/>
        <v>0</v>
      </c>
      <c r="NN73" s="186" t="str">
        <f t="shared" si="176"/>
        <v>40</v>
      </c>
      <c r="NO73" s="186" t="str">
        <f t="shared" si="177"/>
        <v>72</v>
      </c>
      <c r="NP73" s="186">
        <f t="shared" si="305"/>
        <v>112</v>
      </c>
      <c r="NQ73" s="186">
        <f t="shared" si="263"/>
        <v>37.3333333333333</v>
      </c>
      <c r="NR73" s="135" t="str">
        <f t="shared" si="179"/>
        <v>E</v>
      </c>
      <c r="NS73" s="151" t="str">
        <f>VLOOKUP(RANK(NQ73,$NQ$10:$NQ$109),Sheet1!$A$381:$B$480,2,FALSE)</f>
        <v>82nd</v>
      </c>
      <c r="NT73" s="186"/>
      <c r="NU73" s="186"/>
      <c r="NV73" s="186">
        <f t="shared" si="180"/>
        <v>0</v>
      </c>
      <c r="NW73" s="186" t="str">
        <f t="shared" si="181"/>
        <v>0</v>
      </c>
      <c r="NX73" s="186" t="str">
        <f t="shared" si="182"/>
        <v>0</v>
      </c>
      <c r="NY73" s="186">
        <f t="shared" si="306"/>
        <v>0</v>
      </c>
      <c r="NZ73" s="186">
        <f t="shared" si="264"/>
        <v>0</v>
      </c>
      <c r="OA73" s="135" t="str">
        <f t="shared" si="184"/>
        <v>F</v>
      </c>
      <c r="OB73" s="151" t="str">
        <f>VLOOKUP(RANK(NZ73,$NZ$10:$NZ$109),Sheet1!$A$381:$B$480,2,FALSE)</f>
        <v>1st</v>
      </c>
      <c r="OC73" s="186"/>
      <c r="OD73" s="186"/>
      <c r="OE73" s="186">
        <f t="shared" si="185"/>
        <v>0</v>
      </c>
      <c r="OF73" s="186" t="str">
        <f t="shared" si="186"/>
        <v>0</v>
      </c>
      <c r="OG73" s="186" t="str">
        <f t="shared" si="187"/>
        <v>0</v>
      </c>
      <c r="OH73" s="186">
        <f t="shared" si="307"/>
        <v>0</v>
      </c>
      <c r="OI73" s="186">
        <f t="shared" si="236"/>
        <v>0</v>
      </c>
      <c r="OJ73" s="135" t="str">
        <f t="shared" si="188"/>
        <v>F</v>
      </c>
      <c r="OK73" s="151" t="str">
        <f>VLOOKUP(RANK(OI73,$OI$10:$OI$109),Sheet1!$A$381:$B$480,2,FALSE)</f>
        <v>1st</v>
      </c>
      <c r="OL73" s="151"/>
      <c r="OM73" s="151"/>
      <c r="ON73" s="151">
        <f t="shared" si="308"/>
        <v>0</v>
      </c>
      <c r="OO73" s="151" t="str">
        <f t="shared" si="309"/>
        <v>0</v>
      </c>
      <c r="OP73" s="151" t="str">
        <f t="shared" si="310"/>
        <v>0</v>
      </c>
      <c r="OQ73" s="151">
        <f t="shared" si="311"/>
        <v>0</v>
      </c>
      <c r="OR73" s="151">
        <f t="shared" si="312"/>
        <v>0</v>
      </c>
      <c r="OS73" s="135" t="str">
        <f t="shared" si="189"/>
        <v>F</v>
      </c>
      <c r="OT73" s="151" t="str">
        <f>VLOOKUP(RANK(OR73,$OI$10:$OI$109),Sheet1!$A$381:$B$480,2,FALSE)</f>
        <v>1st</v>
      </c>
      <c r="OU73" s="151">
        <f t="shared" si="313"/>
        <v>377</v>
      </c>
      <c r="OV73" s="151">
        <f t="shared" si="314"/>
        <v>22.176470588235301</v>
      </c>
      <c r="OW73" s="151" t="str">
        <f>VLOOKUP(RANK(OV73,$OV$10:$OV$109),Sheet1!$A$381:$B$480,2,FALSE)</f>
        <v>70th</v>
      </c>
      <c r="OX73" s="151"/>
      <c r="OY73" s="186"/>
      <c r="OZ73" s="186"/>
      <c r="PA73" s="186"/>
      <c r="PB73" s="186"/>
    </row>
    <row r="74" spans="1:418" s="118" customFormat="1" ht="18.75">
      <c r="A74" s="131">
        <v>65</v>
      </c>
      <c r="B74" s="132" t="s">
        <v>164</v>
      </c>
      <c r="C74" s="133" t="s">
        <v>97</v>
      </c>
      <c r="D74" s="134">
        <v>24</v>
      </c>
      <c r="E74" s="134">
        <v>40</v>
      </c>
      <c r="F74" s="137">
        <f t="shared" ref="F74:F110" si="315">SUM(D74:E74)</f>
        <v>64</v>
      </c>
      <c r="G74" s="137">
        <f t="shared" ref="G74:G110" si="316">SUM(D74:E74)</f>
        <v>64</v>
      </c>
      <c r="H74" s="135" t="str">
        <f t="shared" si="265"/>
        <v>B</v>
      </c>
      <c r="I74" s="135" t="str">
        <f>VLOOKUP(RANK(G74,$G$10:$G$109),Sheet1!$A$381:$B$480,2,FALSE)</f>
        <v>67th</v>
      </c>
      <c r="J74" s="134">
        <v>21</v>
      </c>
      <c r="K74" s="134">
        <v>29</v>
      </c>
      <c r="L74" s="137">
        <f t="shared" ref="L74:L110" si="317">SUM(J74:K74)</f>
        <v>50</v>
      </c>
      <c r="M74" s="137">
        <f t="shared" ref="M74:M110" si="318">SUM(J74:K74)</f>
        <v>50</v>
      </c>
      <c r="N74" s="135" t="str">
        <f t="shared" ref="N74:N110" si="319">IF(M74&gt;=75,"A",IF(M74&gt;=60,"B",IF(M74&gt;=50,"C",IF(M74&gt;=40,"D",IF(M74&gt;=35,"E","F")))))</f>
        <v>C</v>
      </c>
      <c r="O74" s="141" t="str">
        <f>VLOOKUP(RANK(M74,$M$10:$M$109),Sheet1!$A$381:$B$480,2,FALSE)</f>
        <v>67th</v>
      </c>
      <c r="P74" s="144">
        <v>30</v>
      </c>
      <c r="Q74" s="144">
        <v>20</v>
      </c>
      <c r="R74" s="147">
        <f t="shared" ref="R74:R110" si="320">SUM(P74:Q74)</f>
        <v>50</v>
      </c>
      <c r="S74" s="137">
        <f t="shared" ref="S74:S110" si="321">SUM(P74:Q74)</f>
        <v>50</v>
      </c>
      <c r="T74" s="135" t="str">
        <f t="shared" ref="T74:T110" si="322">IF(S74&gt;=75,"A",IF(S74&gt;=60,"B",IF(S74&gt;=50,"C",IF(S74&gt;=40,"D",IF(S74&gt;=35,"E","F")))))</f>
        <v>C</v>
      </c>
      <c r="U74" s="135" t="str">
        <f>VLOOKUP(RANK(S74,$S$10:$S$109),Sheet1!$A$381:$B$480,2,FALSE)</f>
        <v>29th</v>
      </c>
      <c r="V74" s="134">
        <v>29</v>
      </c>
      <c r="W74" s="134">
        <v>21</v>
      </c>
      <c r="X74" s="137">
        <f t="shared" si="191"/>
        <v>50</v>
      </c>
      <c r="Y74" s="137">
        <f t="shared" si="244"/>
        <v>50</v>
      </c>
      <c r="Z74" s="135" t="str">
        <f t="shared" ref="Z74:Z110" si="323">IF(Y74&gt;=75,"A",IF(Y74&gt;=60,"B",IF(Y74&gt;=50,"C",IF(Y74&gt;=40,"D",IF(Y74&gt;=35,"E","F")))))</f>
        <v>C</v>
      </c>
      <c r="AA74" s="135" t="str">
        <f>VLOOKUP(RANK(Y74,$Y$10:$Y$109),Sheet1!$A$381:$B$480,2,FALSE)</f>
        <v>67th</v>
      </c>
      <c r="AB74" s="134">
        <v>26</v>
      </c>
      <c r="AC74" s="134">
        <v>13</v>
      </c>
      <c r="AD74" s="137">
        <f t="shared" ref="AD74:AD110" si="324">SUM(AB74:AC74)</f>
        <v>39</v>
      </c>
      <c r="AE74" s="137">
        <f t="shared" ref="AE74:AE110" si="325">SUM(AB74:AC74)</f>
        <v>39</v>
      </c>
      <c r="AF74" s="135" t="str">
        <f t="shared" ref="AF74:AF110" si="326">IF(AE74&gt;=75,"A",IF(AE74&gt;=60,"B",IF(AE74&gt;=50,"C",IF(AE74&gt;=40,"D",IF(AE74&gt;=35,"E","F")))))</f>
        <v>E</v>
      </c>
      <c r="AG74" s="135" t="str">
        <f>VLOOKUP(RANK(AE74,$AE$10:$AE$109),Sheet1!$A$381:$B$480,2,FALSE)</f>
        <v>79th</v>
      </c>
      <c r="AH74" s="137"/>
      <c r="AI74" s="137"/>
      <c r="AJ74" s="137">
        <f t="shared" ref="AJ74:AJ110" si="327">SUM(AH74:AI74)</f>
        <v>0</v>
      </c>
      <c r="AK74" s="137">
        <f t="shared" ref="AK74:AK110" si="328">SUM(AH74:AI74)</f>
        <v>0</v>
      </c>
      <c r="AL74" s="135" t="str">
        <f t="shared" ref="AL74:AL110" si="329">IF(AK74&gt;=75,"A",IF(AK74&gt;=60,"B",IF(AK74&gt;=50,"C",IF(AK74&gt;=40,"D",IF(AK74&gt;=35,"E","F")))))</f>
        <v>F</v>
      </c>
      <c r="AM74" s="135" t="str">
        <f>VLOOKUP(RANK(AK74,$AK$10:$AK$109),Sheet1!$A$381:$B$480,2,FALSE)</f>
        <v>1st</v>
      </c>
      <c r="AN74" s="134"/>
      <c r="AO74" s="134"/>
      <c r="AP74" s="137">
        <f t="shared" ref="AP74:AP110" si="330">SUM(AN74:AO74)</f>
        <v>0</v>
      </c>
      <c r="AQ74" s="137">
        <f t="shared" ref="AQ74:AQ110" si="331">SUM(AN74:AO74)</f>
        <v>0</v>
      </c>
      <c r="AR74" s="135" t="str">
        <f t="shared" ref="AR74:AR110" si="332">IF(AQ74&gt;=75,"A",IF(AQ74&gt;=60,"B",IF(AQ74&gt;=50,"C",IF(AQ74&gt;=40,"D",IF(AQ74&gt;=35,"E","F")))))</f>
        <v>F</v>
      </c>
      <c r="AS74" s="135" t="str">
        <f>VLOOKUP(RANK(AQ74,$AQ$10:$AQ$109),Sheet1!$A$381:$B$480,2,FALSE)</f>
        <v>1st</v>
      </c>
      <c r="AT74" s="144">
        <v>25</v>
      </c>
      <c r="AU74" s="144">
        <v>28</v>
      </c>
      <c r="AV74" s="137">
        <f t="shared" ref="AV74:AV110" si="333">SUM(AT74:AU74)</f>
        <v>53</v>
      </c>
      <c r="AW74" s="137">
        <f t="shared" ref="AW74:AW110" si="334">SUM(AT74:AU74)</f>
        <v>53</v>
      </c>
      <c r="AX74" s="135" t="str">
        <f t="shared" ref="AX74:AX110" si="335">IF(AW74&gt;=75,"A",IF(AW74&gt;=60,"B",IF(AW74&gt;=50,"C",IF(AW74&gt;=40,"D",IF(AW74&gt;=35,"E","F")))))</f>
        <v>C</v>
      </c>
      <c r="AY74" s="141" t="str">
        <f>VLOOKUP(RANK(AW74,$AW$10:$AW$109),Sheet1!$A$381:$B$480,2,FALSE)</f>
        <v>28th</v>
      </c>
      <c r="AZ74" s="144">
        <v>33</v>
      </c>
      <c r="BA74" s="144">
        <v>25</v>
      </c>
      <c r="BB74" s="147">
        <f t="shared" ref="BB74:BB110" si="336">SUM(AZ74:BA74)</f>
        <v>58</v>
      </c>
      <c r="BC74" s="137">
        <f t="shared" ref="BC74:BC110" si="337">SUM(AZ74:BA74)</f>
        <v>58</v>
      </c>
      <c r="BD74" s="135" t="str">
        <f t="shared" ref="BD74:BD110" si="338">IF(BC74&gt;=75,"A",IF(BC74&gt;=60,"B",IF(BC74&gt;=50,"C",IF(BC74&gt;=40,"D",IF(BC74&gt;=35,"E","F")))))</f>
        <v>C</v>
      </c>
      <c r="BE74" s="135" t="str">
        <f>VLOOKUP(RANK(BC74,$BC$10:$BC$109),Sheet1!$A$381:$B$480,2,FALSE)</f>
        <v>33rd</v>
      </c>
      <c r="BF74" s="144">
        <v>16</v>
      </c>
      <c r="BG74" s="144">
        <v>16</v>
      </c>
      <c r="BH74" s="137">
        <f t="shared" ref="BH74:BH110" si="339">SUM(BF74:BG74)</f>
        <v>32</v>
      </c>
      <c r="BI74" s="137">
        <f t="shared" ref="BI74:BI110" si="340">SUM(BF74:BG74)</f>
        <v>32</v>
      </c>
      <c r="BJ74" s="135" t="str">
        <f t="shared" ref="BJ74:BJ110" si="341">IF(BI74&gt;=75,"A",IF(BI74&gt;=60,"B",IF(BI74&gt;=50,"C",IF(BI74&gt;=40,"D",IF(BI74&gt;=35,"E","F")))))</f>
        <v>F</v>
      </c>
      <c r="BK74" s="141" t="str">
        <f>VLOOKUP(RANK(BI74,$BI$10:$BI$109),Sheet1!$A$381:$B$480,2,FALSE)</f>
        <v>58th</v>
      </c>
      <c r="BL74" s="149">
        <v>25</v>
      </c>
      <c r="BM74" s="149">
        <v>27</v>
      </c>
      <c r="BN74" s="147">
        <f t="shared" ref="BN74:BN110" si="342">SUM(BL74:BM74)</f>
        <v>52</v>
      </c>
      <c r="BO74" s="137">
        <f t="shared" ref="BO74:BO110" si="343">SUM(BL74:BM74)</f>
        <v>52</v>
      </c>
      <c r="BP74" s="135" t="str">
        <f t="shared" ref="BP74:BP110" si="344">IF(BO74&gt;=75,"A",IF(BO74&gt;=60,"B",IF(BO74&gt;=50,"C",IF(BO74&gt;=40,"D",IF(BO74&gt;=35,"E","F")))))</f>
        <v>C</v>
      </c>
      <c r="BQ74" s="141" t="str">
        <f>VLOOKUP(RANK(BO74,$BO$10:$BO$109),Sheet1!$A$381:$B$480,2,FALSE)</f>
        <v>56th</v>
      </c>
      <c r="BR74" s="149">
        <v>28</v>
      </c>
      <c r="BS74" s="149">
        <v>17</v>
      </c>
      <c r="BT74" s="147">
        <f t="shared" ref="BT74:BT110" si="345">SUM(BR74:BS74)</f>
        <v>45</v>
      </c>
      <c r="BU74" s="137">
        <f t="shared" ref="BU74:BU110" si="346">SUM(BR74:BS74)</f>
        <v>45</v>
      </c>
      <c r="BV74" s="135" t="str">
        <f t="shared" ref="BV74:BV110" si="347">IF(BU74&gt;=75,"A",IF(BU74&gt;=60,"B",IF(BU74&gt;=50,"C",IF(BU74&gt;=40,"D",IF(BU74&gt;=35,"E","F")))))</f>
        <v>D</v>
      </c>
      <c r="BW74" s="135" t="str">
        <f>VLOOKUP(RANK(BU74,$BU$10:$BU$109),Sheet1!$A$381:$B$480,2,FALSE)</f>
        <v>46th</v>
      </c>
      <c r="BX74" s="149">
        <v>32</v>
      </c>
      <c r="BY74" s="149">
        <v>13</v>
      </c>
      <c r="BZ74" s="137">
        <f t="shared" ref="BZ74:BZ110" si="348">SUM(BX74:BY74)</f>
        <v>45</v>
      </c>
      <c r="CA74" s="137">
        <f t="shared" ref="CA74:CA110" si="349">SUM(BX74:BY74)</f>
        <v>45</v>
      </c>
      <c r="CB74" s="135" t="str">
        <f t="shared" ref="CB74:CB110" si="350">IF(CA74&gt;=75,"A",IF(CA74&gt;=60,"B",IF(CA74&gt;=50,"C",IF(CA74&gt;=40,"D",IF(CA74&gt;=35,"E","F")))))</f>
        <v>D</v>
      </c>
      <c r="CC74" s="135" t="str">
        <f>VLOOKUP(RANK(CA74,$CA$10:$CA$109),Sheet1!$A$381:$B$480,2,FALSE)</f>
        <v>13th</v>
      </c>
      <c r="CD74" s="149">
        <v>22</v>
      </c>
      <c r="CE74" s="149">
        <v>20</v>
      </c>
      <c r="CF74" s="137">
        <f t="shared" ref="CF74:CF110" si="351">SUM(CD74:CE74)</f>
        <v>42</v>
      </c>
      <c r="CG74" s="137">
        <f t="shared" ref="CG74:CG110" si="352">SUM(CD74:CE74)</f>
        <v>42</v>
      </c>
      <c r="CH74" s="135" t="str">
        <f t="shared" ref="CH74:CH110" si="353">IF(CG74&gt;=75,"A",IF(CG74&gt;=60,"B",IF(CG74&gt;=50,"C",IF(CG74&gt;=40,"D",IF(CG74&gt;=35,"E","F")))))</f>
        <v>D</v>
      </c>
      <c r="CI74" s="135" t="str">
        <f>VLOOKUP(RANK(CG74,$CG$10:$CG$109),Sheet1!$A$381:$B$480,2,FALSE)</f>
        <v>87th</v>
      </c>
      <c r="CJ74" s="137"/>
      <c r="CK74" s="137"/>
      <c r="CL74" s="137">
        <f t="shared" ref="CL74:CL110" si="354">SUM(CJ74:CK74)</f>
        <v>0</v>
      </c>
      <c r="CM74" s="137">
        <f t="shared" ref="CM74:CM110" si="355">SUM(CJ74:CK74)</f>
        <v>0</v>
      </c>
      <c r="CN74" s="135" t="str">
        <f t="shared" ref="CN74:CN110" si="356">IF(CM74&gt;=75,"A",IF(CM74&gt;=60,"B",IF(CM74&gt;=50,"C",IF(CM74&gt;=40,"D",IF(CM74&gt;=35,"E","F")))))</f>
        <v>F</v>
      </c>
      <c r="CO74" s="135" t="str">
        <f>VLOOKUP(RANK(CM74,$CM$10:$CM$109),Sheet1!$A$381:$B$480,2,FALSE)</f>
        <v>1st</v>
      </c>
      <c r="CP74" s="137"/>
      <c r="CQ74" s="137"/>
      <c r="CR74" s="137">
        <f t="shared" ref="CR74:CR110" si="357">SUM(CP74:CQ74)</f>
        <v>0</v>
      </c>
      <c r="CS74" s="137">
        <f t="shared" ref="CS74:CS110" si="358">SUM(CP74:CQ74)</f>
        <v>0</v>
      </c>
      <c r="CT74" s="135" t="str">
        <f t="shared" ref="CT74:CT110" si="359">IF(CS74&gt;=75,"A",IF(CS74&gt;=60,"B",IF(CS74&gt;=50,"C",IF(CS74&gt;=40,"D",IF(CS74&gt;=35,"E","F")))))</f>
        <v>F</v>
      </c>
      <c r="CU74" s="135" t="str">
        <f>VLOOKUP(RANK(CS74,$CS$10:$CS$109),Sheet1!$A$381:$B$480,2,FALSE)</f>
        <v>1st</v>
      </c>
      <c r="CV74" s="151"/>
      <c r="CW74" s="135"/>
      <c r="CX74" s="151">
        <f t="shared" si="266"/>
        <v>0</v>
      </c>
      <c r="CY74" s="151">
        <f t="shared" si="267"/>
        <v>0</v>
      </c>
      <c r="CZ74" s="135" t="str">
        <f t="shared" ref="CZ74:CZ110" si="360">IF(CY74&gt;=75,"A",IF(CY74&gt;=60,"B",IF(CY74&gt;=50,"C",IF(CY74&gt;=40,"D",IF(CY74&gt;=35,"E","F")))))</f>
        <v>F</v>
      </c>
      <c r="DA74" s="135" t="str">
        <f>VLOOKUP(RANK(CY74,$CY$10:$CY$109),Sheet1!$A$381:$B$480,2,FALSE)</f>
        <v>1st</v>
      </c>
      <c r="DB74" s="135"/>
      <c r="DC74" s="151">
        <f t="shared" si="268"/>
        <v>580</v>
      </c>
      <c r="DD74" s="151">
        <f t="shared" si="269"/>
        <v>34.117647058823501</v>
      </c>
      <c r="DE74" s="135" t="str">
        <f>VLOOKUP(RANK(DD74,$DD$10:$DD$109),Sheet1!$A$381:$B$480,2,FALSE)</f>
        <v>63rd</v>
      </c>
      <c r="DF74" s="137"/>
      <c r="DG74" s="160">
        <f t="shared" ref="DG74:DG110" si="361">SUM(DC74:DD74)</f>
        <v>614.11764705882399</v>
      </c>
      <c r="DH74" s="119"/>
      <c r="DI74" s="162">
        <v>32</v>
      </c>
      <c r="DJ74" s="162">
        <v>55</v>
      </c>
      <c r="DK74" s="137">
        <f t="shared" ref="DK74:DK110" si="362">SUM(DI74:DJ74)</f>
        <v>87</v>
      </c>
      <c r="DL74" s="137" t="str">
        <f t="shared" ref="DL74:DL110" si="363">REPT(G74,1)</f>
        <v>64</v>
      </c>
      <c r="DM74" s="137">
        <f t="shared" ref="DM74:DM110" si="364">DK74+DL74</f>
        <v>151</v>
      </c>
      <c r="DN74" s="137">
        <f t="shared" ref="DN74:DN110" si="365">DM74/2</f>
        <v>75.5</v>
      </c>
      <c r="DO74" s="135" t="str">
        <f t="shared" ref="DO74:DO110" si="366">IF(DN74&gt;=75,"A",IF(DN74&gt;=60,"B",IF(DN74&gt;=50,"C",IF(DN74&gt;=40,"D",IF(DN74&gt;=35,"E","F")))))</f>
        <v>A</v>
      </c>
      <c r="DP74" s="135" t="str">
        <f>VLOOKUP(RANK(DN74,$DN$10:$DN$109),Sheet1!$A$381:$B$480,2,FALSE)</f>
        <v>18th</v>
      </c>
      <c r="DQ74" s="166">
        <v>29</v>
      </c>
      <c r="DR74" s="166">
        <v>18</v>
      </c>
      <c r="DS74" s="137">
        <f t="shared" ref="DS74:DS110" si="367">SUM(DQ74:DR74)</f>
        <v>47</v>
      </c>
      <c r="DT74" s="137" t="str">
        <f t="shared" ref="DT74:DT110" si="368">REPT(M74,1)</f>
        <v>50</v>
      </c>
      <c r="DU74" s="137">
        <f t="shared" ref="DU74:DU110" si="369">DS74+DT74</f>
        <v>97</v>
      </c>
      <c r="DV74" s="137">
        <f t="shared" ref="DV74:DV110" si="370">DU74/2</f>
        <v>48.5</v>
      </c>
      <c r="DW74" s="135" t="str">
        <f t="shared" ref="DW74:DW110" si="371">IF(DV74&gt;=75,"A",IF(DV74&gt;=60,"B",IF(DV74&gt;=50,"C",IF(DV74&gt;=40,"D",IF(DV74&gt;=35,"E","F")))))</f>
        <v>D</v>
      </c>
      <c r="DX74" s="135" t="str">
        <f>VLOOKUP(RANK(DV74,$DV$10:$DV$109),Sheet1!$A$381:$B$480,2,FALSE)</f>
        <v>51st</v>
      </c>
      <c r="DY74" s="168">
        <v>33</v>
      </c>
      <c r="DZ74" s="168">
        <v>29</v>
      </c>
      <c r="EA74" s="137">
        <f t="shared" ref="EA74:EA110" si="372">SUM(DY74:DZ74)</f>
        <v>62</v>
      </c>
      <c r="EB74" s="137" t="str">
        <f t="shared" ref="EB74:EB110" si="373">REPT(S74,1)</f>
        <v>50</v>
      </c>
      <c r="EC74" s="137">
        <f t="shared" ref="EC74:EC110" si="374">EA74+EB74</f>
        <v>112</v>
      </c>
      <c r="ED74" s="137">
        <f t="shared" ref="ED74:ED110" si="375">EC74/2</f>
        <v>56</v>
      </c>
      <c r="EE74" s="135" t="str">
        <f t="shared" ref="EE74:EE110" si="376">IF(ED74&gt;=75,"A",IF(ED74&gt;=60,"B",IF(ED74&gt;=50,"C",IF(ED74&gt;=40,"D",IF(ED74&gt;=35,"E","F")))))</f>
        <v>C</v>
      </c>
      <c r="EF74" s="135" t="str">
        <f>VLOOKUP(RANK(ED74,$ED$10:$ED$109),Sheet1!$A$381:$B$480,2,FALSE)</f>
        <v>22nd</v>
      </c>
      <c r="EG74" s="162">
        <v>26</v>
      </c>
      <c r="EH74" s="162">
        <v>33</v>
      </c>
      <c r="EI74" s="137">
        <f t="shared" ref="EI74:EI110" si="377">SUM(EG74:EH74)</f>
        <v>59</v>
      </c>
      <c r="EJ74" s="137" t="str">
        <f t="shared" ref="EJ74:EJ110" si="378">REPT(X74,1)</f>
        <v>50</v>
      </c>
      <c r="EK74" s="137">
        <f t="shared" ref="EK74:EK110" si="379">EI74+EJ74</f>
        <v>109</v>
      </c>
      <c r="EL74" s="137">
        <f t="shared" ref="EL74:EL110" si="380">EK74/2</f>
        <v>54.5</v>
      </c>
      <c r="EM74" s="135" t="str">
        <f t="shared" ref="EM74:EM110" si="381">IF(EL74&gt;=75,"A",IF(EL74&gt;=60,"B",IF(EL74&gt;=50,"C",IF(EL74&gt;=40,"D",IF(EL74&gt;=35,"E","F")))))</f>
        <v>C</v>
      </c>
      <c r="EN74" s="135" t="str">
        <f>VLOOKUP(RANK(EL74,$EL$10:$EL$109),Sheet1!$A$381:$B$480,2,FALSE)</f>
        <v>48th</v>
      </c>
      <c r="EO74" s="162">
        <v>29</v>
      </c>
      <c r="EP74" s="162">
        <v>16</v>
      </c>
      <c r="EQ74" s="137">
        <f t="shared" ref="EQ74:EQ110" si="382">SUM(EO74:EP74)</f>
        <v>45</v>
      </c>
      <c r="ER74" s="137" t="str">
        <f t="shared" ref="ER74:ER110" si="383">REPT(AE74,1)</f>
        <v>39</v>
      </c>
      <c r="ES74" s="137">
        <f t="shared" ref="ES74:ES110" si="384">EQ74+ER74</f>
        <v>84</v>
      </c>
      <c r="ET74" s="137">
        <f t="shared" ref="ET74:ET110" si="385">ES74/2</f>
        <v>42</v>
      </c>
      <c r="EU74" s="135" t="str">
        <f t="shared" ref="EU74:EU110" si="386">IF(ET74&gt;=75,"A",IF(ET74&gt;=60,"B",IF(ET74&gt;=50,"C",IF(ET74&gt;=40,"D",IF(ET74&gt;=35,"E","F")))))</f>
        <v>D</v>
      </c>
      <c r="EV74" s="135" t="str">
        <f>VLOOKUP(RANK(ET74,$ET$10:$ET$109),Sheet1!$A$381:$B$480,2,FALSE)</f>
        <v>72nd</v>
      </c>
      <c r="EW74" s="137"/>
      <c r="EX74" s="137"/>
      <c r="EY74" s="137">
        <f t="shared" ref="EY74:EY110" si="387">SUM(EW74:EX74)</f>
        <v>0</v>
      </c>
      <c r="EZ74" s="137" t="str">
        <f t="shared" ref="EZ74:EZ110" si="388">REPT(AK74,1)</f>
        <v>0</v>
      </c>
      <c r="FA74" s="137">
        <f t="shared" ref="FA74:FA110" si="389">EY74+EZ74</f>
        <v>0</v>
      </c>
      <c r="FB74" s="137">
        <f t="shared" ref="FB74:FB110" si="390">FA74/2</f>
        <v>0</v>
      </c>
      <c r="FC74" s="135" t="str">
        <f t="shared" ref="FC74:FC110" si="391">IF(FB74&gt;=75,"A",IF(FB74&gt;=60,"B",IF(FB74&gt;=50,"C",IF(FB74&gt;=40,"D",IF(FB74&gt;=35,"E","F")))))</f>
        <v>F</v>
      </c>
      <c r="FD74" s="135" t="str">
        <f>VLOOKUP(RANK(FB74,$FB$10:$FB$109),Sheet1!$A$381:$B$480,2,FALSE)</f>
        <v>1st</v>
      </c>
      <c r="FE74" s="137"/>
      <c r="FF74" s="137"/>
      <c r="FG74" s="137">
        <f t="shared" ref="FG74:FG110" si="392">SUM(FE74:FF74)</f>
        <v>0</v>
      </c>
      <c r="FH74" s="137" t="str">
        <f t="shared" ref="FH74:FH110" si="393">REPT(AQ74,1)</f>
        <v>0</v>
      </c>
      <c r="FI74" s="137">
        <f t="shared" ref="FI74:FI110" si="394">FG74+FH74</f>
        <v>0</v>
      </c>
      <c r="FJ74" s="137">
        <f t="shared" ref="FJ74:FJ110" si="395">FI74/2</f>
        <v>0</v>
      </c>
      <c r="FK74" s="135" t="str">
        <f t="shared" ref="FK74:FK110" si="396">IF(FJ74&gt;=75,"A",IF(FJ74&gt;=60,"B",IF(FJ74&gt;=50,"C",IF(FJ74&gt;=40,"D",IF(FJ74&gt;=35,"E","F")))))</f>
        <v>F</v>
      </c>
      <c r="FL74" s="135" t="str">
        <f>VLOOKUP(RANK(FJ74,$FJ$10:$FJ$109),Sheet1!$A$381:$B$480,2,FALSE)</f>
        <v>1st</v>
      </c>
      <c r="FM74" s="166">
        <v>29</v>
      </c>
      <c r="FN74" s="166">
        <v>29</v>
      </c>
      <c r="FO74" s="137">
        <f t="shared" ref="FO74:FO110" si="397">SUM(FM74:FN74)</f>
        <v>58</v>
      </c>
      <c r="FP74" s="137" t="str">
        <f t="shared" ref="FP74:FP110" si="398">REPT(AW74,1)</f>
        <v>53</v>
      </c>
      <c r="FQ74" s="137">
        <f t="shared" ref="FQ74:FQ110" si="399">FO74+FP74</f>
        <v>111</v>
      </c>
      <c r="FR74" s="137">
        <f t="shared" ref="FR74:FR110" si="400">FQ74/2</f>
        <v>55.5</v>
      </c>
      <c r="FS74" s="135" t="str">
        <f t="shared" ref="FS74:FS110" si="401">IF(FR74&gt;=75,"A",IF(FR74&gt;=60,"B",IF(FR74&gt;=50,"C",IF(FR74&gt;=40,"D",IF(FR74&gt;=35,"E","F")))))</f>
        <v>C</v>
      </c>
      <c r="FT74" s="135" t="str">
        <f>VLOOKUP(RANK(FR74,$FR$10:$FR$109),Sheet1!$A$381:$B$480,2,FALSE)</f>
        <v>20th</v>
      </c>
      <c r="FU74" s="149">
        <v>38</v>
      </c>
      <c r="FV74" s="149">
        <v>25</v>
      </c>
      <c r="FW74" s="137">
        <f t="shared" ref="FW74:FW110" si="402">SUM(FU74:FV74)</f>
        <v>63</v>
      </c>
      <c r="FX74" s="137" t="str">
        <f t="shared" ref="FX74:FX110" si="403">REPT(BB74,1)</f>
        <v>58</v>
      </c>
      <c r="FY74" s="137">
        <f t="shared" si="196"/>
        <v>63</v>
      </c>
      <c r="FZ74" s="137">
        <f t="shared" ref="FZ74:FZ110" si="404">FY74/2</f>
        <v>31.5</v>
      </c>
      <c r="GA74" s="135" t="str">
        <f t="shared" ref="GA74:GA110" si="405">IF(FZ74&gt;=75,"A",IF(FZ74&gt;=60,"B",IF(FZ74&gt;=50,"C",IF(FZ74&gt;=40,"D",IF(FZ74&gt;=35,"E","F")))))</f>
        <v>F</v>
      </c>
      <c r="GB74" s="135" t="str">
        <f>VLOOKUP(RANK(FZ74,$FZ$10:$FZ$109),Sheet1!$A$381:$B$480,2,FALSE)</f>
        <v>13th</v>
      </c>
      <c r="GC74" s="166">
        <v>26</v>
      </c>
      <c r="GD74" s="166">
        <v>29</v>
      </c>
      <c r="GE74" s="137">
        <f t="shared" ref="GE74:GE110" si="406">SUM(GC74:GD74)</f>
        <v>55</v>
      </c>
      <c r="GF74" s="137" t="str">
        <f t="shared" ref="GF74:GF110" si="407">REPT(BI74,1)</f>
        <v>32</v>
      </c>
      <c r="GG74" s="135">
        <f t="shared" si="270"/>
        <v>87</v>
      </c>
      <c r="GH74" s="137">
        <f t="shared" si="271"/>
        <v>43.5</v>
      </c>
      <c r="GI74" s="135" t="str">
        <f t="shared" ref="GI74:GI110" si="408">IF(GH74&gt;=75,"A",IF(GH74&gt;=60,"B",IF(GH74&gt;=50,"C",IF(GH74&gt;=40,"D",IF(GH74&gt;=35,"E","F")))))</f>
        <v>D</v>
      </c>
      <c r="GJ74" s="135" t="str">
        <f>VLOOKUP(RANK(GH74,$GH$10:$GH$109),Sheet1!$A$381:$B$480,2,FALSE)</f>
        <v>31st</v>
      </c>
      <c r="GK74" s="166">
        <v>26</v>
      </c>
      <c r="GL74" s="166">
        <v>25</v>
      </c>
      <c r="GM74" s="137">
        <f t="shared" ref="GM74:GM110" si="409">SUM(GK74:GL74)</f>
        <v>51</v>
      </c>
      <c r="GN74" s="137" t="str">
        <f t="shared" ref="GN74:GN110" si="410">REPT(BO74,1)</f>
        <v>52</v>
      </c>
      <c r="GO74" s="135">
        <f t="shared" si="272"/>
        <v>103</v>
      </c>
      <c r="GP74" s="137">
        <f t="shared" ref="GP74:GP110" si="411">GO74/2</f>
        <v>51.5</v>
      </c>
      <c r="GQ74" s="135" t="str">
        <f t="shared" ref="GQ74:GQ110" si="412">IF(GP74&gt;=75,"A",IF(GP74&gt;=60,"B",IF(GP74&gt;=50,"C",IF(GP74&gt;=40,"D",IF(GP74&gt;=35,"E","F")))))</f>
        <v>C</v>
      </c>
      <c r="GR74" s="135" t="str">
        <f>VLOOKUP(RANK(GP74,$GP$10:$GP$109),Sheet1!$A$381:$B$480,2,FALSE)</f>
        <v>12th</v>
      </c>
      <c r="GS74" s="166">
        <v>28</v>
      </c>
      <c r="GT74" s="166">
        <v>40</v>
      </c>
      <c r="GU74" s="137">
        <f t="shared" ref="GU74:GU110" si="413">SUM(GS74:GT74)</f>
        <v>68</v>
      </c>
      <c r="GV74" s="137" t="str">
        <f t="shared" ref="GV74:GV110" si="414">REPT(BU74,1)</f>
        <v>45</v>
      </c>
      <c r="GW74" s="137">
        <f t="shared" ref="GW74:GW110" si="415">GU74+GV74</f>
        <v>113</v>
      </c>
      <c r="GX74" s="137">
        <f t="shared" ref="GX74:GX110" si="416">GW74/2</f>
        <v>56.5</v>
      </c>
      <c r="GY74" s="135" t="str">
        <f t="shared" ref="GY74:GY110" si="417">IF(GX74&gt;=75,"A",IF(GX74&gt;=60,"B",IF(GX74&gt;=50,"C",IF(GX74&gt;=40,"D",IF(GX74&gt;=35,"E","F")))))</f>
        <v>C</v>
      </c>
      <c r="GZ74" s="135" t="str">
        <f>VLOOKUP(RANK(GX74,$GX$10:$GX$109),Sheet1!$A$381:$B$480,2,FALSE)</f>
        <v>33rd</v>
      </c>
      <c r="HA74" s="166">
        <v>30</v>
      </c>
      <c r="HB74" s="166">
        <v>20</v>
      </c>
      <c r="HC74" s="137">
        <f t="shared" ref="HC74:HC110" si="418">SUM(HA74:HB74)</f>
        <v>50</v>
      </c>
      <c r="HD74" s="137" t="str">
        <f t="shared" ref="HD74:HD110" si="419">REPT(CA74,1)</f>
        <v>45</v>
      </c>
      <c r="HE74" s="137">
        <f t="shared" ref="HE74:HE110" si="420">HC74+HD74</f>
        <v>95</v>
      </c>
      <c r="HF74" s="137">
        <f t="shared" ref="HF74:HF110" si="421">HE74/2</f>
        <v>47.5</v>
      </c>
      <c r="HG74" s="135" t="str">
        <f t="shared" ref="HG74:HG110" si="422">IF(HF74&gt;=75,"A",IF(HF74&gt;=60,"B",IF(HF74&gt;=50,"C",IF(HF74&gt;=40,"D",IF(HF74&gt;=35,"E","F")))))</f>
        <v>D</v>
      </c>
      <c r="HH74" s="135" t="str">
        <f>VLOOKUP(RANK(HF74,$HF$10:$HF$109),Sheet1!$A$381:$B$480,2,FALSE)</f>
        <v>15th</v>
      </c>
      <c r="HI74" s="149">
        <v>28</v>
      </c>
      <c r="HJ74" s="149">
        <v>42</v>
      </c>
      <c r="HK74" s="137">
        <f t="shared" ref="HK74:HK110" si="423">SUM(HI74:HJ74)</f>
        <v>70</v>
      </c>
      <c r="HL74" s="137" t="str">
        <f t="shared" ref="HL74:HL110" si="424">REPT(CG74,1)</f>
        <v>42</v>
      </c>
      <c r="HM74" s="137">
        <f t="shared" ref="HM74:HM110" si="425">HK74+HL74</f>
        <v>112</v>
      </c>
      <c r="HN74" s="137">
        <f t="shared" ref="HN74:HN110" si="426">HM74/2</f>
        <v>56</v>
      </c>
      <c r="HO74" s="135" t="str">
        <f t="shared" ref="HO74:HO110" si="427">IF(HN74&gt;=75,"A",IF(HN74&gt;=60,"B",IF(HN74&gt;=50,"C",IF(HN74&gt;=40,"D",IF(HN74&gt;=35,"E","F")))))</f>
        <v>C</v>
      </c>
      <c r="HP74" s="135" t="str">
        <f>VLOOKUP(RANK(HN74,$HN$10:$HN$109),Sheet1!$A$381:$B$480,2,FALSE)</f>
        <v>82nd</v>
      </c>
      <c r="HQ74" s="137"/>
      <c r="HR74" s="137"/>
      <c r="HS74" s="137">
        <f t="shared" ref="HS74:HS110" si="428">SUM(HQ74:HR74)</f>
        <v>0</v>
      </c>
      <c r="HT74" s="137" t="str">
        <f t="shared" ref="HT74:HT110" si="429">REPT(CM74,1)</f>
        <v>0</v>
      </c>
      <c r="HU74" s="137">
        <f t="shared" ref="HU74:HU110" si="430">HS74+HT74</f>
        <v>0</v>
      </c>
      <c r="HV74" s="137">
        <f t="shared" ref="HV74:HV110" si="431">HU74/2</f>
        <v>0</v>
      </c>
      <c r="HW74" s="135" t="str">
        <f t="shared" ref="HW74:HW110" si="432">IF(HV74&gt;=75,"A",IF(HV74&gt;=60,"B",IF(HV74&gt;=50,"C",IF(HV74&gt;=40,"D",IF(HV74&gt;=35,"E","F")))))</f>
        <v>F</v>
      </c>
      <c r="HX74" s="135" t="str">
        <f>VLOOKUP(RANK(HV74,$HV$10:$HV$109),Sheet1!$A$381:$B$480,2,FALSE)</f>
        <v>1st</v>
      </c>
      <c r="HY74" s="137"/>
      <c r="HZ74" s="137"/>
      <c r="IA74" s="137">
        <f t="shared" ref="IA74:IA110" si="433">SUM(HY74:HZ74)</f>
        <v>0</v>
      </c>
      <c r="IB74" s="137" t="str">
        <f t="shared" ref="IB74:IB110" si="434">REPT(CS74,1)</f>
        <v>0</v>
      </c>
      <c r="IC74" s="137">
        <f t="shared" ref="IC74:IC110" si="435">IA74+IB74</f>
        <v>0</v>
      </c>
      <c r="ID74" s="137">
        <f t="shared" ref="ID74:ID110" si="436">IC74/2</f>
        <v>0</v>
      </c>
      <c r="IE74" s="135" t="str">
        <f t="shared" ref="IE74:IE110" si="437">IF(ID74&gt;=75,"A",IF(ID74&gt;=60,"B",IF(ID74&gt;=50,"C",IF(ID74&gt;=40,"D",IF(ID74&gt;=35,"E","F")))))</f>
        <v>F</v>
      </c>
      <c r="IF74" s="135" t="str">
        <f>VLOOKUP(RANK(ID74,$ID$10:$ID$109),Sheet1!$A$381:$B$480,2,FALSE)</f>
        <v>1st</v>
      </c>
      <c r="IG74" s="135"/>
      <c r="IH74" s="135"/>
      <c r="II74" s="135">
        <f t="shared" si="273"/>
        <v>0</v>
      </c>
      <c r="IJ74" s="135" t="str">
        <f t="shared" si="274"/>
        <v>0</v>
      </c>
      <c r="IK74" s="135">
        <f t="shared" si="275"/>
        <v>0</v>
      </c>
      <c r="IL74" s="135">
        <f t="shared" si="276"/>
        <v>0</v>
      </c>
      <c r="IM74" s="135" t="str">
        <f t="shared" ref="IM74:IM110" si="438">IF(IL74&gt;=75,"A",IF(IL74&gt;=60,"B",IF(IL74&gt;=50,"C",IF(IL74&gt;=40,"D",IF(IL74&gt;=35,"E","F")))))</f>
        <v>F</v>
      </c>
      <c r="IN74" s="135" t="str">
        <f>VLOOKUP(RANK(IL74,$IL$10:$IL$109),Sheet1!$A$381:$B$480,2,FALSE)</f>
        <v>1st</v>
      </c>
      <c r="IO74" s="135">
        <f t="shared" si="277"/>
        <v>618.5</v>
      </c>
      <c r="IP74" s="177">
        <f t="shared" si="278"/>
        <v>36.382352941176499</v>
      </c>
      <c r="IQ74" s="135" t="str">
        <f>VLOOKUP(RANK(IP74,$IP$10:$IP$109),Sheet1!$A$381:$B$480,2,FALSE)</f>
        <v>40th</v>
      </c>
      <c r="IR74" s="178"/>
      <c r="IS74" s="137"/>
      <c r="IT74" s="137"/>
      <c r="IU74" s="137"/>
      <c r="IV74" s="137"/>
      <c r="IW74" s="181"/>
      <c r="IX74" s="184"/>
      <c r="IY74" s="186"/>
      <c r="IZ74" s="186">
        <f t="shared" ref="IZ74:IZ110" si="439">SUM(IX74:IY74)</f>
        <v>0</v>
      </c>
      <c r="JA74" s="186" t="str">
        <f t="shared" ref="JA74:JA110" si="440">REPT(G74,1)</f>
        <v>64</v>
      </c>
      <c r="JB74" s="186" t="str">
        <f t="shared" ref="JB74:JB110" si="441">REPT(DK74,1)</f>
        <v>87</v>
      </c>
      <c r="JC74" s="186">
        <f t="shared" si="279"/>
        <v>151</v>
      </c>
      <c r="JD74" s="186">
        <f t="shared" si="280"/>
        <v>50.3333333333333</v>
      </c>
      <c r="JE74" s="135" t="str">
        <f t="shared" ref="JE74:JE110" si="442">IF(JD74&gt;=75,"A",IF(JD74&gt;=60,"B",IF(JD74&gt;=50,"C",IF(JD74&gt;=40,"D",IF(JD74&gt;=35,"E","F")))))</f>
        <v>C</v>
      </c>
      <c r="JF74" s="151" t="str">
        <f>VLOOKUP(RANK(JD74,$JD$10:$JD$109),Sheet1!$A$381:$B$480,2,FALSE)</f>
        <v>18th</v>
      </c>
      <c r="JG74" s="186"/>
      <c r="JH74" s="186"/>
      <c r="JI74" s="186">
        <f t="shared" ref="JI74:JI110" si="443">SUM(JG74:JH74)</f>
        <v>0</v>
      </c>
      <c r="JJ74" s="186" t="str">
        <f t="shared" ref="JJ74:JJ110" si="444">REPT(M74,1)</f>
        <v>50</v>
      </c>
      <c r="JK74" s="186" t="str">
        <f t="shared" ref="JK74:JK110" si="445">REPT(DS74,1)</f>
        <v>47</v>
      </c>
      <c r="JL74" s="186">
        <f t="shared" si="281"/>
        <v>97</v>
      </c>
      <c r="JM74" s="186">
        <f t="shared" si="282"/>
        <v>32.3333333333333</v>
      </c>
      <c r="JN74" s="135" t="str">
        <f t="shared" ref="JN74:JN110" si="446">IF(JM74&gt;=75,"A",IF(JM74&gt;=60,"B",IF(JM74&gt;=50,"C",IF(JM74&gt;=40,"D",IF(JM74&gt;=35,"E","F")))))</f>
        <v>F</v>
      </c>
      <c r="JO74" s="151" t="str">
        <f>VLOOKUP(RANK(JM74,$JM$10:$JM$109),Sheet1!$A$381:$B$480,2,FALSE)</f>
        <v>51st</v>
      </c>
      <c r="JP74" s="186"/>
      <c r="JQ74" s="186"/>
      <c r="JR74" s="186">
        <f t="shared" ref="JR74:JR110" si="447">SUM(JP74:JQ74)</f>
        <v>0</v>
      </c>
      <c r="JS74" s="186" t="str">
        <f t="shared" ref="JS74:JS110" si="448">REPT(S74,1)</f>
        <v>50</v>
      </c>
      <c r="JT74" s="186" t="str">
        <f t="shared" ref="JT74:JT110" si="449">REPT(EA74,1)</f>
        <v>62</v>
      </c>
      <c r="JU74" s="186">
        <f t="shared" si="283"/>
        <v>112</v>
      </c>
      <c r="JV74" s="186">
        <f t="shared" si="284"/>
        <v>37.3333333333333</v>
      </c>
      <c r="JW74" s="135" t="str">
        <f t="shared" ref="JW74:JW110" si="450">IF(JV74&gt;=75,"A",IF(JV74&gt;=60,"B",IF(JV74&gt;=50,"C",IF(JV74&gt;=40,"D",IF(JV74&gt;=35,"E","F")))))</f>
        <v>E</v>
      </c>
      <c r="JX74" s="151" t="str">
        <f>VLOOKUP(RANK(JV74,$JV$10:$JV$109),Sheet1!$A$381:$B$480,2,FALSE)</f>
        <v>22nd</v>
      </c>
      <c r="JY74" s="186"/>
      <c r="JZ74" s="186"/>
      <c r="KA74" s="186">
        <f t="shared" ref="KA74:KA110" si="451">SUM(JY74:JZ74)</f>
        <v>0</v>
      </c>
      <c r="KB74" s="186" t="str">
        <f t="shared" ref="KB74:KB110" si="452">REPT(X74,1)</f>
        <v>50</v>
      </c>
      <c r="KC74" s="186" t="str">
        <f t="shared" ref="KC74:KC110" si="453">REPT(EI74,1)</f>
        <v>59</v>
      </c>
      <c r="KD74" s="186">
        <f t="shared" si="285"/>
        <v>109</v>
      </c>
      <c r="KE74" s="186">
        <f t="shared" si="286"/>
        <v>36.3333333333333</v>
      </c>
      <c r="KF74" s="135" t="str">
        <f t="shared" ref="KF74:KF110" si="454">IF(KE74&gt;=75,"A",IF(KE74&gt;=60,"B",IF(KE74&gt;=50,"C",IF(KE74&gt;=40,"D",IF(KE74&gt;=35,"E","F")))))</f>
        <v>E</v>
      </c>
      <c r="KG74" s="151" t="str">
        <f>VLOOKUP(RANK(KE74,$KE$10:$KE$109),Sheet1!$A$381:$B$480,2,FALSE)</f>
        <v>48th</v>
      </c>
      <c r="KH74" s="186"/>
      <c r="KI74" s="186"/>
      <c r="KJ74" s="186">
        <f t="shared" ref="KJ74:KJ110" si="455">SUM(KH74:KI74)</f>
        <v>0</v>
      </c>
      <c r="KK74" s="186" t="str">
        <f t="shared" ref="KK74:KK110" si="456">REPT(AD74,1)</f>
        <v>39</v>
      </c>
      <c r="KL74" s="186" t="str">
        <f t="shared" ref="KL74:KL110" si="457">REPT(EQ74,1)</f>
        <v>45</v>
      </c>
      <c r="KM74" s="186">
        <f t="shared" si="287"/>
        <v>84</v>
      </c>
      <c r="KN74" s="186">
        <f t="shared" si="288"/>
        <v>28</v>
      </c>
      <c r="KO74" s="135" t="str">
        <f t="shared" ref="KO74:KO110" si="458">IF(KN74&gt;=75,"A",IF(KN74&gt;=60,"B",IF(KN74&gt;=50,"C",IF(KN74&gt;=40,"D",IF(KN74&gt;=35,"E","F")))))</f>
        <v>F</v>
      </c>
      <c r="KP74" s="151" t="str">
        <f>VLOOKUP(RANK(KN74,$KN$10:$KN$109),Sheet1!$A$381:$B$480,2,FALSE)</f>
        <v>72nd</v>
      </c>
      <c r="KQ74" s="186"/>
      <c r="KR74" s="186"/>
      <c r="KS74" s="186">
        <f t="shared" ref="KS74:KS110" si="459">SUM(KQ74:KR74)</f>
        <v>0</v>
      </c>
      <c r="KT74" s="186" t="str">
        <f t="shared" ref="KT74:KT110" si="460">REPT(AK74,1)</f>
        <v>0</v>
      </c>
      <c r="KU74" s="186" t="str">
        <f t="shared" ref="KU74:KU110" si="461">REPT(EY74,1)</f>
        <v>0</v>
      </c>
      <c r="KV74" s="186">
        <f t="shared" si="289"/>
        <v>0</v>
      </c>
      <c r="KW74" s="186">
        <f t="shared" si="290"/>
        <v>0</v>
      </c>
      <c r="KX74" s="135" t="str">
        <f t="shared" ref="KX74:KX110" si="462">IF(KW74&gt;=75,"A",IF(KW74&gt;=60,"B",IF(KW74&gt;=50,"C",IF(KW74&gt;=40,"D",IF(KW74&gt;=35,"E","F")))))</f>
        <v>F</v>
      </c>
      <c r="KY74" s="151" t="str">
        <f>VLOOKUP(RANK(KW74,$KW$10:$KW$109),Sheet1!$A$381:$B$480,2,FALSE)</f>
        <v>1st</v>
      </c>
      <c r="KZ74" s="186"/>
      <c r="LA74" s="186"/>
      <c r="LB74" s="186">
        <f t="shared" ref="LB74:LB110" si="463">SUM(KZ74:LA74)</f>
        <v>0</v>
      </c>
      <c r="LC74" s="186" t="str">
        <f t="shared" ref="LC74:LC110" si="464">REPT(AQ74,1)</f>
        <v>0</v>
      </c>
      <c r="LD74" s="186" t="str">
        <f t="shared" ref="LD74:LD110" si="465">REPT(FG74,1)</f>
        <v>0</v>
      </c>
      <c r="LE74" s="186">
        <f t="shared" si="291"/>
        <v>0</v>
      </c>
      <c r="LF74" s="186">
        <f t="shared" si="292"/>
        <v>0</v>
      </c>
      <c r="LG74" s="135" t="str">
        <f t="shared" ref="LG74:LG110" si="466">IF(LF74&gt;=75,"A",IF(LF74&gt;=60,"B",IF(LF74&gt;=50,"C",IF(LF74&gt;=40,"D",IF(LF74&gt;=35,"E","F")))))</f>
        <v>F</v>
      </c>
      <c r="LH74" s="151" t="str">
        <f>VLOOKUP(RANK(LF74,$LF$10:$LF$109),Sheet1!$A$381:$B$480,2,FALSE)</f>
        <v>1st</v>
      </c>
      <c r="LI74" s="186"/>
      <c r="LJ74" s="186"/>
      <c r="LK74" s="186">
        <f t="shared" ref="LK74:LK110" si="467">SUM(LI74:LJ74)</f>
        <v>0</v>
      </c>
      <c r="LL74" s="186" t="str">
        <f t="shared" ref="LL74:LL110" si="468">REPT(AW74,1)</f>
        <v>53</v>
      </c>
      <c r="LM74" s="186" t="str">
        <f t="shared" ref="LM74:LM110" si="469">REPT(FO74,1)</f>
        <v>58</v>
      </c>
      <c r="LN74" s="186">
        <f t="shared" si="293"/>
        <v>111</v>
      </c>
      <c r="LO74" s="186">
        <f t="shared" si="294"/>
        <v>37</v>
      </c>
      <c r="LP74" s="135" t="str">
        <f t="shared" ref="LP74:LP110" si="470">IF(LO74&gt;=75,"A",IF(LO74&gt;=60,"B",IF(LO74&gt;=50,"C",IF(LO74&gt;=40,"D",IF(LO74&gt;=35,"E","F")))))</f>
        <v>E</v>
      </c>
      <c r="LQ74" s="151" t="str">
        <f>VLOOKUP(RANK(LO74,$LO$10:$LO$109),Sheet1!$A$381:$B$480,2,FALSE)</f>
        <v>20th</v>
      </c>
      <c r="LR74" s="186"/>
      <c r="LS74" s="186"/>
      <c r="LT74" s="186">
        <f t="shared" ref="LT74:LT110" si="471">SUM(LR74:LS74)</f>
        <v>0</v>
      </c>
      <c r="LU74" s="186" t="str">
        <f t="shared" ref="LU74:LU110" si="472">REPT(BB74,1)</f>
        <v>58</v>
      </c>
      <c r="LV74" s="186" t="str">
        <f t="shared" ref="LV74:LV110" si="473">REPT(FW74,1)</f>
        <v>63</v>
      </c>
      <c r="LW74" s="186">
        <f t="shared" si="295"/>
        <v>121</v>
      </c>
      <c r="LX74" s="186">
        <f t="shared" si="296"/>
        <v>40.3333333333333</v>
      </c>
      <c r="LY74" s="135" t="str">
        <f t="shared" ref="LY74:LY110" si="474">IF(LX74&gt;=75,"A",IF(LX74&gt;=60,"B",IF(LX74&gt;=50,"C",IF(LX74&gt;=40,"D",IF(LX74&gt;=35,"E","F")))))</f>
        <v>D</v>
      </c>
      <c r="LZ74" s="151" t="str">
        <f>VLOOKUP(RANK(LX74,$LX$10:$LX$109),Sheet1!$A$381:$B$480,2,FALSE)</f>
        <v>19th</v>
      </c>
      <c r="MA74" s="186"/>
      <c r="MB74" s="186"/>
      <c r="MC74" s="186">
        <f t="shared" ref="MC74:MC110" si="475">SUM(MA74:MB74)</f>
        <v>0</v>
      </c>
      <c r="MD74" s="186" t="str">
        <f t="shared" ref="MD74:MD110" si="476">REPT(BI74,1)</f>
        <v>32</v>
      </c>
      <c r="ME74" s="186" t="str">
        <f t="shared" ref="ME74:ME110" si="477">REPT(GE74,1)</f>
        <v>55</v>
      </c>
      <c r="MF74" s="183">
        <f t="shared" si="297"/>
        <v>87</v>
      </c>
      <c r="MG74" s="151">
        <f t="shared" si="298"/>
        <v>29</v>
      </c>
      <c r="MH74" s="135" t="str">
        <f t="shared" ref="MH74:MH110" si="478">IF(MG74&gt;=75,"A",IF(MG74&gt;=60,"B",IF(MG74&gt;=50,"C",IF(MG74&gt;=40,"D",IF(MG74&gt;=35,"E","F")))))</f>
        <v>F</v>
      </c>
      <c r="MI74" s="151" t="str">
        <f>VLOOKUP(RANK(MG74,$MG$10:$MG$109),Sheet1!$A$381:$B$480,2,FALSE)</f>
        <v>31st</v>
      </c>
      <c r="MJ74" s="186"/>
      <c r="MK74" s="186"/>
      <c r="ML74" s="186">
        <f t="shared" ref="ML74:ML110" si="479">SUM(MJ74:MK74)</f>
        <v>0</v>
      </c>
      <c r="MM74" s="186" t="str">
        <f t="shared" ref="MM74:MM110" si="480">REPT(BO74,1)</f>
        <v>52</v>
      </c>
      <c r="MN74" s="186" t="str">
        <f t="shared" ref="MN74:MN110" si="481">REPT(GM74,1)</f>
        <v>51</v>
      </c>
      <c r="MO74" s="186">
        <f t="shared" si="299"/>
        <v>103</v>
      </c>
      <c r="MP74" s="186">
        <f t="shared" si="300"/>
        <v>34.3333333333333</v>
      </c>
      <c r="MQ74" s="135" t="str">
        <f t="shared" ref="MQ74:MQ110" si="482">IF(MP74&gt;=75,"A",IF(MP74&gt;=60,"B",IF(MP74&gt;=50,"C",IF(MP74&gt;=40,"D",IF(MP74&gt;=35,"E","F")))))</f>
        <v>F</v>
      </c>
      <c r="MR74" s="151" t="str">
        <f>VLOOKUP(RANK(MP74,$MP$10:$MP$109),Sheet1!$A$381:$B$480,2,FALSE)</f>
        <v>12th</v>
      </c>
      <c r="MS74" s="186"/>
      <c r="MT74" s="186"/>
      <c r="MU74" s="186">
        <f t="shared" ref="MU74:MU110" si="483">SUM(MS74:MT74)</f>
        <v>0</v>
      </c>
      <c r="MV74" s="186" t="str">
        <f t="shared" ref="MV74:MV110" si="484">REPT(BU74,1)</f>
        <v>45</v>
      </c>
      <c r="MW74" s="186" t="str">
        <f t="shared" ref="MW74:MW110" si="485">REPT(GU74,1)</f>
        <v>68</v>
      </c>
      <c r="MX74" s="186">
        <f t="shared" si="301"/>
        <v>113</v>
      </c>
      <c r="MY74" s="186">
        <f t="shared" si="302"/>
        <v>37.6666666666667</v>
      </c>
      <c r="MZ74" s="135" t="str">
        <f t="shared" ref="MZ74:MZ110" si="486">IF(MY74&gt;=75,"A",IF(MY74&gt;=60,"B",IF(MY74&gt;=50,"C",IF(MY74&gt;=40,"D",IF(MY74&gt;=35,"E","F")))))</f>
        <v>E</v>
      </c>
      <c r="NA74" s="151" t="str">
        <f>VLOOKUP(RANK(MY74,$MY$10:$MY$109),Sheet1!$A$381:$B$480,2,FALSE)</f>
        <v>33rd</v>
      </c>
      <c r="NB74" s="186"/>
      <c r="NC74" s="186"/>
      <c r="ND74" s="186">
        <f t="shared" ref="ND74:ND110" si="487">SUM(NB74:NC74)</f>
        <v>0</v>
      </c>
      <c r="NE74" s="186" t="str">
        <f t="shared" ref="NE74:NE110" si="488">REPT(CA74,1)</f>
        <v>45</v>
      </c>
      <c r="NF74" s="186" t="str">
        <f t="shared" ref="NF74:NF110" si="489">REPT(HC74,1)</f>
        <v>50</v>
      </c>
      <c r="NG74" s="186">
        <f t="shared" si="303"/>
        <v>95</v>
      </c>
      <c r="NH74" s="186">
        <f t="shared" si="304"/>
        <v>31.6666666666667</v>
      </c>
      <c r="NI74" s="135" t="str">
        <f t="shared" ref="NI74:NI110" si="490">IF(NH74&gt;=75,"A",IF(NH74&gt;=60,"B",IF(NH74&gt;=50,"C",IF(NH74&gt;=40,"D",IF(NH74&gt;=35,"E","F")))))</f>
        <v>F</v>
      </c>
      <c r="NJ74" s="151" t="str">
        <f>VLOOKUP(RANK(NH74,$NH$10:$NH$109),Sheet1!$A$381:$B$480,2,FALSE)</f>
        <v>15th</v>
      </c>
      <c r="NK74" s="186"/>
      <c r="NL74" s="186"/>
      <c r="NM74" s="186">
        <f t="shared" ref="NM74:NM110" si="491">SUM(NK74:NL74)</f>
        <v>0</v>
      </c>
      <c r="NN74" s="186" t="str">
        <f t="shared" ref="NN74:NN110" si="492">REPT(CG74,1)</f>
        <v>42</v>
      </c>
      <c r="NO74" s="186" t="str">
        <f t="shared" ref="NO74:NO110" si="493">REPT(HK74,1)</f>
        <v>70</v>
      </c>
      <c r="NP74" s="186">
        <f t="shared" si="305"/>
        <v>112</v>
      </c>
      <c r="NQ74" s="186">
        <f t="shared" ref="NQ74:NQ110" si="494">NP74/3</f>
        <v>37.3333333333333</v>
      </c>
      <c r="NR74" s="135" t="str">
        <f t="shared" ref="NR74:NR110" si="495">IF(NQ74&gt;=75,"A",IF(NQ74&gt;=60,"B",IF(NQ74&gt;=50,"C",IF(NQ74&gt;=40,"D",IF(NQ74&gt;=35,"E","F")))))</f>
        <v>E</v>
      </c>
      <c r="NS74" s="151" t="str">
        <f>VLOOKUP(RANK(NQ74,$NQ$10:$NQ$109),Sheet1!$A$381:$B$480,2,FALSE)</f>
        <v>82nd</v>
      </c>
      <c r="NT74" s="186"/>
      <c r="NU74" s="186"/>
      <c r="NV74" s="186">
        <f t="shared" ref="NV74:NV110" si="496">SUM(NT74:NU74)</f>
        <v>0</v>
      </c>
      <c r="NW74" s="186" t="str">
        <f t="shared" ref="NW74:NW110" si="497">REPT(CM74,1)</f>
        <v>0</v>
      </c>
      <c r="NX74" s="186" t="str">
        <f t="shared" ref="NX74:NX110" si="498">REPT(HS74,1)</f>
        <v>0</v>
      </c>
      <c r="NY74" s="186">
        <f t="shared" si="306"/>
        <v>0</v>
      </c>
      <c r="NZ74" s="186">
        <f t="shared" ref="NZ74:NZ110" si="499">NY74/3</f>
        <v>0</v>
      </c>
      <c r="OA74" s="135" t="str">
        <f t="shared" ref="OA74:OA110" si="500">IF(NZ74&gt;=75,"A",IF(NZ74&gt;=60,"B",IF(NZ74&gt;=50,"C",IF(NZ74&gt;=40,"D",IF(NZ74&gt;=35,"E","F")))))</f>
        <v>F</v>
      </c>
      <c r="OB74" s="151" t="str">
        <f>VLOOKUP(RANK(NZ74,$NZ$10:$NZ$109),Sheet1!$A$381:$B$480,2,FALSE)</f>
        <v>1st</v>
      </c>
      <c r="OC74" s="186"/>
      <c r="OD74" s="186"/>
      <c r="OE74" s="186">
        <f t="shared" ref="OE74:OE110" si="501">SUM(OC74:OD74)</f>
        <v>0</v>
      </c>
      <c r="OF74" s="186" t="str">
        <f t="shared" ref="OF74:OF110" si="502">REPT(CS74,1)</f>
        <v>0</v>
      </c>
      <c r="OG74" s="186" t="str">
        <f t="shared" ref="OG74:OG110" si="503">REPT(IA74,1)</f>
        <v>0</v>
      </c>
      <c r="OH74" s="186">
        <f t="shared" si="307"/>
        <v>0</v>
      </c>
      <c r="OI74" s="186">
        <f t="shared" ref="OI74:OI110" si="504">OH74/2</f>
        <v>0</v>
      </c>
      <c r="OJ74" s="135" t="str">
        <f t="shared" ref="OJ74:OJ110" si="505">IF(OI74&gt;=75,"A",IF(OI74&gt;=60,"B",IF(OI74&gt;=50,"C",IF(OI74&gt;=40,"D",IF(OI74&gt;=35,"E","F")))))</f>
        <v>F</v>
      </c>
      <c r="OK74" s="151" t="str">
        <f>VLOOKUP(RANK(OI74,$OI$10:$OI$109),Sheet1!$A$381:$B$480,2,FALSE)</f>
        <v>1st</v>
      </c>
      <c r="OL74" s="151"/>
      <c r="OM74" s="151"/>
      <c r="ON74" s="151">
        <f t="shared" si="308"/>
        <v>0</v>
      </c>
      <c r="OO74" s="151" t="str">
        <f t="shared" si="309"/>
        <v>0</v>
      </c>
      <c r="OP74" s="151" t="str">
        <f t="shared" si="310"/>
        <v>0</v>
      </c>
      <c r="OQ74" s="151">
        <f t="shared" si="311"/>
        <v>0</v>
      </c>
      <c r="OR74" s="151">
        <f t="shared" si="312"/>
        <v>0</v>
      </c>
      <c r="OS74" s="135" t="str">
        <f t="shared" ref="OS74:OS110" si="506">IF(OR74&gt;=75,"A",IF(OR74&gt;=60,"B",IF(OR74&gt;=50,"C",IF(OR74&gt;=40,"D",IF(OR74&gt;=35,"E","F")))))</f>
        <v>F</v>
      </c>
      <c r="OT74" s="151" t="str">
        <f>VLOOKUP(RANK(OR74,$OI$10:$OI$109),Sheet1!$A$381:$B$480,2,FALSE)</f>
        <v>1st</v>
      </c>
      <c r="OU74" s="151">
        <f t="shared" si="313"/>
        <v>431.66666666666703</v>
      </c>
      <c r="OV74" s="151">
        <f t="shared" si="314"/>
        <v>25.3921568627451</v>
      </c>
      <c r="OW74" s="151" t="str">
        <f>VLOOKUP(RANK(OV74,$OV$10:$OV$109),Sheet1!$A$381:$B$480,2,FALSE)</f>
        <v>41st</v>
      </c>
      <c r="OX74" s="151"/>
      <c r="OY74" s="186"/>
      <c r="OZ74" s="186"/>
      <c r="PA74" s="186"/>
      <c r="PB74" s="186"/>
    </row>
    <row r="75" spans="1:418" s="118" customFormat="1" ht="18.75">
      <c r="A75" s="131">
        <v>66</v>
      </c>
      <c r="B75" s="132" t="s">
        <v>165</v>
      </c>
      <c r="C75" s="133" t="s">
        <v>97</v>
      </c>
      <c r="D75" s="134">
        <v>29</v>
      </c>
      <c r="E75" s="134">
        <v>40</v>
      </c>
      <c r="F75" s="137">
        <f t="shared" si="315"/>
        <v>69</v>
      </c>
      <c r="G75" s="137">
        <f t="shared" si="316"/>
        <v>69</v>
      </c>
      <c r="H75" s="135" t="str">
        <f t="shared" ref="H75:H110" si="507">IF(G75&gt;=75,"A",IF(G75&gt;=60,"B",IF(G75&gt;=50,"C",IF(G75&gt;=40,"D",IF(G75&gt;=35,"E","F")))))</f>
        <v>B</v>
      </c>
      <c r="I75" s="135" t="str">
        <f>VLOOKUP(RANK(G75,$G$10:$G$109),Sheet1!$A$381:$B$480,2,FALSE)</f>
        <v>46th</v>
      </c>
      <c r="J75" s="134">
        <v>37</v>
      </c>
      <c r="K75" s="134">
        <v>54</v>
      </c>
      <c r="L75" s="137">
        <f t="shared" si="317"/>
        <v>91</v>
      </c>
      <c r="M75" s="137">
        <f t="shared" si="318"/>
        <v>91</v>
      </c>
      <c r="N75" s="135" t="str">
        <f t="shared" si="319"/>
        <v>A</v>
      </c>
      <c r="O75" s="141" t="str">
        <f>VLOOKUP(RANK(M75,$M$10:$M$109),Sheet1!$A$381:$B$480,2,FALSE)</f>
        <v>1st</v>
      </c>
      <c r="P75" s="144">
        <v>37</v>
      </c>
      <c r="Q75" s="144">
        <v>38</v>
      </c>
      <c r="R75" s="147">
        <f t="shared" si="320"/>
        <v>75</v>
      </c>
      <c r="S75" s="137">
        <f t="shared" si="321"/>
        <v>75</v>
      </c>
      <c r="T75" s="135" t="str">
        <f t="shared" si="322"/>
        <v>A</v>
      </c>
      <c r="U75" s="135" t="str">
        <f>VLOOKUP(RANK(S75,$S$10:$S$109),Sheet1!$A$381:$B$480,2,FALSE)</f>
        <v>3rd</v>
      </c>
      <c r="V75" s="134">
        <v>23</v>
      </c>
      <c r="W75" s="134">
        <v>53</v>
      </c>
      <c r="X75" s="137">
        <f>SUM(V75:W75)</f>
        <v>76</v>
      </c>
      <c r="Y75" s="137">
        <f t="shared" si="244"/>
        <v>76</v>
      </c>
      <c r="Z75" s="135" t="str">
        <f t="shared" si="323"/>
        <v>A</v>
      </c>
      <c r="AA75" s="135" t="str">
        <f>VLOOKUP(RANK(Y75,$Y$10:$Y$109),Sheet1!$A$381:$B$480,2,FALSE)</f>
        <v>13th</v>
      </c>
      <c r="AB75" s="134">
        <v>38</v>
      </c>
      <c r="AC75" s="134">
        <v>60</v>
      </c>
      <c r="AD75" s="137">
        <f t="shared" si="324"/>
        <v>98</v>
      </c>
      <c r="AE75" s="137">
        <f t="shared" si="325"/>
        <v>98</v>
      </c>
      <c r="AF75" s="135" t="str">
        <f t="shared" si="326"/>
        <v>A</v>
      </c>
      <c r="AG75" s="135" t="str">
        <f>VLOOKUP(RANK(AE75,$AE$10:$AE$109),Sheet1!$A$381:$B$480,2,FALSE)</f>
        <v>1st</v>
      </c>
      <c r="AH75" s="137"/>
      <c r="AI75" s="137"/>
      <c r="AJ75" s="137">
        <f t="shared" si="327"/>
        <v>0</v>
      </c>
      <c r="AK75" s="137">
        <f t="shared" si="328"/>
        <v>0</v>
      </c>
      <c r="AL75" s="135" t="str">
        <f t="shared" si="329"/>
        <v>F</v>
      </c>
      <c r="AM75" s="135" t="str">
        <f>VLOOKUP(RANK(AK75,$AK$10:$AK$109),Sheet1!$A$381:$B$480,2,FALSE)</f>
        <v>1st</v>
      </c>
      <c r="AN75" s="134"/>
      <c r="AO75" s="134"/>
      <c r="AP75" s="137">
        <f t="shared" si="330"/>
        <v>0</v>
      </c>
      <c r="AQ75" s="137">
        <f t="shared" si="331"/>
        <v>0</v>
      </c>
      <c r="AR75" s="135" t="str">
        <f t="shared" si="332"/>
        <v>F</v>
      </c>
      <c r="AS75" s="135" t="str">
        <f>VLOOKUP(RANK(AQ75,$AQ$10:$AQ$109),Sheet1!$A$381:$B$480,2,FALSE)</f>
        <v>1st</v>
      </c>
      <c r="AT75" s="144">
        <v>25</v>
      </c>
      <c r="AU75" s="144">
        <v>45</v>
      </c>
      <c r="AV75" s="137">
        <f t="shared" si="333"/>
        <v>70</v>
      </c>
      <c r="AW75" s="137">
        <f t="shared" si="334"/>
        <v>70</v>
      </c>
      <c r="AX75" s="135" t="str">
        <f t="shared" si="335"/>
        <v>B</v>
      </c>
      <c r="AY75" s="141" t="str">
        <f>VLOOKUP(RANK(AW75,$AW$10:$AW$109),Sheet1!$A$381:$B$480,2,FALSE)</f>
        <v>2nd</v>
      </c>
      <c r="AZ75" s="144">
        <v>39</v>
      </c>
      <c r="BA75" s="144">
        <v>58</v>
      </c>
      <c r="BB75" s="147">
        <f t="shared" si="336"/>
        <v>97</v>
      </c>
      <c r="BC75" s="137">
        <f t="shared" si="337"/>
        <v>97</v>
      </c>
      <c r="BD75" s="135" t="str">
        <f t="shared" si="338"/>
        <v>A</v>
      </c>
      <c r="BE75" s="135" t="str">
        <f>VLOOKUP(RANK(BC75,$BC$10:$BC$109),Sheet1!$A$381:$B$480,2,FALSE)</f>
        <v>1st</v>
      </c>
      <c r="BF75" s="144">
        <v>22</v>
      </c>
      <c r="BG75" s="144">
        <v>56</v>
      </c>
      <c r="BH75" s="137">
        <f t="shared" si="339"/>
        <v>78</v>
      </c>
      <c r="BI75" s="137">
        <f t="shared" si="340"/>
        <v>78</v>
      </c>
      <c r="BJ75" s="135" t="str">
        <f t="shared" si="341"/>
        <v>A</v>
      </c>
      <c r="BK75" s="141" t="str">
        <f>VLOOKUP(RANK(BI75,$BI$10:$BI$109),Sheet1!$A$381:$B$480,2,FALSE)</f>
        <v>1st</v>
      </c>
      <c r="BL75" s="149">
        <v>26</v>
      </c>
      <c r="BM75" s="149">
        <v>27</v>
      </c>
      <c r="BN75" s="147">
        <f t="shared" si="342"/>
        <v>53</v>
      </c>
      <c r="BO75" s="137">
        <f t="shared" si="343"/>
        <v>53</v>
      </c>
      <c r="BP75" s="135" t="str">
        <f t="shared" si="344"/>
        <v>C</v>
      </c>
      <c r="BQ75" s="141" t="str">
        <f>VLOOKUP(RANK(BO75,$BO$10:$BO$109),Sheet1!$A$381:$B$480,2,FALSE)</f>
        <v>36th</v>
      </c>
      <c r="BR75" s="149">
        <v>28</v>
      </c>
      <c r="BS75" s="149">
        <v>54</v>
      </c>
      <c r="BT75" s="147">
        <f t="shared" si="345"/>
        <v>82</v>
      </c>
      <c r="BU75" s="137">
        <f t="shared" si="346"/>
        <v>82</v>
      </c>
      <c r="BV75" s="135" t="str">
        <f t="shared" si="347"/>
        <v>A</v>
      </c>
      <c r="BW75" s="135" t="str">
        <f>VLOOKUP(RANK(BU75,$BU$10:$BU$109),Sheet1!$A$381:$B$480,2,FALSE)</f>
        <v>1st</v>
      </c>
      <c r="BX75" s="149">
        <v>33</v>
      </c>
      <c r="BY75" s="149">
        <v>35</v>
      </c>
      <c r="BZ75" s="137">
        <f t="shared" si="348"/>
        <v>68</v>
      </c>
      <c r="CA75" s="137">
        <f t="shared" si="349"/>
        <v>68</v>
      </c>
      <c r="CB75" s="135" t="str">
        <f t="shared" si="350"/>
        <v>B</v>
      </c>
      <c r="CC75" s="135" t="str">
        <f>VLOOKUP(RANK(CA75,$CA$10:$CA$109),Sheet1!$A$381:$B$480,2,FALSE)</f>
        <v>1st</v>
      </c>
      <c r="CD75" s="149">
        <v>25</v>
      </c>
      <c r="CE75" s="149">
        <v>25</v>
      </c>
      <c r="CF75" s="137">
        <f t="shared" si="351"/>
        <v>50</v>
      </c>
      <c r="CG75" s="137">
        <f t="shared" si="352"/>
        <v>50</v>
      </c>
      <c r="CH75" s="135" t="str">
        <f t="shared" si="353"/>
        <v>C</v>
      </c>
      <c r="CI75" s="135" t="str">
        <f>VLOOKUP(RANK(CG75,$CG$10:$CG$109),Sheet1!$A$381:$B$480,2,FALSE)</f>
        <v>71st</v>
      </c>
      <c r="CJ75" s="137"/>
      <c r="CK75" s="137"/>
      <c r="CL75" s="137">
        <f t="shared" si="354"/>
        <v>0</v>
      </c>
      <c r="CM75" s="137">
        <f t="shared" si="355"/>
        <v>0</v>
      </c>
      <c r="CN75" s="135" t="str">
        <f t="shared" si="356"/>
        <v>F</v>
      </c>
      <c r="CO75" s="135" t="str">
        <f>VLOOKUP(RANK(CM75,$CM$10:$CM$109),Sheet1!$A$381:$B$480,2,FALSE)</f>
        <v>1st</v>
      </c>
      <c r="CP75" s="137"/>
      <c r="CQ75" s="137"/>
      <c r="CR75" s="137">
        <f t="shared" si="357"/>
        <v>0</v>
      </c>
      <c r="CS75" s="137">
        <f t="shared" si="358"/>
        <v>0</v>
      </c>
      <c r="CT75" s="135" t="str">
        <f t="shared" si="359"/>
        <v>F</v>
      </c>
      <c r="CU75" s="135" t="str">
        <f>VLOOKUP(RANK(CS75,$CS$10:$CS$109),Sheet1!$A$381:$B$480,2,FALSE)</f>
        <v>1st</v>
      </c>
      <c r="CV75" s="151"/>
      <c r="CW75" s="135"/>
      <c r="CX75" s="151">
        <f t="shared" ref="CX75:CX110" si="508">SUM(CV75:CW75)</f>
        <v>0</v>
      </c>
      <c r="CY75" s="151">
        <f t="shared" ref="CY75:CY110" si="509">SUM(CV75:CW75)</f>
        <v>0</v>
      </c>
      <c r="CZ75" s="135" t="str">
        <f t="shared" si="360"/>
        <v>F</v>
      </c>
      <c r="DA75" s="135" t="str">
        <f>VLOOKUP(RANK(CY75,$CY$10:$CY$109),Sheet1!$A$381:$B$480,2,FALSE)</f>
        <v>1st</v>
      </c>
      <c r="DB75" s="135"/>
      <c r="DC75" s="151">
        <f t="shared" ref="DC75:DC110" si="510">CR75+CL75+CF75+BZ75+BT75+BH75+BB75+AV75+AP75+AJ75+AD75+X75+L75+F75+BN75+R75+CX75</f>
        <v>907</v>
      </c>
      <c r="DD75" s="151">
        <f t="shared" ref="DD75:DD110" si="511">DC75/17</f>
        <v>53.352941176470601</v>
      </c>
      <c r="DE75" s="135" t="str">
        <f>VLOOKUP(RANK(DD75,$DD$10:$DD$109),Sheet1!$A$381:$B$480,2,FALSE)</f>
        <v>1st</v>
      </c>
      <c r="DF75" s="137"/>
      <c r="DG75" s="160">
        <f t="shared" si="361"/>
        <v>960.35294117647095</v>
      </c>
      <c r="DH75" s="119"/>
      <c r="DI75" s="162">
        <v>26</v>
      </c>
      <c r="DJ75" s="162">
        <v>46</v>
      </c>
      <c r="DK75" s="137">
        <f t="shared" si="362"/>
        <v>72</v>
      </c>
      <c r="DL75" s="137" t="str">
        <f t="shared" si="363"/>
        <v>69</v>
      </c>
      <c r="DM75" s="137">
        <f t="shared" si="364"/>
        <v>141</v>
      </c>
      <c r="DN75" s="137">
        <f t="shared" si="365"/>
        <v>70.5</v>
      </c>
      <c r="DO75" s="135" t="str">
        <f t="shared" si="366"/>
        <v>B</v>
      </c>
      <c r="DP75" s="135" t="str">
        <f>VLOOKUP(RANK(DN75,$DN$10:$DN$109),Sheet1!$A$381:$B$480,2,FALSE)</f>
        <v>35th</v>
      </c>
      <c r="DQ75" s="166">
        <v>27</v>
      </c>
      <c r="DR75" s="166">
        <v>44</v>
      </c>
      <c r="DS75" s="137">
        <f t="shared" si="367"/>
        <v>71</v>
      </c>
      <c r="DT75" s="137" t="str">
        <f t="shared" si="368"/>
        <v>91</v>
      </c>
      <c r="DU75" s="137">
        <f t="shared" si="369"/>
        <v>162</v>
      </c>
      <c r="DV75" s="137">
        <f t="shared" si="370"/>
        <v>81</v>
      </c>
      <c r="DW75" s="135" t="str">
        <f t="shared" si="371"/>
        <v>A</v>
      </c>
      <c r="DX75" s="135" t="str">
        <f>VLOOKUP(RANK(DV75,$DV$10:$DV$109),Sheet1!$A$381:$B$480,2,FALSE)</f>
        <v>1st</v>
      </c>
      <c r="DY75" s="168">
        <v>35</v>
      </c>
      <c r="DZ75" s="168">
        <v>45</v>
      </c>
      <c r="EA75" s="137">
        <f t="shared" si="372"/>
        <v>80</v>
      </c>
      <c r="EB75" s="137" t="str">
        <f t="shared" si="373"/>
        <v>75</v>
      </c>
      <c r="EC75" s="137">
        <f t="shared" si="374"/>
        <v>155</v>
      </c>
      <c r="ED75" s="137">
        <f t="shared" si="375"/>
        <v>77.5</v>
      </c>
      <c r="EE75" s="135" t="str">
        <f t="shared" si="376"/>
        <v>A</v>
      </c>
      <c r="EF75" s="135" t="str">
        <f>VLOOKUP(RANK(ED75,$ED$10:$ED$109),Sheet1!$A$381:$B$480,2,FALSE)</f>
        <v>2nd</v>
      </c>
      <c r="EG75" s="162">
        <v>36</v>
      </c>
      <c r="EH75" s="162">
        <v>40</v>
      </c>
      <c r="EI75" s="137">
        <f t="shared" si="377"/>
        <v>76</v>
      </c>
      <c r="EJ75" s="137" t="str">
        <f t="shared" si="378"/>
        <v>76</v>
      </c>
      <c r="EK75" s="137">
        <f t="shared" si="379"/>
        <v>152</v>
      </c>
      <c r="EL75" s="137">
        <f t="shared" si="380"/>
        <v>76</v>
      </c>
      <c r="EM75" s="135" t="str">
        <f t="shared" si="381"/>
        <v>A</v>
      </c>
      <c r="EN75" s="135" t="str">
        <f>VLOOKUP(RANK(EL75,$EL$10:$EL$109),Sheet1!$A$381:$B$480,2,FALSE)</f>
        <v>6th</v>
      </c>
      <c r="EO75" s="162">
        <v>34</v>
      </c>
      <c r="EP75" s="162">
        <v>47</v>
      </c>
      <c r="EQ75" s="137">
        <f t="shared" si="382"/>
        <v>81</v>
      </c>
      <c r="ER75" s="137" t="str">
        <f t="shared" si="383"/>
        <v>98</v>
      </c>
      <c r="ES75" s="137">
        <f t="shared" si="384"/>
        <v>179</v>
      </c>
      <c r="ET75" s="137">
        <f t="shared" si="385"/>
        <v>89.5</v>
      </c>
      <c r="EU75" s="135" t="str">
        <f t="shared" si="386"/>
        <v>A</v>
      </c>
      <c r="EV75" s="135" t="str">
        <f>VLOOKUP(RANK(ET75,$ET$10:$ET$109),Sheet1!$A$381:$B$480,2,FALSE)</f>
        <v>1st</v>
      </c>
      <c r="EW75" s="137"/>
      <c r="EX75" s="137"/>
      <c r="EY75" s="137">
        <f t="shared" si="387"/>
        <v>0</v>
      </c>
      <c r="EZ75" s="137" t="str">
        <f t="shared" si="388"/>
        <v>0</v>
      </c>
      <c r="FA75" s="137">
        <f t="shared" si="389"/>
        <v>0</v>
      </c>
      <c r="FB75" s="137">
        <f t="shared" si="390"/>
        <v>0</v>
      </c>
      <c r="FC75" s="135" t="str">
        <f t="shared" si="391"/>
        <v>F</v>
      </c>
      <c r="FD75" s="135" t="str">
        <f>VLOOKUP(RANK(FB75,$FB$10:$FB$109),Sheet1!$A$381:$B$480,2,FALSE)</f>
        <v>1st</v>
      </c>
      <c r="FE75" s="137"/>
      <c r="FF75" s="137"/>
      <c r="FG75" s="137">
        <f t="shared" si="392"/>
        <v>0</v>
      </c>
      <c r="FH75" s="137" t="str">
        <f t="shared" si="393"/>
        <v>0</v>
      </c>
      <c r="FI75" s="137">
        <f t="shared" si="394"/>
        <v>0</v>
      </c>
      <c r="FJ75" s="137">
        <f t="shared" si="395"/>
        <v>0</v>
      </c>
      <c r="FK75" s="135" t="str">
        <f t="shared" si="396"/>
        <v>F</v>
      </c>
      <c r="FL75" s="135" t="str">
        <f>VLOOKUP(RANK(FJ75,$FJ$10:$FJ$109),Sheet1!$A$381:$B$480,2,FALSE)</f>
        <v>1st</v>
      </c>
      <c r="FM75" s="166">
        <v>25</v>
      </c>
      <c r="FN75" s="166">
        <v>37</v>
      </c>
      <c r="FO75" s="137">
        <f t="shared" si="397"/>
        <v>62</v>
      </c>
      <c r="FP75" s="137" t="str">
        <f t="shared" si="398"/>
        <v>70</v>
      </c>
      <c r="FQ75" s="137">
        <f t="shared" si="399"/>
        <v>132</v>
      </c>
      <c r="FR75" s="137">
        <f t="shared" si="400"/>
        <v>66</v>
      </c>
      <c r="FS75" s="135" t="str">
        <f t="shared" si="401"/>
        <v>B</v>
      </c>
      <c r="FT75" s="135" t="str">
        <f>VLOOKUP(RANK(FR75,$FR$10:$FR$109),Sheet1!$A$381:$B$480,2,FALSE)</f>
        <v>4th</v>
      </c>
      <c r="FU75" s="149">
        <v>37</v>
      </c>
      <c r="FV75" s="149">
        <v>32</v>
      </c>
      <c r="FW75" s="137">
        <f t="shared" si="402"/>
        <v>69</v>
      </c>
      <c r="FX75" s="137" t="str">
        <f t="shared" si="403"/>
        <v>97</v>
      </c>
      <c r="FY75" s="137">
        <f t="shared" ref="FY75:FY110" si="512">SUM(FW75:FX75)</f>
        <v>69</v>
      </c>
      <c r="FZ75" s="137">
        <f t="shared" si="404"/>
        <v>34.5</v>
      </c>
      <c r="GA75" s="135" t="str">
        <f t="shared" si="405"/>
        <v>F</v>
      </c>
      <c r="GB75" s="135" t="str">
        <f>VLOOKUP(RANK(FZ75,$FZ$10:$FZ$109),Sheet1!$A$381:$B$480,2,FALSE)</f>
        <v>3rd</v>
      </c>
      <c r="GC75" s="166">
        <v>33</v>
      </c>
      <c r="GD75" s="166">
        <v>37</v>
      </c>
      <c r="GE75" s="137">
        <f t="shared" si="406"/>
        <v>70</v>
      </c>
      <c r="GF75" s="137" t="str">
        <f t="shared" si="407"/>
        <v>78</v>
      </c>
      <c r="GG75" s="135">
        <f t="shared" ref="GG75:GG110" si="513">GE75+GF75</f>
        <v>148</v>
      </c>
      <c r="GH75" s="137">
        <f t="shared" ref="GH75:GH110" si="514">GG75/2</f>
        <v>74</v>
      </c>
      <c r="GI75" s="135" t="str">
        <f t="shared" si="408"/>
        <v>B</v>
      </c>
      <c r="GJ75" s="135" t="str">
        <f>VLOOKUP(RANK(GH75,$GH$10:$GH$109),Sheet1!$A$381:$B$480,2,FALSE)</f>
        <v>1st</v>
      </c>
      <c r="GK75" s="166">
        <v>27</v>
      </c>
      <c r="GL75" s="166">
        <v>23</v>
      </c>
      <c r="GM75" s="137">
        <f t="shared" si="409"/>
        <v>50</v>
      </c>
      <c r="GN75" s="137" t="str">
        <f t="shared" si="410"/>
        <v>53</v>
      </c>
      <c r="GO75" s="135">
        <f t="shared" ref="GO75:GO110" si="515">GM75+GN75</f>
        <v>103</v>
      </c>
      <c r="GP75" s="137">
        <f t="shared" si="411"/>
        <v>51.5</v>
      </c>
      <c r="GQ75" s="135" t="str">
        <f t="shared" si="412"/>
        <v>C</v>
      </c>
      <c r="GR75" s="135" t="str">
        <f>VLOOKUP(RANK(GP75,$GP$10:$GP$109),Sheet1!$A$381:$B$480,2,FALSE)</f>
        <v>12th</v>
      </c>
      <c r="GS75" s="166">
        <v>26</v>
      </c>
      <c r="GT75" s="166">
        <v>53</v>
      </c>
      <c r="GU75" s="137">
        <f t="shared" si="413"/>
        <v>79</v>
      </c>
      <c r="GV75" s="137" t="str">
        <f t="shared" si="414"/>
        <v>82</v>
      </c>
      <c r="GW75" s="137">
        <f t="shared" si="415"/>
        <v>161</v>
      </c>
      <c r="GX75" s="137">
        <f t="shared" si="416"/>
        <v>80.5</v>
      </c>
      <c r="GY75" s="135" t="str">
        <f t="shared" si="417"/>
        <v>A</v>
      </c>
      <c r="GZ75" s="135" t="str">
        <f>VLOOKUP(RANK(GX75,$GX$10:$GX$109),Sheet1!$A$381:$B$480,2,FALSE)</f>
        <v>1st</v>
      </c>
      <c r="HA75" s="166">
        <v>31</v>
      </c>
      <c r="HB75" s="166">
        <v>32</v>
      </c>
      <c r="HC75" s="137">
        <f t="shared" si="418"/>
        <v>63</v>
      </c>
      <c r="HD75" s="137" t="str">
        <f t="shared" si="419"/>
        <v>68</v>
      </c>
      <c r="HE75" s="137">
        <f t="shared" si="420"/>
        <v>131</v>
      </c>
      <c r="HF75" s="137">
        <f t="shared" si="421"/>
        <v>65.5</v>
      </c>
      <c r="HG75" s="135" t="str">
        <f t="shared" si="422"/>
        <v>B</v>
      </c>
      <c r="HH75" s="135" t="str">
        <f>VLOOKUP(RANK(HF75,$HF$10:$HF$109),Sheet1!$A$381:$B$480,2,FALSE)</f>
        <v>2nd</v>
      </c>
      <c r="HI75" s="149">
        <v>27</v>
      </c>
      <c r="HJ75" s="149">
        <v>58</v>
      </c>
      <c r="HK75" s="137">
        <f t="shared" si="423"/>
        <v>85</v>
      </c>
      <c r="HL75" s="137" t="str">
        <f t="shared" si="424"/>
        <v>50</v>
      </c>
      <c r="HM75" s="137">
        <f t="shared" si="425"/>
        <v>135</v>
      </c>
      <c r="HN75" s="137">
        <f t="shared" si="426"/>
        <v>67.5</v>
      </c>
      <c r="HO75" s="135" t="str">
        <f t="shared" si="427"/>
        <v>B</v>
      </c>
      <c r="HP75" s="135" t="str">
        <f>VLOOKUP(RANK(HN75,$HN$10:$HN$109),Sheet1!$A$381:$B$480,2,FALSE)</f>
        <v>32nd</v>
      </c>
      <c r="HQ75" s="137"/>
      <c r="HR75" s="137"/>
      <c r="HS75" s="137">
        <f t="shared" si="428"/>
        <v>0</v>
      </c>
      <c r="HT75" s="137" t="str">
        <f t="shared" si="429"/>
        <v>0</v>
      </c>
      <c r="HU75" s="137">
        <f t="shared" si="430"/>
        <v>0</v>
      </c>
      <c r="HV75" s="137">
        <f t="shared" si="431"/>
        <v>0</v>
      </c>
      <c r="HW75" s="135" t="str">
        <f t="shared" si="432"/>
        <v>F</v>
      </c>
      <c r="HX75" s="135" t="str">
        <f>VLOOKUP(RANK(HV75,$HV$10:$HV$109),Sheet1!$A$381:$B$480,2,FALSE)</f>
        <v>1st</v>
      </c>
      <c r="HY75" s="137"/>
      <c r="HZ75" s="137"/>
      <c r="IA75" s="137">
        <f t="shared" si="433"/>
        <v>0</v>
      </c>
      <c r="IB75" s="137" t="str">
        <f t="shared" si="434"/>
        <v>0</v>
      </c>
      <c r="IC75" s="137">
        <f t="shared" si="435"/>
        <v>0</v>
      </c>
      <c r="ID75" s="137">
        <f t="shared" si="436"/>
        <v>0</v>
      </c>
      <c r="IE75" s="135" t="str">
        <f t="shared" si="437"/>
        <v>F</v>
      </c>
      <c r="IF75" s="135" t="str">
        <f>VLOOKUP(RANK(ID75,$ID$10:$ID$109),Sheet1!$A$381:$B$480,2,FALSE)</f>
        <v>1st</v>
      </c>
      <c r="IG75" s="135"/>
      <c r="IH75" s="135"/>
      <c r="II75" s="135">
        <f t="shared" ref="II75:II110" si="516">SUM(IG75:IH75)</f>
        <v>0</v>
      </c>
      <c r="IJ75" s="135" t="str">
        <f t="shared" ref="IJ75:IJ110" si="517">REPT(CY75,1)</f>
        <v>0</v>
      </c>
      <c r="IK75" s="135">
        <f t="shared" ref="IK75:IK110" si="518">II75+IJ75</f>
        <v>0</v>
      </c>
      <c r="IL75" s="135">
        <f t="shared" ref="IL75:IL110" si="519">IK75/2</f>
        <v>0</v>
      </c>
      <c r="IM75" s="135" t="str">
        <f t="shared" si="438"/>
        <v>F</v>
      </c>
      <c r="IN75" s="135" t="str">
        <f>VLOOKUP(RANK(IL75,$IL$10:$IL$109),Sheet1!$A$381:$B$480,2,FALSE)</f>
        <v>1st</v>
      </c>
      <c r="IO75" s="135">
        <f t="shared" ref="IO75:IO110" si="520">ID75+HV75+HN75+HF75+GX75+GP75+GH75+FZ75+FR75+FJ75+FB75+ET75+EL75+ED75+DV75+DN75+IL75</f>
        <v>834</v>
      </c>
      <c r="IP75" s="177">
        <f t="shared" ref="IP75:IP110" si="521">IO75/17</f>
        <v>49.058823529411796</v>
      </c>
      <c r="IQ75" s="135" t="str">
        <f>VLOOKUP(RANK(IP75,$IP$10:$IP$109),Sheet1!$A$381:$B$480,2,FALSE)</f>
        <v>1st</v>
      </c>
      <c r="IR75" s="178"/>
      <c r="IS75" s="137"/>
      <c r="IT75" s="137"/>
      <c r="IU75" s="137"/>
      <c r="IV75" s="137"/>
      <c r="IW75" s="181"/>
      <c r="IX75" s="184"/>
      <c r="IY75" s="186"/>
      <c r="IZ75" s="186">
        <f t="shared" si="439"/>
        <v>0</v>
      </c>
      <c r="JA75" s="186" t="str">
        <f t="shared" si="440"/>
        <v>69</v>
      </c>
      <c r="JB75" s="186" t="str">
        <f t="shared" si="441"/>
        <v>72</v>
      </c>
      <c r="JC75" s="186">
        <f t="shared" ref="JC75:JC110" si="522">IZ75+JA75+JB75</f>
        <v>141</v>
      </c>
      <c r="JD75" s="186">
        <f t="shared" ref="JD75:JD110" si="523">JC75/3</f>
        <v>47</v>
      </c>
      <c r="JE75" s="135" t="str">
        <f t="shared" si="442"/>
        <v>D</v>
      </c>
      <c r="JF75" s="151" t="str">
        <f>VLOOKUP(RANK(JD75,$JD$10:$JD$109),Sheet1!$A$381:$B$480,2,FALSE)</f>
        <v>35th</v>
      </c>
      <c r="JG75" s="186"/>
      <c r="JH75" s="186"/>
      <c r="JI75" s="186">
        <f t="shared" si="443"/>
        <v>0</v>
      </c>
      <c r="JJ75" s="186" t="str">
        <f t="shared" si="444"/>
        <v>91</v>
      </c>
      <c r="JK75" s="186" t="str">
        <f t="shared" si="445"/>
        <v>71</v>
      </c>
      <c r="JL75" s="186">
        <f t="shared" ref="JL75:JL110" si="524">JI75+JJ75+JK75</f>
        <v>162</v>
      </c>
      <c r="JM75" s="186">
        <f t="shared" ref="JM75:JM110" si="525">JL75/3</f>
        <v>54</v>
      </c>
      <c r="JN75" s="135" t="str">
        <f t="shared" si="446"/>
        <v>C</v>
      </c>
      <c r="JO75" s="151" t="str">
        <f>VLOOKUP(RANK(JM75,$JM$10:$JM$109),Sheet1!$A$381:$B$480,2,FALSE)</f>
        <v>1st</v>
      </c>
      <c r="JP75" s="186"/>
      <c r="JQ75" s="186"/>
      <c r="JR75" s="186">
        <f t="shared" si="447"/>
        <v>0</v>
      </c>
      <c r="JS75" s="186" t="str">
        <f t="shared" si="448"/>
        <v>75</v>
      </c>
      <c r="JT75" s="186" t="str">
        <f t="shared" si="449"/>
        <v>80</v>
      </c>
      <c r="JU75" s="186">
        <f t="shared" ref="JU75:JU110" si="526">JR75+JS75+JT75</f>
        <v>155</v>
      </c>
      <c r="JV75" s="186">
        <f t="shared" ref="JV75:JV110" si="527">JU75/3</f>
        <v>51.6666666666667</v>
      </c>
      <c r="JW75" s="135" t="str">
        <f t="shared" si="450"/>
        <v>C</v>
      </c>
      <c r="JX75" s="151" t="str">
        <f>VLOOKUP(RANK(JV75,$JV$10:$JV$109),Sheet1!$A$381:$B$480,2,FALSE)</f>
        <v>2nd</v>
      </c>
      <c r="JY75" s="186"/>
      <c r="JZ75" s="186"/>
      <c r="KA75" s="186">
        <f t="shared" si="451"/>
        <v>0</v>
      </c>
      <c r="KB75" s="186" t="str">
        <f t="shared" si="452"/>
        <v>76</v>
      </c>
      <c r="KC75" s="186" t="str">
        <f t="shared" si="453"/>
        <v>76</v>
      </c>
      <c r="KD75" s="186">
        <f t="shared" ref="KD75:KD110" si="528">KA75+KB75+KC75</f>
        <v>152</v>
      </c>
      <c r="KE75" s="186">
        <f t="shared" ref="KE75:KE110" si="529">KD75/3</f>
        <v>50.6666666666667</v>
      </c>
      <c r="KF75" s="135" t="str">
        <f t="shared" si="454"/>
        <v>C</v>
      </c>
      <c r="KG75" s="151" t="str">
        <f>VLOOKUP(RANK(KE75,$KE$10:$KE$109),Sheet1!$A$381:$B$480,2,FALSE)</f>
        <v>6th</v>
      </c>
      <c r="KH75" s="186"/>
      <c r="KI75" s="186"/>
      <c r="KJ75" s="186">
        <f t="shared" si="455"/>
        <v>0</v>
      </c>
      <c r="KK75" s="186" t="str">
        <f t="shared" si="456"/>
        <v>98</v>
      </c>
      <c r="KL75" s="186" t="str">
        <f t="shared" si="457"/>
        <v>81</v>
      </c>
      <c r="KM75" s="186">
        <f t="shared" ref="KM75:KM110" si="530">KJ75+KK75+KL75</f>
        <v>179</v>
      </c>
      <c r="KN75" s="186">
        <f t="shared" ref="KN75:KN110" si="531">KM75/3</f>
        <v>59.6666666666667</v>
      </c>
      <c r="KO75" s="135" t="str">
        <f t="shared" si="458"/>
        <v>C</v>
      </c>
      <c r="KP75" s="151" t="str">
        <f>VLOOKUP(RANK(KN75,$KN$10:$KN$109),Sheet1!$A$381:$B$480,2,FALSE)</f>
        <v>1st</v>
      </c>
      <c r="KQ75" s="186"/>
      <c r="KR75" s="186"/>
      <c r="KS75" s="186">
        <f t="shared" si="459"/>
        <v>0</v>
      </c>
      <c r="KT75" s="186" t="str">
        <f t="shared" si="460"/>
        <v>0</v>
      </c>
      <c r="KU75" s="186" t="str">
        <f t="shared" si="461"/>
        <v>0</v>
      </c>
      <c r="KV75" s="186">
        <f t="shared" ref="KV75:KV110" si="532">KS75+KT75+KU75</f>
        <v>0</v>
      </c>
      <c r="KW75" s="186">
        <f t="shared" ref="KW75:KW110" si="533">KV75/3</f>
        <v>0</v>
      </c>
      <c r="KX75" s="135" t="str">
        <f t="shared" si="462"/>
        <v>F</v>
      </c>
      <c r="KY75" s="151" t="str">
        <f>VLOOKUP(RANK(KW75,$KW$10:$KW$109),Sheet1!$A$381:$B$480,2,FALSE)</f>
        <v>1st</v>
      </c>
      <c r="KZ75" s="186"/>
      <c r="LA75" s="186"/>
      <c r="LB75" s="186">
        <f t="shared" si="463"/>
        <v>0</v>
      </c>
      <c r="LC75" s="186" t="str">
        <f t="shared" si="464"/>
        <v>0</v>
      </c>
      <c r="LD75" s="186" t="str">
        <f t="shared" si="465"/>
        <v>0</v>
      </c>
      <c r="LE75" s="186">
        <f t="shared" ref="LE75:LE110" si="534">LB75+LC75+LD75</f>
        <v>0</v>
      </c>
      <c r="LF75" s="186">
        <f t="shared" ref="LF75:LF110" si="535">LE75/3</f>
        <v>0</v>
      </c>
      <c r="LG75" s="135" t="str">
        <f t="shared" si="466"/>
        <v>F</v>
      </c>
      <c r="LH75" s="151" t="str">
        <f>VLOOKUP(RANK(LF75,$LF$10:$LF$109),Sheet1!$A$381:$B$480,2,FALSE)</f>
        <v>1st</v>
      </c>
      <c r="LI75" s="186"/>
      <c r="LJ75" s="186"/>
      <c r="LK75" s="186">
        <f t="shared" si="467"/>
        <v>0</v>
      </c>
      <c r="LL75" s="186" t="str">
        <f t="shared" si="468"/>
        <v>70</v>
      </c>
      <c r="LM75" s="186" t="str">
        <f t="shared" si="469"/>
        <v>62</v>
      </c>
      <c r="LN75" s="186">
        <f t="shared" ref="LN75:LN110" si="536">LK75+LL75+LM75</f>
        <v>132</v>
      </c>
      <c r="LO75" s="186">
        <f t="shared" ref="LO75:LO110" si="537">LN75/3</f>
        <v>44</v>
      </c>
      <c r="LP75" s="135" t="str">
        <f t="shared" si="470"/>
        <v>D</v>
      </c>
      <c r="LQ75" s="151" t="str">
        <f>VLOOKUP(RANK(LO75,$LO$10:$LO$109),Sheet1!$A$381:$B$480,2,FALSE)</f>
        <v>4th</v>
      </c>
      <c r="LR75" s="186"/>
      <c r="LS75" s="186"/>
      <c r="LT75" s="186">
        <f t="shared" si="471"/>
        <v>0</v>
      </c>
      <c r="LU75" s="186" t="str">
        <f t="shared" si="472"/>
        <v>97</v>
      </c>
      <c r="LV75" s="186" t="str">
        <f t="shared" si="473"/>
        <v>69</v>
      </c>
      <c r="LW75" s="186">
        <f t="shared" ref="LW75:LW110" si="538">LT75+LV75+LU75</f>
        <v>166</v>
      </c>
      <c r="LX75" s="186">
        <f t="shared" ref="LX75:LX110" si="539">LW75/3</f>
        <v>55.3333333333333</v>
      </c>
      <c r="LY75" s="135" t="str">
        <f t="shared" si="474"/>
        <v>C</v>
      </c>
      <c r="LZ75" s="151" t="str">
        <f>VLOOKUP(RANK(LX75,$LX$10:$LX$109),Sheet1!$A$381:$B$480,2,FALSE)</f>
        <v>1st</v>
      </c>
      <c r="MA75" s="186"/>
      <c r="MB75" s="186"/>
      <c r="MC75" s="186">
        <f t="shared" si="475"/>
        <v>0</v>
      </c>
      <c r="MD75" s="186" t="str">
        <f t="shared" si="476"/>
        <v>78</v>
      </c>
      <c r="ME75" s="186" t="str">
        <f t="shared" si="477"/>
        <v>70</v>
      </c>
      <c r="MF75" s="183">
        <f t="shared" ref="MF75:MF110" si="540">MC75+MD75+ME75</f>
        <v>148</v>
      </c>
      <c r="MG75" s="151">
        <f t="shared" ref="MG75:MG110" si="541">MF75/3</f>
        <v>49.3333333333333</v>
      </c>
      <c r="MH75" s="135" t="str">
        <f t="shared" si="478"/>
        <v>D</v>
      </c>
      <c r="MI75" s="151" t="str">
        <f>VLOOKUP(RANK(MG75,$MG$10:$MG$109),Sheet1!$A$381:$B$480,2,FALSE)</f>
        <v>1st</v>
      </c>
      <c r="MJ75" s="186"/>
      <c r="MK75" s="186"/>
      <c r="ML75" s="186">
        <f t="shared" si="479"/>
        <v>0</v>
      </c>
      <c r="MM75" s="186" t="str">
        <f t="shared" si="480"/>
        <v>53</v>
      </c>
      <c r="MN75" s="186" t="str">
        <f t="shared" si="481"/>
        <v>50</v>
      </c>
      <c r="MO75" s="186">
        <f t="shared" ref="MO75:MO110" si="542">ML75+MM75+MN75</f>
        <v>103</v>
      </c>
      <c r="MP75" s="186">
        <f t="shared" ref="MP75:MP110" si="543">MO75/3</f>
        <v>34.3333333333333</v>
      </c>
      <c r="MQ75" s="135" t="str">
        <f t="shared" si="482"/>
        <v>F</v>
      </c>
      <c r="MR75" s="151" t="str">
        <f>VLOOKUP(RANK(MP75,$MP$10:$MP$109),Sheet1!$A$381:$B$480,2,FALSE)</f>
        <v>12th</v>
      </c>
      <c r="MS75" s="186"/>
      <c r="MT75" s="186"/>
      <c r="MU75" s="186">
        <f t="shared" si="483"/>
        <v>0</v>
      </c>
      <c r="MV75" s="186" t="str">
        <f t="shared" si="484"/>
        <v>82</v>
      </c>
      <c r="MW75" s="186" t="str">
        <f t="shared" si="485"/>
        <v>79</v>
      </c>
      <c r="MX75" s="186">
        <f t="shared" ref="MX75:MX110" si="544">MU75+MV75+MW75</f>
        <v>161</v>
      </c>
      <c r="MY75" s="186">
        <f t="shared" ref="MY75:MY110" si="545">MX75/3</f>
        <v>53.6666666666667</v>
      </c>
      <c r="MZ75" s="135" t="str">
        <f t="shared" si="486"/>
        <v>C</v>
      </c>
      <c r="NA75" s="151" t="str">
        <f>VLOOKUP(RANK(MY75,$MY$10:$MY$109),Sheet1!$A$381:$B$480,2,FALSE)</f>
        <v>1st</v>
      </c>
      <c r="NB75" s="186"/>
      <c r="NC75" s="186"/>
      <c r="ND75" s="186">
        <f t="shared" si="487"/>
        <v>0</v>
      </c>
      <c r="NE75" s="186" t="str">
        <f t="shared" si="488"/>
        <v>68</v>
      </c>
      <c r="NF75" s="186" t="str">
        <f t="shared" si="489"/>
        <v>63</v>
      </c>
      <c r="NG75" s="186">
        <f t="shared" ref="NG75:NG110" si="546">ND75+NF75+NE75</f>
        <v>131</v>
      </c>
      <c r="NH75" s="186">
        <f t="shared" ref="NH75:NH110" si="547">NG75/3</f>
        <v>43.6666666666667</v>
      </c>
      <c r="NI75" s="135" t="str">
        <f t="shared" si="490"/>
        <v>D</v>
      </c>
      <c r="NJ75" s="151" t="str">
        <f>VLOOKUP(RANK(NH75,$NH$10:$NH$109),Sheet1!$A$381:$B$480,2,FALSE)</f>
        <v>2nd</v>
      </c>
      <c r="NK75" s="186"/>
      <c r="NL75" s="186"/>
      <c r="NM75" s="186">
        <f t="shared" si="491"/>
        <v>0</v>
      </c>
      <c r="NN75" s="186" t="str">
        <f t="shared" si="492"/>
        <v>50</v>
      </c>
      <c r="NO75" s="186" t="str">
        <f t="shared" si="493"/>
        <v>85</v>
      </c>
      <c r="NP75" s="186">
        <f t="shared" ref="NP75:NP110" si="548">NM75+NO75+NN75</f>
        <v>135</v>
      </c>
      <c r="NQ75" s="186">
        <f t="shared" si="494"/>
        <v>45</v>
      </c>
      <c r="NR75" s="135" t="str">
        <f t="shared" si="495"/>
        <v>D</v>
      </c>
      <c r="NS75" s="151" t="str">
        <f>VLOOKUP(RANK(NQ75,$NQ$10:$NQ$109),Sheet1!$A$381:$B$480,2,FALSE)</f>
        <v>32nd</v>
      </c>
      <c r="NT75" s="186"/>
      <c r="NU75" s="186"/>
      <c r="NV75" s="186">
        <f t="shared" si="496"/>
        <v>0</v>
      </c>
      <c r="NW75" s="186" t="str">
        <f t="shared" si="497"/>
        <v>0</v>
      </c>
      <c r="NX75" s="186" t="str">
        <f t="shared" si="498"/>
        <v>0</v>
      </c>
      <c r="NY75" s="186">
        <f t="shared" ref="NY75:NY110" si="549">NV75+NX75+NW75</f>
        <v>0</v>
      </c>
      <c r="NZ75" s="186">
        <f t="shared" si="499"/>
        <v>0</v>
      </c>
      <c r="OA75" s="135" t="str">
        <f t="shared" si="500"/>
        <v>F</v>
      </c>
      <c r="OB75" s="151" t="str">
        <f>VLOOKUP(RANK(NZ75,$NZ$10:$NZ$109),Sheet1!$A$381:$B$480,2,FALSE)</f>
        <v>1st</v>
      </c>
      <c r="OC75" s="186"/>
      <c r="OD75" s="186"/>
      <c r="OE75" s="186">
        <f t="shared" si="501"/>
        <v>0</v>
      </c>
      <c r="OF75" s="186" t="str">
        <f t="shared" si="502"/>
        <v>0</v>
      </c>
      <c r="OG75" s="186" t="str">
        <f t="shared" si="503"/>
        <v>0</v>
      </c>
      <c r="OH75" s="186">
        <f t="shared" ref="OH75:OH110" si="550">OE75+OG75+OF75</f>
        <v>0</v>
      </c>
      <c r="OI75" s="186">
        <f t="shared" si="504"/>
        <v>0</v>
      </c>
      <c r="OJ75" s="135" t="str">
        <f t="shared" si="505"/>
        <v>F</v>
      </c>
      <c r="OK75" s="151" t="str">
        <f>VLOOKUP(RANK(OI75,$OI$10:$OI$109),Sheet1!$A$381:$B$480,2,FALSE)</f>
        <v>1st</v>
      </c>
      <c r="OL75" s="151"/>
      <c r="OM75" s="151"/>
      <c r="ON75" s="151">
        <f t="shared" ref="ON75:ON110" si="551">SUM(OL75:OM75)</f>
        <v>0</v>
      </c>
      <c r="OO75" s="151" t="str">
        <f t="shared" ref="OO75:OO110" si="552">REPT(CY75,1)</f>
        <v>0</v>
      </c>
      <c r="OP75" s="151" t="str">
        <f t="shared" ref="OP75:OP110" si="553">REPT(IL75,1)</f>
        <v>0</v>
      </c>
      <c r="OQ75" s="151">
        <f t="shared" ref="OQ75:OQ110" si="554">ON75+OP75+OO75</f>
        <v>0</v>
      </c>
      <c r="OR75" s="151">
        <f t="shared" ref="OR75:OR110" si="555">OQ75/3</f>
        <v>0</v>
      </c>
      <c r="OS75" s="135" t="str">
        <f t="shared" si="506"/>
        <v>F</v>
      </c>
      <c r="OT75" s="151" t="str">
        <f>VLOOKUP(RANK(OR75,$OI$10:$OI$109),Sheet1!$A$381:$B$480,2,FALSE)</f>
        <v>1st</v>
      </c>
      <c r="OU75" s="151">
        <f t="shared" ref="OU75:OU110" si="556">(OI75+NZ75+NQ75+NH75+MY75+MP75+MG75+LX75+LO75+LF75+KW75+KN75+KE75+JV75+JM75+JD75+OR75)</f>
        <v>588.33333333333303</v>
      </c>
      <c r="OV75" s="151">
        <f t="shared" ref="OV75:OV110" si="557">(OI75+NZ75+NQ75+NH75+MY75+MP75+MG75+LX75+LO75+LF75+KW75+KN75+KE75+JV75+JM75+JD75)/17</f>
        <v>34.607843137254903</v>
      </c>
      <c r="OW75" s="151" t="str">
        <f>VLOOKUP(RANK(OV75,$OV$10:$OV$109),Sheet1!$A$381:$B$480,2,FALSE)</f>
        <v>1st</v>
      </c>
      <c r="OX75" s="151"/>
      <c r="OY75" s="186"/>
      <c r="OZ75" s="186"/>
      <c r="PA75" s="186"/>
      <c r="PB75" s="186"/>
    </row>
    <row r="76" spans="1:418" s="118" customFormat="1" ht="18.75">
      <c r="A76" s="131">
        <v>67</v>
      </c>
      <c r="B76" s="132" t="s">
        <v>166</v>
      </c>
      <c r="C76" s="133" t="s">
        <v>97</v>
      </c>
      <c r="D76" s="134">
        <v>28</v>
      </c>
      <c r="E76" s="134">
        <v>39</v>
      </c>
      <c r="F76" s="137">
        <f t="shared" si="315"/>
        <v>67</v>
      </c>
      <c r="G76" s="137">
        <f t="shared" si="316"/>
        <v>67</v>
      </c>
      <c r="H76" s="135" t="str">
        <f t="shared" si="507"/>
        <v>B</v>
      </c>
      <c r="I76" s="135" t="str">
        <f>VLOOKUP(RANK(G76,$G$10:$G$109),Sheet1!$A$381:$B$480,2,FALSE)</f>
        <v>52nd</v>
      </c>
      <c r="J76" s="134">
        <v>26</v>
      </c>
      <c r="K76" s="134">
        <v>34</v>
      </c>
      <c r="L76" s="137">
        <f t="shared" si="317"/>
        <v>60</v>
      </c>
      <c r="M76" s="137">
        <f t="shared" si="318"/>
        <v>60</v>
      </c>
      <c r="N76" s="135" t="str">
        <f t="shared" si="319"/>
        <v>B</v>
      </c>
      <c r="O76" s="141" t="str">
        <f>VLOOKUP(RANK(M76,$M$10:$M$109),Sheet1!$A$381:$B$480,2,FALSE)</f>
        <v>26th</v>
      </c>
      <c r="P76" s="144">
        <v>30</v>
      </c>
      <c r="Q76" s="144">
        <v>25</v>
      </c>
      <c r="R76" s="147">
        <f t="shared" si="320"/>
        <v>55</v>
      </c>
      <c r="S76" s="137">
        <f t="shared" si="321"/>
        <v>55</v>
      </c>
      <c r="T76" s="135" t="str">
        <f t="shared" si="322"/>
        <v>C</v>
      </c>
      <c r="U76" s="135" t="str">
        <f>VLOOKUP(RANK(S76,$S$10:$S$109),Sheet1!$A$381:$B$480,2,FALSE)</f>
        <v>21st</v>
      </c>
      <c r="V76" s="134">
        <v>25</v>
      </c>
      <c r="W76" s="134">
        <v>26</v>
      </c>
      <c r="X76" s="137">
        <f t="shared" si="191"/>
        <v>51</v>
      </c>
      <c r="Y76" s="137">
        <f t="shared" ref="Y76:Y110" si="558">SUM(V76:W76)</f>
        <v>51</v>
      </c>
      <c r="Z76" s="135" t="str">
        <f t="shared" si="323"/>
        <v>C</v>
      </c>
      <c r="AA76" s="135" t="str">
        <f>VLOOKUP(RANK(Y76,$Y$10:$Y$109),Sheet1!$A$381:$B$480,2,FALSE)</f>
        <v>54th</v>
      </c>
      <c r="AB76" s="134">
        <v>30</v>
      </c>
      <c r="AC76" s="134">
        <v>33</v>
      </c>
      <c r="AD76" s="137">
        <f t="shared" si="324"/>
        <v>63</v>
      </c>
      <c r="AE76" s="137">
        <f t="shared" si="325"/>
        <v>63</v>
      </c>
      <c r="AF76" s="135" t="str">
        <f t="shared" si="326"/>
        <v>B</v>
      </c>
      <c r="AG76" s="135" t="str">
        <f>VLOOKUP(RANK(AE76,$AE$10:$AE$109),Sheet1!$A$381:$B$480,2,FALSE)</f>
        <v>46th</v>
      </c>
      <c r="AH76" s="137"/>
      <c r="AI76" s="137"/>
      <c r="AJ76" s="137">
        <f t="shared" si="327"/>
        <v>0</v>
      </c>
      <c r="AK76" s="137">
        <f t="shared" si="328"/>
        <v>0</v>
      </c>
      <c r="AL76" s="135" t="str">
        <f t="shared" si="329"/>
        <v>F</v>
      </c>
      <c r="AM76" s="135" t="str">
        <f>VLOOKUP(RANK(AK76,$AK$10:$AK$109),Sheet1!$A$381:$B$480,2,FALSE)</f>
        <v>1st</v>
      </c>
      <c r="AN76" s="139"/>
      <c r="AO76" s="139"/>
      <c r="AP76" s="137">
        <f t="shared" si="330"/>
        <v>0</v>
      </c>
      <c r="AQ76" s="137">
        <f t="shared" si="331"/>
        <v>0</v>
      </c>
      <c r="AR76" s="135" t="str">
        <f t="shared" si="332"/>
        <v>F</v>
      </c>
      <c r="AS76" s="135" t="str">
        <f>VLOOKUP(RANK(AQ76,$AQ$10:$AQ$109),Sheet1!$A$381:$B$480,2,FALSE)</f>
        <v>1st</v>
      </c>
      <c r="AT76" s="144">
        <v>25</v>
      </c>
      <c r="AU76" s="144">
        <v>35</v>
      </c>
      <c r="AV76" s="137">
        <f t="shared" si="333"/>
        <v>60</v>
      </c>
      <c r="AW76" s="137">
        <f t="shared" si="334"/>
        <v>60</v>
      </c>
      <c r="AX76" s="135" t="str">
        <f t="shared" si="335"/>
        <v>B</v>
      </c>
      <c r="AY76" s="141" t="str">
        <f>VLOOKUP(RANK(AW76,$AW$10:$AW$109),Sheet1!$A$381:$B$480,2,FALSE)</f>
        <v>9th</v>
      </c>
      <c r="AZ76" s="144">
        <v>32</v>
      </c>
      <c r="BA76" s="144">
        <v>19</v>
      </c>
      <c r="BB76" s="147">
        <f t="shared" si="336"/>
        <v>51</v>
      </c>
      <c r="BC76" s="137">
        <f t="shared" si="337"/>
        <v>51</v>
      </c>
      <c r="BD76" s="135" t="str">
        <f t="shared" si="338"/>
        <v>C</v>
      </c>
      <c r="BE76" s="135" t="str">
        <f>VLOOKUP(RANK(BC76,$BC$10:$BC$109),Sheet1!$A$381:$B$480,2,FALSE)</f>
        <v>54th</v>
      </c>
      <c r="BF76" s="144">
        <v>20</v>
      </c>
      <c r="BG76" s="144">
        <v>56</v>
      </c>
      <c r="BH76" s="137">
        <f t="shared" si="339"/>
        <v>76</v>
      </c>
      <c r="BI76" s="137">
        <f t="shared" si="340"/>
        <v>76</v>
      </c>
      <c r="BJ76" s="135" t="str">
        <f t="shared" si="341"/>
        <v>A</v>
      </c>
      <c r="BK76" s="141" t="str">
        <f>VLOOKUP(RANK(BI76,$BI$10:$BI$109),Sheet1!$A$381:$B$480,2,FALSE)</f>
        <v>2nd</v>
      </c>
      <c r="BL76" s="149">
        <v>29</v>
      </c>
      <c r="BM76" s="149">
        <v>24</v>
      </c>
      <c r="BN76" s="147">
        <f t="shared" si="342"/>
        <v>53</v>
      </c>
      <c r="BO76" s="137">
        <f t="shared" si="343"/>
        <v>53</v>
      </c>
      <c r="BP76" s="135" t="str">
        <f t="shared" si="344"/>
        <v>C</v>
      </c>
      <c r="BQ76" s="141" t="str">
        <f>VLOOKUP(RANK(BO76,$BO$10:$BO$109),Sheet1!$A$381:$B$480,2,FALSE)</f>
        <v>36th</v>
      </c>
      <c r="BR76" s="149">
        <v>29</v>
      </c>
      <c r="BS76" s="149">
        <v>28</v>
      </c>
      <c r="BT76" s="147">
        <f t="shared" si="345"/>
        <v>57</v>
      </c>
      <c r="BU76" s="137">
        <f t="shared" si="346"/>
        <v>57</v>
      </c>
      <c r="BV76" s="135" t="str">
        <f t="shared" si="347"/>
        <v>C</v>
      </c>
      <c r="BW76" s="135" t="str">
        <f>VLOOKUP(RANK(BU76,$BU$10:$BU$109),Sheet1!$A$381:$B$480,2,FALSE)</f>
        <v>31st</v>
      </c>
      <c r="BX76" s="149">
        <v>28</v>
      </c>
      <c r="BY76" s="149">
        <v>14</v>
      </c>
      <c r="BZ76" s="137">
        <f t="shared" si="348"/>
        <v>42</v>
      </c>
      <c r="CA76" s="137">
        <f t="shared" si="349"/>
        <v>42</v>
      </c>
      <c r="CB76" s="135" t="str">
        <f t="shared" si="350"/>
        <v>D</v>
      </c>
      <c r="CC76" s="135" t="str">
        <f>VLOOKUP(RANK(CA76,$CA$10:$CA$109),Sheet1!$A$381:$B$480,2,FALSE)</f>
        <v>32nd</v>
      </c>
      <c r="CD76" s="149">
        <v>32</v>
      </c>
      <c r="CE76" s="149">
        <v>53</v>
      </c>
      <c r="CF76" s="137">
        <f t="shared" si="351"/>
        <v>85</v>
      </c>
      <c r="CG76" s="137">
        <f t="shared" si="352"/>
        <v>85</v>
      </c>
      <c r="CH76" s="135" t="str">
        <f t="shared" si="353"/>
        <v>A</v>
      </c>
      <c r="CI76" s="135" t="str">
        <f>VLOOKUP(RANK(CG76,$CG$10:$CG$109),Sheet1!$A$381:$B$480,2,FALSE)</f>
        <v>2nd</v>
      </c>
      <c r="CJ76" s="137"/>
      <c r="CK76" s="137"/>
      <c r="CL76" s="137">
        <f t="shared" si="354"/>
        <v>0</v>
      </c>
      <c r="CM76" s="137">
        <f t="shared" si="355"/>
        <v>0</v>
      </c>
      <c r="CN76" s="135" t="str">
        <f t="shared" si="356"/>
        <v>F</v>
      </c>
      <c r="CO76" s="135" t="str">
        <f>VLOOKUP(RANK(CM76,$CM$10:$CM$109),Sheet1!$A$381:$B$480,2,FALSE)</f>
        <v>1st</v>
      </c>
      <c r="CP76" s="137"/>
      <c r="CQ76" s="137"/>
      <c r="CR76" s="137">
        <f t="shared" si="357"/>
        <v>0</v>
      </c>
      <c r="CS76" s="137">
        <f t="shared" si="358"/>
        <v>0</v>
      </c>
      <c r="CT76" s="135" t="str">
        <f t="shared" si="359"/>
        <v>F</v>
      </c>
      <c r="CU76" s="135" t="str">
        <f>VLOOKUP(RANK(CS76,$CS$10:$CS$109),Sheet1!$A$381:$B$480,2,FALSE)</f>
        <v>1st</v>
      </c>
      <c r="CV76" s="151"/>
      <c r="CW76" s="135"/>
      <c r="CX76" s="151">
        <f t="shared" si="508"/>
        <v>0</v>
      </c>
      <c r="CY76" s="151">
        <f t="shared" si="509"/>
        <v>0</v>
      </c>
      <c r="CZ76" s="135" t="str">
        <f t="shared" si="360"/>
        <v>F</v>
      </c>
      <c r="DA76" s="135" t="str">
        <f>VLOOKUP(RANK(CY76,$CY$10:$CY$109),Sheet1!$A$381:$B$480,2,FALSE)</f>
        <v>1st</v>
      </c>
      <c r="DB76" s="135"/>
      <c r="DC76" s="151">
        <f t="shared" si="510"/>
        <v>720</v>
      </c>
      <c r="DD76" s="151">
        <f t="shared" si="511"/>
        <v>42.352941176470601</v>
      </c>
      <c r="DE76" s="135" t="str">
        <f>VLOOKUP(RANK(DD76,$DD$10:$DD$109),Sheet1!$A$381:$B$480,2,FALSE)</f>
        <v>19th</v>
      </c>
      <c r="DF76" s="137"/>
      <c r="DG76" s="160">
        <f t="shared" si="361"/>
        <v>762.35294117647095</v>
      </c>
      <c r="DH76" s="119"/>
      <c r="DI76" s="162">
        <v>21</v>
      </c>
      <c r="DJ76" s="162">
        <v>41</v>
      </c>
      <c r="DK76" s="137">
        <f t="shared" si="362"/>
        <v>62</v>
      </c>
      <c r="DL76" s="137" t="str">
        <f t="shared" si="363"/>
        <v>67</v>
      </c>
      <c r="DM76" s="137">
        <f t="shared" si="364"/>
        <v>129</v>
      </c>
      <c r="DN76" s="137">
        <f t="shared" si="365"/>
        <v>64.5</v>
      </c>
      <c r="DO76" s="135" t="str">
        <f t="shared" si="366"/>
        <v>B</v>
      </c>
      <c r="DP76" s="135" t="str">
        <f>VLOOKUP(RANK(DN76,$DN$10:$DN$109),Sheet1!$A$381:$B$480,2,FALSE)</f>
        <v>61st</v>
      </c>
      <c r="DQ76" s="166">
        <v>26</v>
      </c>
      <c r="DR76" s="166">
        <v>25</v>
      </c>
      <c r="DS76" s="137">
        <f t="shared" si="367"/>
        <v>51</v>
      </c>
      <c r="DT76" s="137" t="str">
        <f t="shared" si="368"/>
        <v>60</v>
      </c>
      <c r="DU76" s="137">
        <f t="shared" si="369"/>
        <v>111</v>
      </c>
      <c r="DV76" s="137">
        <f t="shared" si="370"/>
        <v>55.5</v>
      </c>
      <c r="DW76" s="135" t="str">
        <f t="shared" si="371"/>
        <v>C</v>
      </c>
      <c r="DX76" s="135" t="str">
        <f>VLOOKUP(RANK(DV76,$DV$10:$DV$109),Sheet1!$A$381:$B$480,2,FALSE)</f>
        <v>25th</v>
      </c>
      <c r="DY76" s="168">
        <v>29</v>
      </c>
      <c r="DZ76" s="168">
        <v>29</v>
      </c>
      <c r="EA76" s="137">
        <f t="shared" si="372"/>
        <v>58</v>
      </c>
      <c r="EB76" s="137" t="str">
        <f t="shared" si="373"/>
        <v>55</v>
      </c>
      <c r="EC76" s="137">
        <f t="shared" si="374"/>
        <v>113</v>
      </c>
      <c r="ED76" s="137">
        <f t="shared" si="375"/>
        <v>56.5</v>
      </c>
      <c r="EE76" s="135" t="str">
        <f t="shared" si="376"/>
        <v>C</v>
      </c>
      <c r="EF76" s="135" t="str">
        <f>VLOOKUP(RANK(ED76,$ED$10:$ED$109),Sheet1!$A$381:$B$480,2,FALSE)</f>
        <v>19th</v>
      </c>
      <c r="EG76" s="162">
        <v>33</v>
      </c>
      <c r="EH76" s="162">
        <v>38</v>
      </c>
      <c r="EI76" s="137">
        <f t="shared" si="377"/>
        <v>71</v>
      </c>
      <c r="EJ76" s="137" t="str">
        <f t="shared" si="378"/>
        <v>51</v>
      </c>
      <c r="EK76" s="137">
        <f t="shared" si="379"/>
        <v>122</v>
      </c>
      <c r="EL76" s="137">
        <f t="shared" si="380"/>
        <v>61</v>
      </c>
      <c r="EM76" s="135" t="str">
        <f t="shared" si="381"/>
        <v>B</v>
      </c>
      <c r="EN76" s="135" t="str">
        <f>VLOOKUP(RANK(EL76,$EL$10:$EL$109),Sheet1!$A$381:$B$480,2,FALSE)</f>
        <v>32nd</v>
      </c>
      <c r="EO76" s="162">
        <v>32</v>
      </c>
      <c r="EP76" s="162">
        <v>35</v>
      </c>
      <c r="EQ76" s="137">
        <f t="shared" si="382"/>
        <v>67</v>
      </c>
      <c r="ER76" s="137" t="str">
        <f t="shared" si="383"/>
        <v>63</v>
      </c>
      <c r="ES76" s="137">
        <f t="shared" si="384"/>
        <v>130</v>
      </c>
      <c r="ET76" s="137">
        <f t="shared" si="385"/>
        <v>65</v>
      </c>
      <c r="EU76" s="135" t="str">
        <f t="shared" si="386"/>
        <v>B</v>
      </c>
      <c r="EV76" s="135" t="str">
        <f>VLOOKUP(RANK(ET76,$ET$10:$ET$109),Sheet1!$A$381:$B$480,2,FALSE)</f>
        <v>27th</v>
      </c>
      <c r="EW76" s="137"/>
      <c r="EX76" s="137"/>
      <c r="EY76" s="137">
        <f t="shared" si="387"/>
        <v>0</v>
      </c>
      <c r="EZ76" s="137" t="str">
        <f t="shared" si="388"/>
        <v>0</v>
      </c>
      <c r="FA76" s="137">
        <f t="shared" si="389"/>
        <v>0</v>
      </c>
      <c r="FB76" s="137">
        <f t="shared" si="390"/>
        <v>0</v>
      </c>
      <c r="FC76" s="135" t="str">
        <f t="shared" si="391"/>
        <v>F</v>
      </c>
      <c r="FD76" s="135" t="str">
        <f>VLOOKUP(RANK(FB76,$FB$10:$FB$109),Sheet1!$A$381:$B$480,2,FALSE)</f>
        <v>1st</v>
      </c>
      <c r="FE76" s="137"/>
      <c r="FF76" s="137"/>
      <c r="FG76" s="137">
        <f t="shared" si="392"/>
        <v>0</v>
      </c>
      <c r="FH76" s="137" t="str">
        <f t="shared" si="393"/>
        <v>0</v>
      </c>
      <c r="FI76" s="137">
        <f t="shared" si="394"/>
        <v>0</v>
      </c>
      <c r="FJ76" s="137">
        <f t="shared" si="395"/>
        <v>0</v>
      </c>
      <c r="FK76" s="135" t="str">
        <f t="shared" si="396"/>
        <v>F</v>
      </c>
      <c r="FL76" s="135" t="str">
        <f>VLOOKUP(RANK(FJ76,$FJ$10:$FJ$109),Sheet1!$A$381:$B$480,2,FALSE)</f>
        <v>1st</v>
      </c>
      <c r="FM76" s="166">
        <v>26</v>
      </c>
      <c r="FN76" s="166">
        <v>28</v>
      </c>
      <c r="FO76" s="137">
        <f t="shared" si="397"/>
        <v>54</v>
      </c>
      <c r="FP76" s="137" t="str">
        <f t="shared" si="398"/>
        <v>60</v>
      </c>
      <c r="FQ76" s="137">
        <f t="shared" si="399"/>
        <v>114</v>
      </c>
      <c r="FR76" s="137">
        <f t="shared" si="400"/>
        <v>57</v>
      </c>
      <c r="FS76" s="135" t="str">
        <f t="shared" si="401"/>
        <v>C</v>
      </c>
      <c r="FT76" s="135" t="str">
        <f>VLOOKUP(RANK(FR76,$FR$10:$FR$109),Sheet1!$A$381:$B$480,2,FALSE)</f>
        <v>14th</v>
      </c>
      <c r="FU76" s="149">
        <v>38</v>
      </c>
      <c r="FV76" s="149">
        <v>30</v>
      </c>
      <c r="FW76" s="137">
        <f t="shared" si="402"/>
        <v>68</v>
      </c>
      <c r="FX76" s="137" t="str">
        <f t="shared" si="403"/>
        <v>51</v>
      </c>
      <c r="FY76" s="137">
        <f t="shared" si="512"/>
        <v>68</v>
      </c>
      <c r="FZ76" s="137">
        <f t="shared" si="404"/>
        <v>34</v>
      </c>
      <c r="GA76" s="135" t="str">
        <f t="shared" si="405"/>
        <v>F</v>
      </c>
      <c r="GB76" s="135" t="str">
        <f>VLOOKUP(RANK(FZ76,$FZ$10:$FZ$109),Sheet1!$A$381:$B$480,2,FALSE)</f>
        <v>4th</v>
      </c>
      <c r="GC76" s="166">
        <v>25</v>
      </c>
      <c r="GD76" s="166">
        <v>41</v>
      </c>
      <c r="GE76" s="137">
        <f t="shared" si="406"/>
        <v>66</v>
      </c>
      <c r="GF76" s="137" t="str">
        <f t="shared" si="407"/>
        <v>76</v>
      </c>
      <c r="GG76" s="135">
        <f t="shared" si="513"/>
        <v>142</v>
      </c>
      <c r="GH76" s="137">
        <f t="shared" si="514"/>
        <v>71</v>
      </c>
      <c r="GI76" s="135" t="str">
        <f t="shared" si="408"/>
        <v>B</v>
      </c>
      <c r="GJ76" s="135" t="str">
        <f>VLOOKUP(RANK(GH76,$GH$10:$GH$109),Sheet1!$A$381:$B$480,2,FALSE)</f>
        <v>2nd</v>
      </c>
      <c r="GK76" s="166">
        <v>29</v>
      </c>
      <c r="GL76" s="166">
        <v>20</v>
      </c>
      <c r="GM76" s="137">
        <f t="shared" si="409"/>
        <v>49</v>
      </c>
      <c r="GN76" s="137" t="str">
        <f t="shared" si="410"/>
        <v>53</v>
      </c>
      <c r="GO76" s="135">
        <f t="shared" si="515"/>
        <v>102</v>
      </c>
      <c r="GP76" s="137">
        <f t="shared" si="411"/>
        <v>51</v>
      </c>
      <c r="GQ76" s="135" t="str">
        <f t="shared" si="412"/>
        <v>C</v>
      </c>
      <c r="GR76" s="135" t="str">
        <f>VLOOKUP(RANK(GP76,$GP$10:$GP$109),Sheet1!$A$381:$B$480,2,FALSE)</f>
        <v>16th</v>
      </c>
      <c r="GS76" s="166">
        <v>21</v>
      </c>
      <c r="GT76" s="166">
        <v>30</v>
      </c>
      <c r="GU76" s="137">
        <f t="shared" si="413"/>
        <v>51</v>
      </c>
      <c r="GV76" s="137" t="str">
        <f t="shared" si="414"/>
        <v>57</v>
      </c>
      <c r="GW76" s="137">
        <f t="shared" si="415"/>
        <v>108</v>
      </c>
      <c r="GX76" s="137">
        <f t="shared" si="416"/>
        <v>54</v>
      </c>
      <c r="GY76" s="135" t="str">
        <f t="shared" si="417"/>
        <v>C</v>
      </c>
      <c r="GZ76" s="135" t="str">
        <f>VLOOKUP(RANK(GX76,$GX$10:$GX$109),Sheet1!$A$381:$B$480,2,FALSE)</f>
        <v>41st</v>
      </c>
      <c r="HA76" s="166">
        <v>30</v>
      </c>
      <c r="HB76" s="166">
        <v>18</v>
      </c>
      <c r="HC76" s="137">
        <f t="shared" si="418"/>
        <v>48</v>
      </c>
      <c r="HD76" s="137" t="str">
        <f t="shared" si="419"/>
        <v>42</v>
      </c>
      <c r="HE76" s="137">
        <f t="shared" si="420"/>
        <v>90</v>
      </c>
      <c r="HF76" s="137">
        <f t="shared" si="421"/>
        <v>45</v>
      </c>
      <c r="HG76" s="135" t="str">
        <f t="shared" si="422"/>
        <v>D</v>
      </c>
      <c r="HH76" s="135" t="str">
        <f>VLOOKUP(RANK(HF76,$HF$10:$HF$109),Sheet1!$A$381:$B$480,2,FALSE)</f>
        <v>23rd</v>
      </c>
      <c r="HI76" s="149">
        <v>28</v>
      </c>
      <c r="HJ76" s="149">
        <v>43</v>
      </c>
      <c r="HK76" s="137">
        <f t="shared" si="423"/>
        <v>71</v>
      </c>
      <c r="HL76" s="137" t="str">
        <f t="shared" si="424"/>
        <v>85</v>
      </c>
      <c r="HM76" s="137">
        <f t="shared" si="425"/>
        <v>156</v>
      </c>
      <c r="HN76" s="137">
        <f t="shared" si="426"/>
        <v>78</v>
      </c>
      <c r="HO76" s="135" t="str">
        <f t="shared" si="427"/>
        <v>A</v>
      </c>
      <c r="HP76" s="135" t="str">
        <f>VLOOKUP(RANK(HN76,$HN$10:$HN$109),Sheet1!$A$381:$B$480,2,FALSE)</f>
        <v>7th</v>
      </c>
      <c r="HQ76" s="137"/>
      <c r="HR76" s="137"/>
      <c r="HS76" s="137">
        <f t="shared" si="428"/>
        <v>0</v>
      </c>
      <c r="HT76" s="137" t="str">
        <f t="shared" si="429"/>
        <v>0</v>
      </c>
      <c r="HU76" s="137">
        <f t="shared" si="430"/>
        <v>0</v>
      </c>
      <c r="HV76" s="137">
        <f t="shared" si="431"/>
        <v>0</v>
      </c>
      <c r="HW76" s="135" t="str">
        <f t="shared" si="432"/>
        <v>F</v>
      </c>
      <c r="HX76" s="135" t="str">
        <f>VLOOKUP(RANK(HV76,$HV$10:$HV$109),Sheet1!$A$381:$B$480,2,FALSE)</f>
        <v>1st</v>
      </c>
      <c r="HY76" s="137"/>
      <c r="HZ76" s="137"/>
      <c r="IA76" s="137">
        <f t="shared" si="433"/>
        <v>0</v>
      </c>
      <c r="IB76" s="137" t="str">
        <f t="shared" si="434"/>
        <v>0</v>
      </c>
      <c r="IC76" s="137">
        <f t="shared" si="435"/>
        <v>0</v>
      </c>
      <c r="ID76" s="137">
        <f t="shared" si="436"/>
        <v>0</v>
      </c>
      <c r="IE76" s="135" t="str">
        <f t="shared" si="437"/>
        <v>F</v>
      </c>
      <c r="IF76" s="135" t="str">
        <f>VLOOKUP(RANK(ID76,$ID$10:$ID$109),Sheet1!$A$381:$B$480,2,FALSE)</f>
        <v>1st</v>
      </c>
      <c r="IG76" s="135"/>
      <c r="IH76" s="135"/>
      <c r="II76" s="135">
        <f t="shared" si="516"/>
        <v>0</v>
      </c>
      <c r="IJ76" s="135" t="str">
        <f t="shared" si="517"/>
        <v>0</v>
      </c>
      <c r="IK76" s="135">
        <f t="shared" si="518"/>
        <v>0</v>
      </c>
      <c r="IL76" s="135">
        <f t="shared" si="519"/>
        <v>0</v>
      </c>
      <c r="IM76" s="135" t="str">
        <f t="shared" si="438"/>
        <v>F</v>
      </c>
      <c r="IN76" s="135" t="str">
        <f>VLOOKUP(RANK(IL76,$IL$10:$IL$109),Sheet1!$A$381:$B$480,2,FALSE)</f>
        <v>1st</v>
      </c>
      <c r="IO76" s="135">
        <f t="shared" si="520"/>
        <v>692.5</v>
      </c>
      <c r="IP76" s="177">
        <f t="shared" si="521"/>
        <v>40.735294117647101</v>
      </c>
      <c r="IQ76" s="135" t="str">
        <f>VLOOKUP(RANK(IP76,$IP$10:$IP$109),Sheet1!$A$381:$B$480,2,FALSE)</f>
        <v>14th</v>
      </c>
      <c r="IR76" s="178"/>
      <c r="IS76" s="137"/>
      <c r="IT76" s="137"/>
      <c r="IU76" s="137"/>
      <c r="IV76" s="137"/>
      <c r="IW76" s="181"/>
      <c r="IX76" s="184"/>
      <c r="IY76" s="186"/>
      <c r="IZ76" s="186">
        <f t="shared" si="439"/>
        <v>0</v>
      </c>
      <c r="JA76" s="186" t="str">
        <f t="shared" si="440"/>
        <v>67</v>
      </c>
      <c r="JB76" s="186" t="str">
        <f t="shared" si="441"/>
        <v>62</v>
      </c>
      <c r="JC76" s="186">
        <f t="shared" si="522"/>
        <v>129</v>
      </c>
      <c r="JD76" s="186">
        <f t="shared" si="523"/>
        <v>43</v>
      </c>
      <c r="JE76" s="135" t="str">
        <f t="shared" si="442"/>
        <v>D</v>
      </c>
      <c r="JF76" s="151" t="str">
        <f>VLOOKUP(RANK(JD76,$JD$10:$JD$109),Sheet1!$A$381:$B$480,2,FALSE)</f>
        <v>61st</v>
      </c>
      <c r="JG76" s="186"/>
      <c r="JH76" s="186"/>
      <c r="JI76" s="186">
        <f t="shared" si="443"/>
        <v>0</v>
      </c>
      <c r="JJ76" s="186" t="str">
        <f t="shared" si="444"/>
        <v>60</v>
      </c>
      <c r="JK76" s="186" t="str">
        <f t="shared" si="445"/>
        <v>51</v>
      </c>
      <c r="JL76" s="186">
        <f t="shared" si="524"/>
        <v>111</v>
      </c>
      <c r="JM76" s="186">
        <f t="shared" si="525"/>
        <v>37</v>
      </c>
      <c r="JN76" s="135" t="str">
        <f t="shared" si="446"/>
        <v>E</v>
      </c>
      <c r="JO76" s="151" t="str">
        <f>VLOOKUP(RANK(JM76,$JM$10:$JM$109),Sheet1!$A$381:$B$480,2,FALSE)</f>
        <v>25th</v>
      </c>
      <c r="JP76" s="186"/>
      <c r="JQ76" s="186"/>
      <c r="JR76" s="186">
        <f t="shared" si="447"/>
        <v>0</v>
      </c>
      <c r="JS76" s="186" t="str">
        <f t="shared" si="448"/>
        <v>55</v>
      </c>
      <c r="JT76" s="186" t="str">
        <f t="shared" si="449"/>
        <v>58</v>
      </c>
      <c r="JU76" s="186">
        <f t="shared" si="526"/>
        <v>113</v>
      </c>
      <c r="JV76" s="186">
        <f t="shared" si="527"/>
        <v>37.6666666666667</v>
      </c>
      <c r="JW76" s="135" t="str">
        <f t="shared" si="450"/>
        <v>E</v>
      </c>
      <c r="JX76" s="151" t="str">
        <f>VLOOKUP(RANK(JV76,$JV$10:$JV$109),Sheet1!$A$381:$B$480,2,FALSE)</f>
        <v>19th</v>
      </c>
      <c r="JY76" s="186"/>
      <c r="JZ76" s="186"/>
      <c r="KA76" s="186">
        <f t="shared" si="451"/>
        <v>0</v>
      </c>
      <c r="KB76" s="186" t="str">
        <f t="shared" si="452"/>
        <v>51</v>
      </c>
      <c r="KC76" s="186" t="str">
        <f t="shared" si="453"/>
        <v>71</v>
      </c>
      <c r="KD76" s="186">
        <f t="shared" si="528"/>
        <v>122</v>
      </c>
      <c r="KE76" s="186">
        <f t="shared" si="529"/>
        <v>40.6666666666667</v>
      </c>
      <c r="KF76" s="135" t="str">
        <f t="shared" si="454"/>
        <v>D</v>
      </c>
      <c r="KG76" s="151" t="str">
        <f>VLOOKUP(RANK(KE76,$KE$10:$KE$109),Sheet1!$A$381:$B$480,2,FALSE)</f>
        <v>32nd</v>
      </c>
      <c r="KH76" s="186"/>
      <c r="KI76" s="186"/>
      <c r="KJ76" s="186">
        <f t="shared" si="455"/>
        <v>0</v>
      </c>
      <c r="KK76" s="186" t="str">
        <f t="shared" si="456"/>
        <v>63</v>
      </c>
      <c r="KL76" s="186" t="str">
        <f t="shared" si="457"/>
        <v>67</v>
      </c>
      <c r="KM76" s="186">
        <f t="shared" si="530"/>
        <v>130</v>
      </c>
      <c r="KN76" s="186">
        <f t="shared" si="531"/>
        <v>43.3333333333333</v>
      </c>
      <c r="KO76" s="135" t="str">
        <f t="shared" si="458"/>
        <v>D</v>
      </c>
      <c r="KP76" s="151" t="str">
        <f>VLOOKUP(RANK(KN76,$KN$10:$KN$109),Sheet1!$A$381:$B$480,2,FALSE)</f>
        <v>27th</v>
      </c>
      <c r="KQ76" s="186"/>
      <c r="KR76" s="186"/>
      <c r="KS76" s="186">
        <f t="shared" si="459"/>
        <v>0</v>
      </c>
      <c r="KT76" s="186" t="str">
        <f t="shared" si="460"/>
        <v>0</v>
      </c>
      <c r="KU76" s="186" t="str">
        <f t="shared" si="461"/>
        <v>0</v>
      </c>
      <c r="KV76" s="186">
        <f t="shared" si="532"/>
        <v>0</v>
      </c>
      <c r="KW76" s="186">
        <f t="shared" si="533"/>
        <v>0</v>
      </c>
      <c r="KX76" s="135" t="str">
        <f t="shared" si="462"/>
        <v>F</v>
      </c>
      <c r="KY76" s="151" t="str">
        <f>VLOOKUP(RANK(KW76,$KW$10:$KW$109),Sheet1!$A$381:$B$480,2,FALSE)</f>
        <v>1st</v>
      </c>
      <c r="KZ76" s="186"/>
      <c r="LA76" s="186"/>
      <c r="LB76" s="186">
        <f t="shared" si="463"/>
        <v>0</v>
      </c>
      <c r="LC76" s="186" t="str">
        <f t="shared" si="464"/>
        <v>0</v>
      </c>
      <c r="LD76" s="186" t="str">
        <f t="shared" si="465"/>
        <v>0</v>
      </c>
      <c r="LE76" s="186">
        <f t="shared" si="534"/>
        <v>0</v>
      </c>
      <c r="LF76" s="186">
        <f t="shared" si="535"/>
        <v>0</v>
      </c>
      <c r="LG76" s="135" t="str">
        <f t="shared" si="466"/>
        <v>F</v>
      </c>
      <c r="LH76" s="151" t="str">
        <f>VLOOKUP(RANK(LF76,$LF$10:$LF$109),Sheet1!$A$381:$B$480,2,FALSE)</f>
        <v>1st</v>
      </c>
      <c r="LI76" s="186"/>
      <c r="LJ76" s="186"/>
      <c r="LK76" s="186">
        <f t="shared" si="467"/>
        <v>0</v>
      </c>
      <c r="LL76" s="186" t="str">
        <f t="shared" si="468"/>
        <v>60</v>
      </c>
      <c r="LM76" s="186" t="str">
        <f t="shared" si="469"/>
        <v>54</v>
      </c>
      <c r="LN76" s="186">
        <f t="shared" si="536"/>
        <v>114</v>
      </c>
      <c r="LO76" s="186">
        <f t="shared" si="537"/>
        <v>38</v>
      </c>
      <c r="LP76" s="135" t="str">
        <f t="shared" si="470"/>
        <v>E</v>
      </c>
      <c r="LQ76" s="151" t="str">
        <f>VLOOKUP(RANK(LO76,$LO$10:$LO$109),Sheet1!$A$381:$B$480,2,FALSE)</f>
        <v>14th</v>
      </c>
      <c r="LR76" s="186"/>
      <c r="LS76" s="186"/>
      <c r="LT76" s="186">
        <f t="shared" si="471"/>
        <v>0</v>
      </c>
      <c r="LU76" s="186" t="str">
        <f t="shared" si="472"/>
        <v>51</v>
      </c>
      <c r="LV76" s="186" t="str">
        <f t="shared" si="473"/>
        <v>68</v>
      </c>
      <c r="LW76" s="186">
        <f t="shared" si="538"/>
        <v>119</v>
      </c>
      <c r="LX76" s="186">
        <f t="shared" si="539"/>
        <v>39.6666666666667</v>
      </c>
      <c r="LY76" s="135" t="str">
        <f t="shared" si="474"/>
        <v>E</v>
      </c>
      <c r="LZ76" s="151" t="str">
        <f>VLOOKUP(RANK(LX76,$LX$10:$LX$109),Sheet1!$A$381:$B$480,2,FALSE)</f>
        <v>22nd</v>
      </c>
      <c r="MA76" s="186"/>
      <c r="MB76" s="186"/>
      <c r="MC76" s="186">
        <f t="shared" si="475"/>
        <v>0</v>
      </c>
      <c r="MD76" s="186" t="str">
        <f t="shared" si="476"/>
        <v>76</v>
      </c>
      <c r="ME76" s="186" t="str">
        <f t="shared" si="477"/>
        <v>66</v>
      </c>
      <c r="MF76" s="183">
        <f t="shared" si="540"/>
        <v>142</v>
      </c>
      <c r="MG76" s="151">
        <f t="shared" si="541"/>
        <v>47.3333333333333</v>
      </c>
      <c r="MH76" s="135" t="str">
        <f t="shared" si="478"/>
        <v>D</v>
      </c>
      <c r="MI76" s="151" t="str">
        <f>VLOOKUP(RANK(MG76,$MG$10:$MG$109),Sheet1!$A$381:$B$480,2,FALSE)</f>
        <v>2nd</v>
      </c>
      <c r="MJ76" s="186"/>
      <c r="MK76" s="186"/>
      <c r="ML76" s="186">
        <f t="shared" si="479"/>
        <v>0</v>
      </c>
      <c r="MM76" s="186" t="str">
        <f t="shared" si="480"/>
        <v>53</v>
      </c>
      <c r="MN76" s="186" t="str">
        <f t="shared" si="481"/>
        <v>49</v>
      </c>
      <c r="MO76" s="186">
        <f t="shared" si="542"/>
        <v>102</v>
      </c>
      <c r="MP76" s="186">
        <f t="shared" si="543"/>
        <v>34</v>
      </c>
      <c r="MQ76" s="135" t="str">
        <f t="shared" si="482"/>
        <v>F</v>
      </c>
      <c r="MR76" s="151" t="str">
        <f>VLOOKUP(RANK(MP76,$MP$10:$MP$109),Sheet1!$A$381:$B$480,2,FALSE)</f>
        <v>16th</v>
      </c>
      <c r="MS76" s="186"/>
      <c r="MT76" s="186"/>
      <c r="MU76" s="186">
        <f t="shared" si="483"/>
        <v>0</v>
      </c>
      <c r="MV76" s="186" t="str">
        <f t="shared" si="484"/>
        <v>57</v>
      </c>
      <c r="MW76" s="186" t="str">
        <f t="shared" si="485"/>
        <v>51</v>
      </c>
      <c r="MX76" s="186">
        <f t="shared" si="544"/>
        <v>108</v>
      </c>
      <c r="MY76" s="186">
        <f t="shared" si="545"/>
        <v>36</v>
      </c>
      <c r="MZ76" s="135" t="str">
        <f t="shared" si="486"/>
        <v>E</v>
      </c>
      <c r="NA76" s="151" t="str">
        <f>VLOOKUP(RANK(MY76,$MY$10:$MY$109),Sheet1!$A$381:$B$480,2,FALSE)</f>
        <v>41st</v>
      </c>
      <c r="NB76" s="186"/>
      <c r="NC76" s="186"/>
      <c r="ND76" s="186">
        <f t="shared" si="487"/>
        <v>0</v>
      </c>
      <c r="NE76" s="186" t="str">
        <f t="shared" si="488"/>
        <v>42</v>
      </c>
      <c r="NF76" s="186" t="str">
        <f t="shared" si="489"/>
        <v>48</v>
      </c>
      <c r="NG76" s="186">
        <f t="shared" si="546"/>
        <v>90</v>
      </c>
      <c r="NH76" s="186">
        <f t="shared" si="547"/>
        <v>30</v>
      </c>
      <c r="NI76" s="135" t="str">
        <f t="shared" si="490"/>
        <v>F</v>
      </c>
      <c r="NJ76" s="151" t="str">
        <f>VLOOKUP(RANK(NH76,$NH$10:$NH$109),Sheet1!$A$381:$B$480,2,FALSE)</f>
        <v>23rd</v>
      </c>
      <c r="NK76" s="186"/>
      <c r="NL76" s="186"/>
      <c r="NM76" s="186">
        <f t="shared" si="491"/>
        <v>0</v>
      </c>
      <c r="NN76" s="186" t="str">
        <f t="shared" si="492"/>
        <v>85</v>
      </c>
      <c r="NO76" s="186" t="str">
        <f t="shared" si="493"/>
        <v>71</v>
      </c>
      <c r="NP76" s="186">
        <f t="shared" si="548"/>
        <v>156</v>
      </c>
      <c r="NQ76" s="186">
        <f t="shared" si="494"/>
        <v>52</v>
      </c>
      <c r="NR76" s="135" t="str">
        <f t="shared" si="495"/>
        <v>C</v>
      </c>
      <c r="NS76" s="151" t="str">
        <f>VLOOKUP(RANK(NQ76,$NQ$10:$NQ$109),Sheet1!$A$381:$B$480,2,FALSE)</f>
        <v>7th</v>
      </c>
      <c r="NT76" s="186"/>
      <c r="NU76" s="186"/>
      <c r="NV76" s="186">
        <f t="shared" si="496"/>
        <v>0</v>
      </c>
      <c r="NW76" s="186" t="str">
        <f t="shared" si="497"/>
        <v>0</v>
      </c>
      <c r="NX76" s="186" t="str">
        <f t="shared" si="498"/>
        <v>0</v>
      </c>
      <c r="NY76" s="186">
        <f t="shared" si="549"/>
        <v>0</v>
      </c>
      <c r="NZ76" s="186">
        <f t="shared" si="499"/>
        <v>0</v>
      </c>
      <c r="OA76" s="135" t="str">
        <f t="shared" si="500"/>
        <v>F</v>
      </c>
      <c r="OB76" s="151" t="str">
        <f>VLOOKUP(RANK(NZ76,$NZ$10:$NZ$109),Sheet1!$A$381:$B$480,2,FALSE)</f>
        <v>1st</v>
      </c>
      <c r="OC76" s="186"/>
      <c r="OD76" s="186"/>
      <c r="OE76" s="186">
        <f t="shared" si="501"/>
        <v>0</v>
      </c>
      <c r="OF76" s="186" t="str">
        <f t="shared" si="502"/>
        <v>0</v>
      </c>
      <c r="OG76" s="186" t="str">
        <f t="shared" si="503"/>
        <v>0</v>
      </c>
      <c r="OH76" s="186">
        <f t="shared" si="550"/>
        <v>0</v>
      </c>
      <c r="OI76" s="186">
        <f t="shared" si="504"/>
        <v>0</v>
      </c>
      <c r="OJ76" s="135" t="str">
        <f t="shared" si="505"/>
        <v>F</v>
      </c>
      <c r="OK76" s="151" t="str">
        <f>VLOOKUP(RANK(OI76,$OI$10:$OI$109),Sheet1!$A$381:$B$480,2,FALSE)</f>
        <v>1st</v>
      </c>
      <c r="OL76" s="151"/>
      <c r="OM76" s="151"/>
      <c r="ON76" s="151">
        <f t="shared" si="551"/>
        <v>0</v>
      </c>
      <c r="OO76" s="151" t="str">
        <f t="shared" si="552"/>
        <v>0</v>
      </c>
      <c r="OP76" s="151" t="str">
        <f t="shared" si="553"/>
        <v>0</v>
      </c>
      <c r="OQ76" s="151">
        <f t="shared" si="554"/>
        <v>0</v>
      </c>
      <c r="OR76" s="151">
        <f t="shared" si="555"/>
        <v>0</v>
      </c>
      <c r="OS76" s="135" t="str">
        <f t="shared" si="506"/>
        <v>F</v>
      </c>
      <c r="OT76" s="151" t="str">
        <f>VLOOKUP(RANK(OR76,$OI$10:$OI$109),Sheet1!$A$381:$B$480,2,FALSE)</f>
        <v>1st</v>
      </c>
      <c r="OU76" s="151">
        <f t="shared" si="556"/>
        <v>478.66666666666703</v>
      </c>
      <c r="OV76" s="151">
        <f t="shared" si="557"/>
        <v>28.156862745098</v>
      </c>
      <c r="OW76" s="151" t="str">
        <f>VLOOKUP(RANK(OV76,$OV$10:$OV$109),Sheet1!$A$381:$B$480,2,FALSE)</f>
        <v>15th</v>
      </c>
      <c r="OX76" s="151"/>
      <c r="OY76" s="186"/>
      <c r="OZ76" s="186"/>
      <c r="PA76" s="186"/>
      <c r="PB76" s="186"/>
    </row>
    <row r="77" spans="1:418" s="118" customFormat="1" ht="18.75">
      <c r="A77" s="131">
        <v>68</v>
      </c>
      <c r="B77" s="132" t="s">
        <v>167</v>
      </c>
      <c r="C77" s="133" t="s">
        <v>97</v>
      </c>
      <c r="D77" s="134">
        <v>21</v>
      </c>
      <c r="E77" s="134">
        <v>49</v>
      </c>
      <c r="F77" s="137">
        <f t="shared" si="315"/>
        <v>70</v>
      </c>
      <c r="G77" s="137">
        <f t="shared" si="316"/>
        <v>70</v>
      </c>
      <c r="H77" s="135" t="str">
        <f t="shared" si="507"/>
        <v>B</v>
      </c>
      <c r="I77" s="135" t="str">
        <f>VLOOKUP(RANK(G77,$G$10:$G$109),Sheet1!$A$381:$B$480,2,FALSE)</f>
        <v>36th</v>
      </c>
      <c r="J77" s="134">
        <v>25</v>
      </c>
      <c r="K77" s="134">
        <v>28</v>
      </c>
      <c r="L77" s="137">
        <f t="shared" si="317"/>
        <v>53</v>
      </c>
      <c r="M77" s="137">
        <f t="shared" si="318"/>
        <v>53</v>
      </c>
      <c r="N77" s="135" t="str">
        <f t="shared" si="319"/>
        <v>C</v>
      </c>
      <c r="O77" s="141" t="str">
        <f>VLOOKUP(RANK(M77,$M$10:$M$109),Sheet1!$A$381:$B$480,2,FALSE)</f>
        <v>45th</v>
      </c>
      <c r="P77" s="144">
        <v>25</v>
      </c>
      <c r="Q77" s="144">
        <v>15</v>
      </c>
      <c r="R77" s="147">
        <f t="shared" si="320"/>
        <v>40</v>
      </c>
      <c r="S77" s="137">
        <f t="shared" si="321"/>
        <v>40</v>
      </c>
      <c r="T77" s="135" t="str">
        <f t="shared" si="322"/>
        <v>D</v>
      </c>
      <c r="U77" s="135" t="str">
        <f>VLOOKUP(RANK(S77,$S$10:$S$109),Sheet1!$A$381:$B$480,2,FALSE)</f>
        <v>57th</v>
      </c>
      <c r="V77" s="134">
        <v>31</v>
      </c>
      <c r="W77" s="134">
        <v>30</v>
      </c>
      <c r="X77" s="137">
        <f t="shared" ref="X77:X110" si="559">SUM(V77:W77)</f>
        <v>61</v>
      </c>
      <c r="Y77" s="137">
        <f t="shared" si="558"/>
        <v>61</v>
      </c>
      <c r="Z77" s="135" t="str">
        <f t="shared" si="323"/>
        <v>B</v>
      </c>
      <c r="AA77" s="135" t="str">
        <f>VLOOKUP(RANK(Y77,$Y$10:$Y$109),Sheet1!$A$381:$B$480,2,FALSE)</f>
        <v>32nd</v>
      </c>
      <c r="AB77" s="134">
        <v>29</v>
      </c>
      <c r="AC77" s="134">
        <v>21</v>
      </c>
      <c r="AD77" s="137">
        <f t="shared" si="324"/>
        <v>50</v>
      </c>
      <c r="AE77" s="137">
        <f t="shared" si="325"/>
        <v>50</v>
      </c>
      <c r="AF77" s="135" t="str">
        <f t="shared" si="326"/>
        <v>C</v>
      </c>
      <c r="AG77" s="135" t="str">
        <f>VLOOKUP(RANK(AE77,$AE$10:$AE$109),Sheet1!$A$381:$B$480,2,FALSE)</f>
        <v>68th</v>
      </c>
      <c r="AH77" s="137"/>
      <c r="AI77" s="137"/>
      <c r="AJ77" s="137">
        <f t="shared" si="327"/>
        <v>0</v>
      </c>
      <c r="AK77" s="137">
        <f t="shared" si="328"/>
        <v>0</v>
      </c>
      <c r="AL77" s="135" t="str">
        <f t="shared" si="329"/>
        <v>F</v>
      </c>
      <c r="AM77" s="135" t="str">
        <f>VLOOKUP(RANK(AK77,$AK$10:$AK$109),Sheet1!$A$381:$B$480,2,FALSE)</f>
        <v>1st</v>
      </c>
      <c r="AN77" s="134"/>
      <c r="AO77" s="134"/>
      <c r="AP77" s="137">
        <f t="shared" si="330"/>
        <v>0</v>
      </c>
      <c r="AQ77" s="137">
        <f t="shared" si="331"/>
        <v>0</v>
      </c>
      <c r="AR77" s="135" t="str">
        <f t="shared" si="332"/>
        <v>F</v>
      </c>
      <c r="AS77" s="135" t="str">
        <f>VLOOKUP(RANK(AQ77,$AQ$10:$AQ$109),Sheet1!$A$381:$B$480,2,FALSE)</f>
        <v>1st</v>
      </c>
      <c r="AT77" s="142">
        <v>25</v>
      </c>
      <c r="AU77" s="145">
        <v>25</v>
      </c>
      <c r="AV77" s="137">
        <f t="shared" si="333"/>
        <v>50</v>
      </c>
      <c r="AW77" s="137">
        <f t="shared" si="334"/>
        <v>50</v>
      </c>
      <c r="AX77" s="135" t="str">
        <f t="shared" si="335"/>
        <v>C</v>
      </c>
      <c r="AY77" s="141" t="str">
        <f>VLOOKUP(RANK(AW77,$AW$10:$AW$109),Sheet1!$A$381:$B$480,2,FALSE)</f>
        <v>58th</v>
      </c>
      <c r="AZ77" s="144">
        <v>34</v>
      </c>
      <c r="BA77" s="144">
        <v>28</v>
      </c>
      <c r="BB77" s="147">
        <f t="shared" si="336"/>
        <v>62</v>
      </c>
      <c r="BC77" s="137">
        <f t="shared" si="337"/>
        <v>62</v>
      </c>
      <c r="BD77" s="135" t="str">
        <f t="shared" si="338"/>
        <v>B</v>
      </c>
      <c r="BE77" s="135" t="str">
        <f>VLOOKUP(RANK(BC77,$BC$10:$BC$109),Sheet1!$A$381:$B$480,2,FALSE)</f>
        <v>25th</v>
      </c>
      <c r="BF77" s="144">
        <v>18</v>
      </c>
      <c r="BG77" s="144">
        <v>31</v>
      </c>
      <c r="BH77" s="137">
        <f t="shared" si="339"/>
        <v>49</v>
      </c>
      <c r="BI77" s="137">
        <f t="shared" si="340"/>
        <v>49</v>
      </c>
      <c r="BJ77" s="135" t="str">
        <f t="shared" si="341"/>
        <v>D</v>
      </c>
      <c r="BK77" s="141" t="str">
        <f>VLOOKUP(RANK(BI77,$BI$10:$BI$109),Sheet1!$A$381:$B$480,2,FALSE)</f>
        <v>17th</v>
      </c>
      <c r="BL77" s="149">
        <v>28</v>
      </c>
      <c r="BM77" s="149">
        <v>26</v>
      </c>
      <c r="BN77" s="147">
        <f t="shared" si="342"/>
        <v>54</v>
      </c>
      <c r="BO77" s="137">
        <f t="shared" si="343"/>
        <v>54</v>
      </c>
      <c r="BP77" s="135" t="str">
        <f t="shared" si="344"/>
        <v>C</v>
      </c>
      <c r="BQ77" s="141" t="str">
        <f>VLOOKUP(RANK(BO77,$BO$10:$BO$109),Sheet1!$A$381:$B$480,2,FALSE)</f>
        <v>23rd</v>
      </c>
      <c r="BR77" s="149">
        <v>27</v>
      </c>
      <c r="BS77" s="149">
        <v>5</v>
      </c>
      <c r="BT77" s="147">
        <f t="shared" si="345"/>
        <v>32</v>
      </c>
      <c r="BU77" s="137">
        <f t="shared" si="346"/>
        <v>32</v>
      </c>
      <c r="BV77" s="135" t="str">
        <f t="shared" si="347"/>
        <v>F</v>
      </c>
      <c r="BW77" s="135" t="str">
        <f>VLOOKUP(RANK(BU77,$BU$10:$BU$109),Sheet1!$A$381:$B$480,2,FALSE)</f>
        <v>88th</v>
      </c>
      <c r="BX77" s="149">
        <v>27</v>
      </c>
      <c r="BY77" s="149">
        <v>10</v>
      </c>
      <c r="BZ77" s="137">
        <f t="shared" si="348"/>
        <v>37</v>
      </c>
      <c r="CA77" s="137">
        <f t="shared" si="349"/>
        <v>37</v>
      </c>
      <c r="CB77" s="135" t="str">
        <f t="shared" si="350"/>
        <v>E</v>
      </c>
      <c r="CC77" s="135" t="str">
        <f>VLOOKUP(RANK(CA77,$CA$10:$CA$109),Sheet1!$A$381:$B$480,2,FALSE)</f>
        <v>70th</v>
      </c>
      <c r="CD77" s="149">
        <v>20</v>
      </c>
      <c r="CE77" s="149">
        <v>30</v>
      </c>
      <c r="CF77" s="137">
        <f t="shared" si="351"/>
        <v>50</v>
      </c>
      <c r="CG77" s="137">
        <f t="shared" si="352"/>
        <v>50</v>
      </c>
      <c r="CH77" s="135" t="str">
        <f t="shared" si="353"/>
        <v>C</v>
      </c>
      <c r="CI77" s="135" t="str">
        <f>VLOOKUP(RANK(CG77,$CG$10:$CG$109),Sheet1!$A$381:$B$480,2,FALSE)</f>
        <v>71st</v>
      </c>
      <c r="CJ77" s="137"/>
      <c r="CK77" s="137"/>
      <c r="CL77" s="137">
        <f t="shared" si="354"/>
        <v>0</v>
      </c>
      <c r="CM77" s="137">
        <f t="shared" si="355"/>
        <v>0</v>
      </c>
      <c r="CN77" s="135" t="str">
        <f t="shared" si="356"/>
        <v>F</v>
      </c>
      <c r="CO77" s="135" t="str">
        <f>VLOOKUP(RANK(CM77,$CM$10:$CM$109),Sheet1!$A$381:$B$480,2,FALSE)</f>
        <v>1st</v>
      </c>
      <c r="CP77" s="137"/>
      <c r="CQ77" s="137"/>
      <c r="CR77" s="137">
        <f t="shared" si="357"/>
        <v>0</v>
      </c>
      <c r="CS77" s="137">
        <f t="shared" si="358"/>
        <v>0</v>
      </c>
      <c r="CT77" s="135" t="str">
        <f t="shared" si="359"/>
        <v>F</v>
      </c>
      <c r="CU77" s="135" t="str">
        <f>VLOOKUP(RANK(CS77,$CS$10:$CS$109),Sheet1!$A$381:$B$480,2,FALSE)</f>
        <v>1st</v>
      </c>
      <c r="CV77" s="151"/>
      <c r="CW77" s="135"/>
      <c r="CX77" s="151">
        <f t="shared" si="508"/>
        <v>0</v>
      </c>
      <c r="CY77" s="151">
        <f t="shared" si="509"/>
        <v>0</v>
      </c>
      <c r="CZ77" s="135" t="str">
        <f t="shared" si="360"/>
        <v>F</v>
      </c>
      <c r="DA77" s="135" t="str">
        <f>VLOOKUP(RANK(CY77,$CY$10:$CY$109),Sheet1!$A$381:$B$480,2,FALSE)</f>
        <v>1st</v>
      </c>
      <c r="DB77" s="135"/>
      <c r="DC77" s="151">
        <f t="shared" si="510"/>
        <v>608</v>
      </c>
      <c r="DD77" s="151">
        <f t="shared" si="511"/>
        <v>35.764705882352899</v>
      </c>
      <c r="DE77" s="135" t="str">
        <f>VLOOKUP(RANK(DD77,$DD$10:$DD$109),Sheet1!$A$381:$B$480,2,FALSE)</f>
        <v>54th</v>
      </c>
      <c r="DF77" s="137"/>
      <c r="DG77" s="160">
        <f t="shared" si="361"/>
        <v>643.76470588235304</v>
      </c>
      <c r="DH77" s="119"/>
      <c r="DI77" s="162">
        <v>20</v>
      </c>
      <c r="DJ77" s="162">
        <v>46</v>
      </c>
      <c r="DK77" s="137">
        <f t="shared" si="362"/>
        <v>66</v>
      </c>
      <c r="DL77" s="137" t="str">
        <f t="shared" si="363"/>
        <v>70</v>
      </c>
      <c r="DM77" s="137">
        <f t="shared" si="364"/>
        <v>136</v>
      </c>
      <c r="DN77" s="137">
        <f t="shared" si="365"/>
        <v>68</v>
      </c>
      <c r="DO77" s="135" t="str">
        <f t="shared" si="366"/>
        <v>B</v>
      </c>
      <c r="DP77" s="135" t="str">
        <f>VLOOKUP(RANK(DN77,$DN$10:$DN$109),Sheet1!$A$381:$B$480,2,FALSE)</f>
        <v>46th</v>
      </c>
      <c r="DQ77" s="166">
        <v>29</v>
      </c>
      <c r="DR77" s="166">
        <v>28</v>
      </c>
      <c r="DS77" s="137">
        <f t="shared" si="367"/>
        <v>57</v>
      </c>
      <c r="DT77" s="137" t="str">
        <f t="shared" si="368"/>
        <v>53</v>
      </c>
      <c r="DU77" s="137">
        <f t="shared" si="369"/>
        <v>110</v>
      </c>
      <c r="DV77" s="137">
        <f t="shared" si="370"/>
        <v>55</v>
      </c>
      <c r="DW77" s="135" t="str">
        <f t="shared" si="371"/>
        <v>C</v>
      </c>
      <c r="DX77" s="135" t="str">
        <f>VLOOKUP(RANK(DV77,$DV$10:$DV$109),Sheet1!$A$381:$B$480,2,FALSE)</f>
        <v>26th</v>
      </c>
      <c r="DY77" s="168">
        <v>30</v>
      </c>
      <c r="DZ77" s="168">
        <v>27</v>
      </c>
      <c r="EA77" s="137">
        <f t="shared" si="372"/>
        <v>57</v>
      </c>
      <c r="EB77" s="137" t="str">
        <f t="shared" si="373"/>
        <v>40</v>
      </c>
      <c r="EC77" s="137">
        <f t="shared" si="374"/>
        <v>97</v>
      </c>
      <c r="ED77" s="137">
        <f t="shared" si="375"/>
        <v>48.5</v>
      </c>
      <c r="EE77" s="135" t="str">
        <f t="shared" si="376"/>
        <v>D</v>
      </c>
      <c r="EF77" s="135" t="str">
        <f>VLOOKUP(RANK(ED77,$ED$10:$ED$109),Sheet1!$A$381:$B$480,2,FALSE)</f>
        <v>42nd</v>
      </c>
      <c r="EG77" s="162">
        <v>33</v>
      </c>
      <c r="EH77" s="162">
        <v>27</v>
      </c>
      <c r="EI77" s="137">
        <f t="shared" si="377"/>
        <v>60</v>
      </c>
      <c r="EJ77" s="137" t="str">
        <f t="shared" si="378"/>
        <v>61</v>
      </c>
      <c r="EK77" s="137">
        <f t="shared" si="379"/>
        <v>121</v>
      </c>
      <c r="EL77" s="137">
        <f t="shared" si="380"/>
        <v>60.5</v>
      </c>
      <c r="EM77" s="135" t="str">
        <f t="shared" si="381"/>
        <v>B</v>
      </c>
      <c r="EN77" s="135" t="str">
        <f>VLOOKUP(RANK(EL77,$EL$10:$EL$109),Sheet1!$A$381:$B$480,2,FALSE)</f>
        <v>34th</v>
      </c>
      <c r="EO77" s="162">
        <v>29</v>
      </c>
      <c r="EP77" s="162">
        <v>21</v>
      </c>
      <c r="EQ77" s="137">
        <f t="shared" si="382"/>
        <v>50</v>
      </c>
      <c r="ER77" s="137" t="str">
        <f t="shared" si="383"/>
        <v>50</v>
      </c>
      <c r="ES77" s="137">
        <f t="shared" si="384"/>
        <v>100</v>
      </c>
      <c r="ET77" s="137">
        <f t="shared" si="385"/>
        <v>50</v>
      </c>
      <c r="EU77" s="135" t="str">
        <f t="shared" si="386"/>
        <v>C</v>
      </c>
      <c r="EV77" s="135" t="str">
        <f>VLOOKUP(RANK(ET77,$ET$10:$ET$109),Sheet1!$A$381:$B$480,2,FALSE)</f>
        <v>60th</v>
      </c>
      <c r="EW77" s="137"/>
      <c r="EX77" s="137"/>
      <c r="EY77" s="137">
        <f t="shared" si="387"/>
        <v>0</v>
      </c>
      <c r="EZ77" s="137" t="str">
        <f t="shared" si="388"/>
        <v>0</v>
      </c>
      <c r="FA77" s="137">
        <f t="shared" si="389"/>
        <v>0</v>
      </c>
      <c r="FB77" s="137">
        <f t="shared" si="390"/>
        <v>0</v>
      </c>
      <c r="FC77" s="135" t="str">
        <f t="shared" si="391"/>
        <v>F</v>
      </c>
      <c r="FD77" s="135" t="str">
        <f>VLOOKUP(RANK(FB77,$FB$10:$FB$109),Sheet1!$A$381:$B$480,2,FALSE)</f>
        <v>1st</v>
      </c>
      <c r="FE77" s="137"/>
      <c r="FF77" s="137"/>
      <c r="FG77" s="137">
        <f t="shared" si="392"/>
        <v>0</v>
      </c>
      <c r="FH77" s="137" t="str">
        <f t="shared" si="393"/>
        <v>0</v>
      </c>
      <c r="FI77" s="137">
        <f t="shared" si="394"/>
        <v>0</v>
      </c>
      <c r="FJ77" s="137">
        <f t="shared" si="395"/>
        <v>0</v>
      </c>
      <c r="FK77" s="135" t="str">
        <f t="shared" si="396"/>
        <v>F</v>
      </c>
      <c r="FL77" s="135" t="str">
        <f>VLOOKUP(RANK(FJ77,$FJ$10:$FJ$109),Sheet1!$A$381:$B$480,2,FALSE)</f>
        <v>1st</v>
      </c>
      <c r="FM77" s="164">
        <v>25</v>
      </c>
      <c r="FN77" s="165">
        <v>26</v>
      </c>
      <c r="FO77" s="137">
        <f t="shared" si="397"/>
        <v>51</v>
      </c>
      <c r="FP77" s="137" t="str">
        <f t="shared" si="398"/>
        <v>50</v>
      </c>
      <c r="FQ77" s="137">
        <f t="shared" si="399"/>
        <v>101</v>
      </c>
      <c r="FR77" s="137">
        <f t="shared" si="400"/>
        <v>50.5</v>
      </c>
      <c r="FS77" s="135" t="str">
        <f t="shared" si="401"/>
        <v>C</v>
      </c>
      <c r="FT77" s="135" t="str">
        <f>VLOOKUP(RANK(FR77,$FR$10:$FR$109),Sheet1!$A$381:$B$480,2,FALSE)</f>
        <v>65th</v>
      </c>
      <c r="FU77" s="149">
        <v>29</v>
      </c>
      <c r="FV77" s="149">
        <v>15</v>
      </c>
      <c r="FW77" s="137">
        <f t="shared" si="402"/>
        <v>44</v>
      </c>
      <c r="FX77" s="137" t="str">
        <f t="shared" si="403"/>
        <v>62</v>
      </c>
      <c r="FY77" s="137">
        <f t="shared" si="512"/>
        <v>44</v>
      </c>
      <c r="FZ77" s="137">
        <f t="shared" si="404"/>
        <v>22</v>
      </c>
      <c r="GA77" s="135" t="str">
        <f t="shared" si="405"/>
        <v>F</v>
      </c>
      <c r="GB77" s="135" t="str">
        <f>VLOOKUP(RANK(FZ77,$FZ$10:$FZ$109),Sheet1!$A$381:$B$480,2,FALSE)</f>
        <v>67th</v>
      </c>
      <c r="GC77" s="166">
        <v>17</v>
      </c>
      <c r="GD77" s="166">
        <v>30</v>
      </c>
      <c r="GE77" s="137">
        <f t="shared" si="406"/>
        <v>47</v>
      </c>
      <c r="GF77" s="137" t="str">
        <f t="shared" si="407"/>
        <v>49</v>
      </c>
      <c r="GG77" s="135">
        <f t="shared" si="513"/>
        <v>96</v>
      </c>
      <c r="GH77" s="137">
        <f t="shared" si="514"/>
        <v>48</v>
      </c>
      <c r="GI77" s="135" t="str">
        <f t="shared" si="408"/>
        <v>D</v>
      </c>
      <c r="GJ77" s="135" t="str">
        <f>VLOOKUP(RANK(GH77,$GH$10:$GH$109),Sheet1!$A$381:$B$480,2,FALSE)</f>
        <v>19th</v>
      </c>
      <c r="GK77" s="166">
        <v>26</v>
      </c>
      <c r="GL77" s="166">
        <v>16</v>
      </c>
      <c r="GM77" s="137">
        <f t="shared" si="409"/>
        <v>42</v>
      </c>
      <c r="GN77" s="137" t="str">
        <f t="shared" si="410"/>
        <v>54</v>
      </c>
      <c r="GO77" s="135">
        <f t="shared" si="515"/>
        <v>96</v>
      </c>
      <c r="GP77" s="137">
        <f t="shared" si="411"/>
        <v>48</v>
      </c>
      <c r="GQ77" s="135" t="str">
        <f t="shared" si="412"/>
        <v>D</v>
      </c>
      <c r="GR77" s="135" t="str">
        <f>VLOOKUP(RANK(GP77,$GP$10:$GP$109),Sheet1!$A$381:$B$480,2,FALSE)</f>
        <v>45th</v>
      </c>
      <c r="GS77" s="166">
        <v>20</v>
      </c>
      <c r="GT77" s="166">
        <v>17</v>
      </c>
      <c r="GU77" s="137">
        <f t="shared" si="413"/>
        <v>37</v>
      </c>
      <c r="GV77" s="137" t="str">
        <f t="shared" si="414"/>
        <v>32</v>
      </c>
      <c r="GW77" s="137">
        <f t="shared" si="415"/>
        <v>69</v>
      </c>
      <c r="GX77" s="137">
        <f t="shared" si="416"/>
        <v>34.5</v>
      </c>
      <c r="GY77" s="135" t="str">
        <f t="shared" si="417"/>
        <v>F</v>
      </c>
      <c r="GZ77" s="135" t="str">
        <f>VLOOKUP(RANK(GX77,$GX$10:$GX$109),Sheet1!$A$381:$B$480,2,FALSE)</f>
        <v>88th</v>
      </c>
      <c r="HA77" s="166">
        <v>30</v>
      </c>
      <c r="HB77" s="166">
        <v>8</v>
      </c>
      <c r="HC77" s="137">
        <f t="shared" si="418"/>
        <v>38</v>
      </c>
      <c r="HD77" s="137" t="str">
        <f t="shared" si="419"/>
        <v>37</v>
      </c>
      <c r="HE77" s="137">
        <f t="shared" si="420"/>
        <v>75</v>
      </c>
      <c r="HF77" s="137">
        <f t="shared" si="421"/>
        <v>37.5</v>
      </c>
      <c r="HG77" s="135" t="str">
        <f t="shared" si="422"/>
        <v>E</v>
      </c>
      <c r="HH77" s="135" t="str">
        <f>VLOOKUP(RANK(HF77,$HF$10:$HF$109),Sheet1!$A$381:$B$480,2,FALSE)</f>
        <v>86th</v>
      </c>
      <c r="HI77" s="149">
        <v>28</v>
      </c>
      <c r="HJ77" s="149">
        <v>41</v>
      </c>
      <c r="HK77" s="137">
        <f t="shared" si="423"/>
        <v>69</v>
      </c>
      <c r="HL77" s="137" t="str">
        <f t="shared" si="424"/>
        <v>50</v>
      </c>
      <c r="HM77" s="137">
        <f t="shared" si="425"/>
        <v>119</v>
      </c>
      <c r="HN77" s="137">
        <f t="shared" si="426"/>
        <v>59.5</v>
      </c>
      <c r="HO77" s="135" t="str">
        <f t="shared" si="427"/>
        <v>C</v>
      </c>
      <c r="HP77" s="135" t="str">
        <f>VLOOKUP(RANK(HN77,$HN$10:$HN$109),Sheet1!$A$381:$B$480,2,FALSE)</f>
        <v>73rd</v>
      </c>
      <c r="HQ77" s="137"/>
      <c r="HR77" s="137"/>
      <c r="HS77" s="137">
        <f t="shared" si="428"/>
        <v>0</v>
      </c>
      <c r="HT77" s="137" t="str">
        <f t="shared" si="429"/>
        <v>0</v>
      </c>
      <c r="HU77" s="137">
        <f t="shared" si="430"/>
        <v>0</v>
      </c>
      <c r="HV77" s="137">
        <f t="shared" si="431"/>
        <v>0</v>
      </c>
      <c r="HW77" s="135" t="str">
        <f t="shared" si="432"/>
        <v>F</v>
      </c>
      <c r="HX77" s="135" t="str">
        <f>VLOOKUP(RANK(HV77,$HV$10:$HV$109),Sheet1!$A$381:$B$480,2,FALSE)</f>
        <v>1st</v>
      </c>
      <c r="HY77" s="137"/>
      <c r="HZ77" s="137"/>
      <c r="IA77" s="137">
        <f t="shared" si="433"/>
        <v>0</v>
      </c>
      <c r="IB77" s="137" t="str">
        <f t="shared" si="434"/>
        <v>0</v>
      </c>
      <c r="IC77" s="137">
        <f t="shared" si="435"/>
        <v>0</v>
      </c>
      <c r="ID77" s="137">
        <f t="shared" si="436"/>
        <v>0</v>
      </c>
      <c r="IE77" s="135" t="str">
        <f t="shared" si="437"/>
        <v>F</v>
      </c>
      <c r="IF77" s="135" t="str">
        <f>VLOOKUP(RANK(ID77,$ID$10:$ID$109),Sheet1!$A$381:$B$480,2,FALSE)</f>
        <v>1st</v>
      </c>
      <c r="IG77" s="135"/>
      <c r="IH77" s="135"/>
      <c r="II77" s="135">
        <f t="shared" si="516"/>
        <v>0</v>
      </c>
      <c r="IJ77" s="135" t="str">
        <f t="shared" si="517"/>
        <v>0</v>
      </c>
      <c r="IK77" s="135">
        <f t="shared" si="518"/>
        <v>0</v>
      </c>
      <c r="IL77" s="135">
        <f t="shared" si="519"/>
        <v>0</v>
      </c>
      <c r="IM77" s="135" t="str">
        <f t="shared" si="438"/>
        <v>F</v>
      </c>
      <c r="IN77" s="135" t="str">
        <f>VLOOKUP(RANK(IL77,$IL$10:$IL$109),Sheet1!$A$381:$B$480,2,FALSE)</f>
        <v>1st</v>
      </c>
      <c r="IO77" s="135">
        <f t="shared" si="520"/>
        <v>582</v>
      </c>
      <c r="IP77" s="177">
        <f t="shared" si="521"/>
        <v>34.235294117647101</v>
      </c>
      <c r="IQ77" s="135" t="str">
        <f>VLOOKUP(RANK(IP77,$IP$10:$IP$109),Sheet1!$A$381:$B$480,2,FALSE)</f>
        <v>52nd</v>
      </c>
      <c r="IR77" s="178"/>
      <c r="IS77" s="137"/>
      <c r="IT77" s="137"/>
      <c r="IU77" s="137"/>
      <c r="IV77" s="137"/>
      <c r="IW77" s="181"/>
      <c r="IX77" s="184"/>
      <c r="IY77" s="186"/>
      <c r="IZ77" s="186">
        <f t="shared" si="439"/>
        <v>0</v>
      </c>
      <c r="JA77" s="186" t="str">
        <f t="shared" si="440"/>
        <v>70</v>
      </c>
      <c r="JB77" s="186" t="str">
        <f t="shared" si="441"/>
        <v>66</v>
      </c>
      <c r="JC77" s="186">
        <f t="shared" si="522"/>
        <v>136</v>
      </c>
      <c r="JD77" s="186">
        <f t="shared" si="523"/>
        <v>45.3333333333333</v>
      </c>
      <c r="JE77" s="135" t="str">
        <f t="shared" si="442"/>
        <v>D</v>
      </c>
      <c r="JF77" s="151" t="str">
        <f>VLOOKUP(RANK(JD77,$JD$10:$JD$109),Sheet1!$A$381:$B$480,2,FALSE)</f>
        <v>46th</v>
      </c>
      <c r="JG77" s="186"/>
      <c r="JH77" s="186"/>
      <c r="JI77" s="186">
        <f t="shared" si="443"/>
        <v>0</v>
      </c>
      <c r="JJ77" s="186" t="str">
        <f t="shared" si="444"/>
        <v>53</v>
      </c>
      <c r="JK77" s="186" t="str">
        <f t="shared" si="445"/>
        <v>57</v>
      </c>
      <c r="JL77" s="186">
        <f t="shared" si="524"/>
        <v>110</v>
      </c>
      <c r="JM77" s="186">
        <f t="shared" si="525"/>
        <v>36.6666666666667</v>
      </c>
      <c r="JN77" s="135" t="str">
        <f t="shared" si="446"/>
        <v>E</v>
      </c>
      <c r="JO77" s="151" t="str">
        <f>VLOOKUP(RANK(JM77,$JM$10:$JM$109),Sheet1!$A$381:$B$480,2,FALSE)</f>
        <v>26th</v>
      </c>
      <c r="JP77" s="186"/>
      <c r="JQ77" s="186"/>
      <c r="JR77" s="186">
        <f t="shared" si="447"/>
        <v>0</v>
      </c>
      <c r="JS77" s="186" t="str">
        <f t="shared" si="448"/>
        <v>40</v>
      </c>
      <c r="JT77" s="186" t="str">
        <f t="shared" si="449"/>
        <v>57</v>
      </c>
      <c r="JU77" s="186">
        <f t="shared" si="526"/>
        <v>97</v>
      </c>
      <c r="JV77" s="186">
        <f t="shared" si="527"/>
        <v>32.3333333333333</v>
      </c>
      <c r="JW77" s="135" t="str">
        <f t="shared" si="450"/>
        <v>F</v>
      </c>
      <c r="JX77" s="151" t="str">
        <f>VLOOKUP(RANK(JV77,$JV$10:$JV$109),Sheet1!$A$381:$B$480,2,FALSE)</f>
        <v>42nd</v>
      </c>
      <c r="JY77" s="186"/>
      <c r="JZ77" s="186"/>
      <c r="KA77" s="186">
        <f t="shared" si="451"/>
        <v>0</v>
      </c>
      <c r="KB77" s="186" t="str">
        <f t="shared" si="452"/>
        <v>61</v>
      </c>
      <c r="KC77" s="186" t="str">
        <f t="shared" si="453"/>
        <v>60</v>
      </c>
      <c r="KD77" s="186">
        <f t="shared" si="528"/>
        <v>121</v>
      </c>
      <c r="KE77" s="186">
        <f t="shared" si="529"/>
        <v>40.3333333333333</v>
      </c>
      <c r="KF77" s="135" t="str">
        <f t="shared" si="454"/>
        <v>D</v>
      </c>
      <c r="KG77" s="151" t="str">
        <f>VLOOKUP(RANK(KE77,$KE$10:$KE$109),Sheet1!$A$381:$B$480,2,FALSE)</f>
        <v>34th</v>
      </c>
      <c r="KH77" s="186"/>
      <c r="KI77" s="186"/>
      <c r="KJ77" s="186">
        <f t="shared" si="455"/>
        <v>0</v>
      </c>
      <c r="KK77" s="186" t="str">
        <f t="shared" si="456"/>
        <v>50</v>
      </c>
      <c r="KL77" s="186" t="str">
        <f t="shared" si="457"/>
        <v>50</v>
      </c>
      <c r="KM77" s="186">
        <f t="shared" si="530"/>
        <v>100</v>
      </c>
      <c r="KN77" s="186">
        <f t="shared" si="531"/>
        <v>33.3333333333333</v>
      </c>
      <c r="KO77" s="135" t="str">
        <f t="shared" si="458"/>
        <v>F</v>
      </c>
      <c r="KP77" s="151" t="str">
        <f>VLOOKUP(RANK(KN77,$KN$10:$KN$109),Sheet1!$A$381:$B$480,2,FALSE)</f>
        <v>60th</v>
      </c>
      <c r="KQ77" s="186"/>
      <c r="KR77" s="186"/>
      <c r="KS77" s="186">
        <f t="shared" si="459"/>
        <v>0</v>
      </c>
      <c r="KT77" s="186" t="str">
        <f t="shared" si="460"/>
        <v>0</v>
      </c>
      <c r="KU77" s="186" t="str">
        <f t="shared" si="461"/>
        <v>0</v>
      </c>
      <c r="KV77" s="186">
        <f t="shared" si="532"/>
        <v>0</v>
      </c>
      <c r="KW77" s="186">
        <f t="shared" si="533"/>
        <v>0</v>
      </c>
      <c r="KX77" s="135" t="str">
        <f t="shared" si="462"/>
        <v>F</v>
      </c>
      <c r="KY77" s="151" t="str">
        <f>VLOOKUP(RANK(KW77,$KW$10:$KW$109),Sheet1!$A$381:$B$480,2,FALSE)</f>
        <v>1st</v>
      </c>
      <c r="KZ77" s="186"/>
      <c r="LA77" s="186"/>
      <c r="LB77" s="186">
        <f t="shared" si="463"/>
        <v>0</v>
      </c>
      <c r="LC77" s="186" t="str">
        <f t="shared" si="464"/>
        <v>0</v>
      </c>
      <c r="LD77" s="186" t="str">
        <f t="shared" si="465"/>
        <v>0</v>
      </c>
      <c r="LE77" s="186">
        <f t="shared" si="534"/>
        <v>0</v>
      </c>
      <c r="LF77" s="186">
        <f t="shared" si="535"/>
        <v>0</v>
      </c>
      <c r="LG77" s="135" t="str">
        <f t="shared" si="466"/>
        <v>F</v>
      </c>
      <c r="LH77" s="151" t="str">
        <f>VLOOKUP(RANK(LF77,$LF$10:$LF$109),Sheet1!$A$381:$B$480,2,FALSE)</f>
        <v>1st</v>
      </c>
      <c r="LI77" s="186"/>
      <c r="LJ77" s="186"/>
      <c r="LK77" s="186">
        <f t="shared" si="467"/>
        <v>0</v>
      </c>
      <c r="LL77" s="186" t="str">
        <f t="shared" si="468"/>
        <v>50</v>
      </c>
      <c r="LM77" s="186" t="str">
        <f t="shared" si="469"/>
        <v>51</v>
      </c>
      <c r="LN77" s="186">
        <f t="shared" si="536"/>
        <v>101</v>
      </c>
      <c r="LO77" s="186">
        <f t="shared" si="537"/>
        <v>33.6666666666667</v>
      </c>
      <c r="LP77" s="135" t="str">
        <f t="shared" si="470"/>
        <v>F</v>
      </c>
      <c r="LQ77" s="151" t="str">
        <f>VLOOKUP(RANK(LO77,$LO$10:$LO$109),Sheet1!$A$381:$B$480,2,FALSE)</f>
        <v>65th</v>
      </c>
      <c r="LR77" s="186"/>
      <c r="LS77" s="186"/>
      <c r="LT77" s="186">
        <f t="shared" si="471"/>
        <v>0</v>
      </c>
      <c r="LU77" s="186" t="str">
        <f t="shared" si="472"/>
        <v>62</v>
      </c>
      <c r="LV77" s="186" t="str">
        <f t="shared" si="473"/>
        <v>44</v>
      </c>
      <c r="LW77" s="186">
        <f t="shared" si="538"/>
        <v>106</v>
      </c>
      <c r="LX77" s="186">
        <f t="shared" si="539"/>
        <v>35.3333333333333</v>
      </c>
      <c r="LY77" s="135" t="str">
        <f t="shared" si="474"/>
        <v>E</v>
      </c>
      <c r="LZ77" s="151" t="str">
        <f>VLOOKUP(RANK(LX77,$LX$10:$LX$109),Sheet1!$A$381:$B$480,2,FALSE)</f>
        <v>43rd</v>
      </c>
      <c r="MA77" s="186"/>
      <c r="MB77" s="186"/>
      <c r="MC77" s="186">
        <f t="shared" si="475"/>
        <v>0</v>
      </c>
      <c r="MD77" s="186" t="str">
        <f t="shared" si="476"/>
        <v>49</v>
      </c>
      <c r="ME77" s="186" t="str">
        <f t="shared" si="477"/>
        <v>47</v>
      </c>
      <c r="MF77" s="183">
        <f t="shared" si="540"/>
        <v>96</v>
      </c>
      <c r="MG77" s="151">
        <f t="shared" si="541"/>
        <v>32</v>
      </c>
      <c r="MH77" s="135" t="str">
        <f t="shared" si="478"/>
        <v>F</v>
      </c>
      <c r="MI77" s="151" t="str">
        <f>VLOOKUP(RANK(MG77,$MG$10:$MG$109),Sheet1!$A$381:$B$480,2,FALSE)</f>
        <v>19th</v>
      </c>
      <c r="MJ77" s="186"/>
      <c r="MK77" s="186"/>
      <c r="ML77" s="186">
        <f t="shared" si="479"/>
        <v>0</v>
      </c>
      <c r="MM77" s="186" t="str">
        <f t="shared" si="480"/>
        <v>54</v>
      </c>
      <c r="MN77" s="186" t="str">
        <f t="shared" si="481"/>
        <v>42</v>
      </c>
      <c r="MO77" s="186">
        <f t="shared" si="542"/>
        <v>96</v>
      </c>
      <c r="MP77" s="186">
        <f t="shared" si="543"/>
        <v>32</v>
      </c>
      <c r="MQ77" s="135" t="str">
        <f t="shared" si="482"/>
        <v>F</v>
      </c>
      <c r="MR77" s="151" t="str">
        <f>VLOOKUP(RANK(MP77,$MP$10:$MP$109),Sheet1!$A$381:$B$480,2,FALSE)</f>
        <v>45th</v>
      </c>
      <c r="MS77" s="186"/>
      <c r="MT77" s="186"/>
      <c r="MU77" s="186">
        <f t="shared" si="483"/>
        <v>0</v>
      </c>
      <c r="MV77" s="186" t="str">
        <f t="shared" si="484"/>
        <v>32</v>
      </c>
      <c r="MW77" s="186" t="str">
        <f t="shared" si="485"/>
        <v>37</v>
      </c>
      <c r="MX77" s="186">
        <f t="shared" si="544"/>
        <v>69</v>
      </c>
      <c r="MY77" s="186">
        <f t="shared" si="545"/>
        <v>23</v>
      </c>
      <c r="MZ77" s="135" t="str">
        <f t="shared" si="486"/>
        <v>F</v>
      </c>
      <c r="NA77" s="151" t="str">
        <f>VLOOKUP(RANK(MY77,$MY$10:$MY$109),Sheet1!$A$381:$B$480,2,FALSE)</f>
        <v>88th</v>
      </c>
      <c r="NB77" s="186"/>
      <c r="NC77" s="186"/>
      <c r="ND77" s="186">
        <f t="shared" si="487"/>
        <v>0</v>
      </c>
      <c r="NE77" s="186" t="str">
        <f t="shared" si="488"/>
        <v>37</v>
      </c>
      <c r="NF77" s="186" t="str">
        <f t="shared" si="489"/>
        <v>38</v>
      </c>
      <c r="NG77" s="186">
        <f t="shared" si="546"/>
        <v>75</v>
      </c>
      <c r="NH77" s="186">
        <f t="shared" si="547"/>
        <v>25</v>
      </c>
      <c r="NI77" s="135" t="str">
        <f t="shared" si="490"/>
        <v>F</v>
      </c>
      <c r="NJ77" s="151" t="str">
        <f>VLOOKUP(RANK(NH77,$NH$10:$NH$109),Sheet1!$A$381:$B$480,2,FALSE)</f>
        <v>86th</v>
      </c>
      <c r="NK77" s="186"/>
      <c r="NL77" s="186"/>
      <c r="NM77" s="186">
        <f t="shared" si="491"/>
        <v>0</v>
      </c>
      <c r="NN77" s="186" t="str">
        <f t="shared" si="492"/>
        <v>50</v>
      </c>
      <c r="NO77" s="186" t="str">
        <f t="shared" si="493"/>
        <v>69</v>
      </c>
      <c r="NP77" s="186">
        <f t="shared" si="548"/>
        <v>119</v>
      </c>
      <c r="NQ77" s="186">
        <f t="shared" si="494"/>
        <v>39.6666666666667</v>
      </c>
      <c r="NR77" s="135" t="str">
        <f t="shared" si="495"/>
        <v>E</v>
      </c>
      <c r="NS77" s="151" t="str">
        <f>VLOOKUP(RANK(NQ77,$NQ$10:$NQ$109),Sheet1!$A$381:$B$480,2,FALSE)</f>
        <v>73rd</v>
      </c>
      <c r="NT77" s="186"/>
      <c r="NU77" s="186"/>
      <c r="NV77" s="186">
        <f t="shared" si="496"/>
        <v>0</v>
      </c>
      <c r="NW77" s="186" t="str">
        <f t="shared" si="497"/>
        <v>0</v>
      </c>
      <c r="NX77" s="186" t="str">
        <f t="shared" si="498"/>
        <v>0</v>
      </c>
      <c r="NY77" s="186">
        <f t="shared" si="549"/>
        <v>0</v>
      </c>
      <c r="NZ77" s="186">
        <f t="shared" si="499"/>
        <v>0</v>
      </c>
      <c r="OA77" s="135" t="str">
        <f t="shared" si="500"/>
        <v>F</v>
      </c>
      <c r="OB77" s="151" t="str">
        <f>VLOOKUP(RANK(NZ77,$NZ$10:$NZ$109),Sheet1!$A$381:$B$480,2,FALSE)</f>
        <v>1st</v>
      </c>
      <c r="OC77" s="186"/>
      <c r="OD77" s="186"/>
      <c r="OE77" s="186">
        <f t="shared" si="501"/>
        <v>0</v>
      </c>
      <c r="OF77" s="186" t="str">
        <f t="shared" si="502"/>
        <v>0</v>
      </c>
      <c r="OG77" s="186" t="str">
        <f t="shared" si="503"/>
        <v>0</v>
      </c>
      <c r="OH77" s="186">
        <f t="shared" si="550"/>
        <v>0</v>
      </c>
      <c r="OI77" s="186">
        <f t="shared" si="504"/>
        <v>0</v>
      </c>
      <c r="OJ77" s="135" t="str">
        <f t="shared" si="505"/>
        <v>F</v>
      </c>
      <c r="OK77" s="151" t="str">
        <f>VLOOKUP(RANK(OI77,$OI$10:$OI$109),Sheet1!$A$381:$B$480,2,FALSE)</f>
        <v>1st</v>
      </c>
      <c r="OL77" s="151"/>
      <c r="OM77" s="151"/>
      <c r="ON77" s="151">
        <f t="shared" si="551"/>
        <v>0</v>
      </c>
      <c r="OO77" s="151" t="str">
        <f t="shared" si="552"/>
        <v>0</v>
      </c>
      <c r="OP77" s="151" t="str">
        <f t="shared" si="553"/>
        <v>0</v>
      </c>
      <c r="OQ77" s="151">
        <f t="shared" si="554"/>
        <v>0</v>
      </c>
      <c r="OR77" s="151">
        <f t="shared" si="555"/>
        <v>0</v>
      </c>
      <c r="OS77" s="135" t="str">
        <f t="shared" si="506"/>
        <v>F</v>
      </c>
      <c r="OT77" s="151" t="str">
        <f>VLOOKUP(RANK(OR77,$OI$10:$OI$109),Sheet1!$A$381:$B$480,2,FALSE)</f>
        <v>1st</v>
      </c>
      <c r="OU77" s="151">
        <f t="shared" si="556"/>
        <v>408.66666666666703</v>
      </c>
      <c r="OV77" s="151">
        <f t="shared" si="557"/>
        <v>24.039215686274499</v>
      </c>
      <c r="OW77" s="151" t="str">
        <f>VLOOKUP(RANK(OV77,$OV$10:$OV$109),Sheet1!$A$381:$B$480,2,FALSE)</f>
        <v>52nd</v>
      </c>
      <c r="OX77" s="151"/>
      <c r="OY77" s="186"/>
      <c r="OZ77" s="186"/>
      <c r="PA77" s="186"/>
      <c r="PB77" s="186"/>
    </row>
    <row r="78" spans="1:418" s="118" customFormat="1" ht="18.75">
      <c r="A78" s="131">
        <v>69</v>
      </c>
      <c r="B78" s="132" t="s">
        <v>168</v>
      </c>
      <c r="C78" s="133" t="s">
        <v>152</v>
      </c>
      <c r="D78" s="134">
        <v>29</v>
      </c>
      <c r="E78" s="134">
        <v>51</v>
      </c>
      <c r="F78" s="137">
        <f t="shared" si="315"/>
        <v>80</v>
      </c>
      <c r="G78" s="137">
        <f t="shared" si="316"/>
        <v>80</v>
      </c>
      <c r="H78" s="135" t="str">
        <f t="shared" si="507"/>
        <v>A</v>
      </c>
      <c r="I78" s="135" t="str">
        <f>VLOOKUP(RANK(G78,$G$10:$G$109),Sheet1!$A$381:$B$480,2,FALSE)</f>
        <v>7th</v>
      </c>
      <c r="J78" s="134">
        <v>33</v>
      </c>
      <c r="K78" s="134">
        <v>45</v>
      </c>
      <c r="L78" s="137">
        <f t="shared" si="317"/>
        <v>78</v>
      </c>
      <c r="M78" s="137">
        <f t="shared" si="318"/>
        <v>78</v>
      </c>
      <c r="N78" s="135" t="str">
        <f t="shared" si="319"/>
        <v>A</v>
      </c>
      <c r="O78" s="141" t="str">
        <f>VLOOKUP(RANK(M78,$M$10:$M$109),Sheet1!$A$381:$B$480,2,FALSE)</f>
        <v>7th</v>
      </c>
      <c r="P78" s="144">
        <v>37</v>
      </c>
      <c r="Q78" s="144">
        <v>35</v>
      </c>
      <c r="R78" s="147">
        <f t="shared" si="320"/>
        <v>72</v>
      </c>
      <c r="S78" s="137">
        <f t="shared" si="321"/>
        <v>72</v>
      </c>
      <c r="T78" s="135" t="str">
        <f t="shared" si="322"/>
        <v>B</v>
      </c>
      <c r="U78" s="135" t="str">
        <f>VLOOKUP(RANK(S78,$S$10:$S$109),Sheet1!$A$381:$B$480,2,FALSE)</f>
        <v>4th</v>
      </c>
      <c r="V78" s="134">
        <v>35</v>
      </c>
      <c r="W78" s="134">
        <v>50</v>
      </c>
      <c r="X78" s="137">
        <f t="shared" si="559"/>
        <v>85</v>
      </c>
      <c r="Y78" s="137">
        <f t="shared" si="558"/>
        <v>85</v>
      </c>
      <c r="Z78" s="135" t="str">
        <f t="shared" si="323"/>
        <v>A</v>
      </c>
      <c r="AA78" s="135" t="str">
        <f>VLOOKUP(RANK(Y78,$Y$10:$Y$109),Sheet1!$A$381:$B$480,2,FALSE)</f>
        <v>6th</v>
      </c>
      <c r="AB78" s="134">
        <v>38</v>
      </c>
      <c r="AC78" s="134">
        <v>54</v>
      </c>
      <c r="AD78" s="137">
        <f t="shared" si="324"/>
        <v>92</v>
      </c>
      <c r="AE78" s="137">
        <f t="shared" si="325"/>
        <v>92</v>
      </c>
      <c r="AF78" s="135" t="str">
        <f t="shared" si="326"/>
        <v>A</v>
      </c>
      <c r="AG78" s="135" t="str">
        <f>VLOOKUP(RANK(AE78,$AE$10:$AE$109),Sheet1!$A$381:$B$480,2,FALSE)</f>
        <v>5th</v>
      </c>
      <c r="AH78" s="137"/>
      <c r="AI78" s="137"/>
      <c r="AJ78" s="137">
        <f t="shared" si="327"/>
        <v>0</v>
      </c>
      <c r="AK78" s="137">
        <f t="shared" si="328"/>
        <v>0</v>
      </c>
      <c r="AL78" s="135" t="str">
        <f t="shared" si="329"/>
        <v>F</v>
      </c>
      <c r="AM78" s="135" t="str">
        <f>VLOOKUP(RANK(AK78,$AK$10:$AK$109),Sheet1!$A$381:$B$480,2,FALSE)</f>
        <v>1st</v>
      </c>
      <c r="AN78" s="134"/>
      <c r="AO78" s="134"/>
      <c r="AP78" s="137">
        <f t="shared" si="330"/>
        <v>0</v>
      </c>
      <c r="AQ78" s="137">
        <f t="shared" si="331"/>
        <v>0</v>
      </c>
      <c r="AR78" s="135" t="str">
        <f t="shared" si="332"/>
        <v>F</v>
      </c>
      <c r="AS78" s="135" t="str">
        <f>VLOOKUP(RANK(AQ78,$AQ$10:$AQ$109),Sheet1!$A$381:$B$480,2,FALSE)</f>
        <v>1st</v>
      </c>
      <c r="AT78" s="144">
        <v>25</v>
      </c>
      <c r="AU78" s="144">
        <v>26</v>
      </c>
      <c r="AV78" s="137">
        <f t="shared" si="333"/>
        <v>51</v>
      </c>
      <c r="AW78" s="137">
        <f t="shared" si="334"/>
        <v>51</v>
      </c>
      <c r="AX78" s="135" t="str">
        <f t="shared" si="335"/>
        <v>C</v>
      </c>
      <c r="AY78" s="141" t="str">
        <f>VLOOKUP(RANK(AW78,$AW$10:$AW$109),Sheet1!$A$381:$B$480,2,FALSE)</f>
        <v>45th</v>
      </c>
      <c r="AZ78" s="144">
        <v>33</v>
      </c>
      <c r="BA78" s="144">
        <v>24</v>
      </c>
      <c r="BB78" s="147">
        <f t="shared" si="336"/>
        <v>57</v>
      </c>
      <c r="BC78" s="137">
        <f t="shared" si="337"/>
        <v>57</v>
      </c>
      <c r="BD78" s="135" t="str">
        <f t="shared" si="338"/>
        <v>C</v>
      </c>
      <c r="BE78" s="135" t="str">
        <f>VLOOKUP(RANK(BC78,$BC$10:$BC$109),Sheet1!$A$381:$B$480,2,FALSE)</f>
        <v>40th</v>
      </c>
      <c r="BF78" s="144">
        <v>20</v>
      </c>
      <c r="BG78" s="144">
        <v>42</v>
      </c>
      <c r="BH78" s="137">
        <f t="shared" si="339"/>
        <v>62</v>
      </c>
      <c r="BI78" s="137">
        <f t="shared" si="340"/>
        <v>62</v>
      </c>
      <c r="BJ78" s="135" t="str">
        <f t="shared" si="341"/>
        <v>B</v>
      </c>
      <c r="BK78" s="141" t="str">
        <f>VLOOKUP(RANK(BI78,$BI$10:$BI$109),Sheet1!$A$381:$B$480,2,FALSE)</f>
        <v>5th</v>
      </c>
      <c r="BL78" s="149">
        <v>25</v>
      </c>
      <c r="BM78" s="149">
        <v>28</v>
      </c>
      <c r="BN78" s="147">
        <f t="shared" si="342"/>
        <v>53</v>
      </c>
      <c r="BO78" s="137">
        <f t="shared" si="343"/>
        <v>53</v>
      </c>
      <c r="BP78" s="135" t="str">
        <f t="shared" si="344"/>
        <v>C</v>
      </c>
      <c r="BQ78" s="141" t="str">
        <f>VLOOKUP(RANK(BO78,$BO$10:$BO$109),Sheet1!$A$381:$B$480,2,FALSE)</f>
        <v>36th</v>
      </c>
      <c r="BR78" s="149">
        <v>29</v>
      </c>
      <c r="BS78" s="149">
        <v>42</v>
      </c>
      <c r="BT78" s="147">
        <f t="shared" si="345"/>
        <v>71</v>
      </c>
      <c r="BU78" s="137">
        <f t="shared" si="346"/>
        <v>71</v>
      </c>
      <c r="BV78" s="135" t="str">
        <f t="shared" si="347"/>
        <v>B</v>
      </c>
      <c r="BW78" s="135" t="str">
        <f>VLOOKUP(RANK(BU78,$BU$10:$BU$109),Sheet1!$A$381:$B$480,2,FALSE)</f>
        <v>9th</v>
      </c>
      <c r="BX78" s="149">
        <v>30</v>
      </c>
      <c r="BY78" s="149">
        <v>10</v>
      </c>
      <c r="BZ78" s="137">
        <f t="shared" si="348"/>
        <v>40</v>
      </c>
      <c r="CA78" s="137">
        <f t="shared" si="349"/>
        <v>40</v>
      </c>
      <c r="CB78" s="135" t="str">
        <f t="shared" si="350"/>
        <v>D</v>
      </c>
      <c r="CC78" s="135" t="str">
        <f>VLOOKUP(RANK(CA78,$CA$10:$CA$109),Sheet1!$A$381:$B$480,2,FALSE)</f>
        <v>43rd</v>
      </c>
      <c r="CD78" s="149">
        <v>22</v>
      </c>
      <c r="CE78" s="149">
        <v>30</v>
      </c>
      <c r="CF78" s="137">
        <f t="shared" si="351"/>
        <v>52</v>
      </c>
      <c r="CG78" s="137">
        <f t="shared" si="352"/>
        <v>52</v>
      </c>
      <c r="CH78" s="135" t="str">
        <f t="shared" si="353"/>
        <v>C</v>
      </c>
      <c r="CI78" s="135" t="str">
        <f>VLOOKUP(RANK(CG78,$CG$10:$CG$109),Sheet1!$A$381:$B$480,2,FALSE)</f>
        <v>68th</v>
      </c>
      <c r="CJ78" s="137"/>
      <c r="CK78" s="137"/>
      <c r="CL78" s="137">
        <f t="shared" si="354"/>
        <v>0</v>
      </c>
      <c r="CM78" s="137">
        <f t="shared" si="355"/>
        <v>0</v>
      </c>
      <c r="CN78" s="135" t="str">
        <f t="shared" si="356"/>
        <v>F</v>
      </c>
      <c r="CO78" s="135" t="str">
        <f>VLOOKUP(RANK(CM78,$CM$10:$CM$109),Sheet1!$A$381:$B$480,2,FALSE)</f>
        <v>1st</v>
      </c>
      <c r="CP78" s="137"/>
      <c r="CQ78" s="137"/>
      <c r="CR78" s="137">
        <f t="shared" si="357"/>
        <v>0</v>
      </c>
      <c r="CS78" s="137">
        <f t="shared" si="358"/>
        <v>0</v>
      </c>
      <c r="CT78" s="135" t="str">
        <f t="shared" si="359"/>
        <v>F</v>
      </c>
      <c r="CU78" s="135" t="str">
        <f>VLOOKUP(RANK(CS78,$CS$10:$CS$109),Sheet1!$A$381:$B$480,2,FALSE)</f>
        <v>1st</v>
      </c>
      <c r="CV78" s="151"/>
      <c r="CW78" s="135"/>
      <c r="CX78" s="151">
        <f t="shared" si="508"/>
        <v>0</v>
      </c>
      <c r="CY78" s="151">
        <f t="shared" si="509"/>
        <v>0</v>
      </c>
      <c r="CZ78" s="135" t="str">
        <f t="shared" si="360"/>
        <v>F</v>
      </c>
      <c r="DA78" s="135" t="str">
        <f>VLOOKUP(RANK(CY78,$CY$10:$CY$109),Sheet1!$A$381:$B$480,2,FALSE)</f>
        <v>1st</v>
      </c>
      <c r="DB78" s="135"/>
      <c r="DC78" s="151">
        <f t="shared" si="510"/>
        <v>793</v>
      </c>
      <c r="DD78" s="151">
        <f t="shared" si="511"/>
        <v>46.647058823529399</v>
      </c>
      <c r="DE78" s="135" t="str">
        <f>VLOOKUP(RANK(DD78,$DD$10:$DD$109),Sheet1!$A$381:$B$480,2,FALSE)</f>
        <v>6th</v>
      </c>
      <c r="DF78" s="137"/>
      <c r="DG78" s="160">
        <f t="shared" si="361"/>
        <v>839.64705882352905</v>
      </c>
      <c r="DH78" s="119"/>
      <c r="DI78" s="162">
        <v>22</v>
      </c>
      <c r="DJ78" s="162">
        <v>55</v>
      </c>
      <c r="DK78" s="137">
        <f t="shared" si="362"/>
        <v>77</v>
      </c>
      <c r="DL78" s="137" t="str">
        <f t="shared" si="363"/>
        <v>80</v>
      </c>
      <c r="DM78" s="137">
        <f t="shared" si="364"/>
        <v>157</v>
      </c>
      <c r="DN78" s="137">
        <f t="shared" si="365"/>
        <v>78.5</v>
      </c>
      <c r="DO78" s="135" t="str">
        <f t="shared" si="366"/>
        <v>A</v>
      </c>
      <c r="DP78" s="135" t="str">
        <f>VLOOKUP(RANK(DN78,$DN$10:$DN$109),Sheet1!$A$381:$B$480,2,FALSE)</f>
        <v>8th</v>
      </c>
      <c r="DQ78" s="166">
        <v>27</v>
      </c>
      <c r="DR78" s="166">
        <v>31</v>
      </c>
      <c r="DS78" s="137">
        <f t="shared" si="367"/>
        <v>58</v>
      </c>
      <c r="DT78" s="137" t="str">
        <f t="shared" si="368"/>
        <v>78</v>
      </c>
      <c r="DU78" s="137">
        <f t="shared" si="369"/>
        <v>136</v>
      </c>
      <c r="DV78" s="137">
        <f t="shared" si="370"/>
        <v>68</v>
      </c>
      <c r="DW78" s="135" t="str">
        <f t="shared" si="371"/>
        <v>B</v>
      </c>
      <c r="DX78" s="135" t="str">
        <f>VLOOKUP(RANK(DV78,$DV$10:$DV$109),Sheet1!$A$381:$B$480,2,FALSE)</f>
        <v>4th</v>
      </c>
      <c r="DY78" s="168">
        <v>37</v>
      </c>
      <c r="DZ78" s="168">
        <v>28</v>
      </c>
      <c r="EA78" s="137">
        <f t="shared" si="372"/>
        <v>65</v>
      </c>
      <c r="EB78" s="137" t="str">
        <f t="shared" si="373"/>
        <v>72</v>
      </c>
      <c r="EC78" s="137">
        <f t="shared" si="374"/>
        <v>137</v>
      </c>
      <c r="ED78" s="137">
        <f t="shared" si="375"/>
        <v>68.5</v>
      </c>
      <c r="EE78" s="135" t="str">
        <f t="shared" si="376"/>
        <v>B</v>
      </c>
      <c r="EF78" s="135" t="str">
        <f>VLOOKUP(RANK(ED78,$ED$10:$ED$109),Sheet1!$A$381:$B$480,2,FALSE)</f>
        <v>3rd</v>
      </c>
      <c r="EG78" s="162">
        <v>29</v>
      </c>
      <c r="EH78" s="162">
        <v>42</v>
      </c>
      <c r="EI78" s="137">
        <f t="shared" si="377"/>
        <v>71</v>
      </c>
      <c r="EJ78" s="137" t="str">
        <f t="shared" si="378"/>
        <v>85</v>
      </c>
      <c r="EK78" s="137">
        <f t="shared" si="379"/>
        <v>156</v>
      </c>
      <c r="EL78" s="137">
        <f t="shared" si="380"/>
        <v>78</v>
      </c>
      <c r="EM78" s="135" t="str">
        <f t="shared" si="381"/>
        <v>A</v>
      </c>
      <c r="EN78" s="135" t="str">
        <f>VLOOKUP(RANK(EL78,$EL$10:$EL$109),Sheet1!$A$381:$B$480,2,FALSE)</f>
        <v>5th</v>
      </c>
      <c r="EO78" s="162">
        <v>37</v>
      </c>
      <c r="EP78" s="162">
        <v>43</v>
      </c>
      <c r="EQ78" s="137">
        <f t="shared" si="382"/>
        <v>80</v>
      </c>
      <c r="ER78" s="137" t="str">
        <f t="shared" si="383"/>
        <v>92</v>
      </c>
      <c r="ES78" s="137">
        <f t="shared" si="384"/>
        <v>172</v>
      </c>
      <c r="ET78" s="137">
        <f t="shared" si="385"/>
        <v>86</v>
      </c>
      <c r="EU78" s="135" t="str">
        <f t="shared" si="386"/>
        <v>A</v>
      </c>
      <c r="EV78" s="135" t="str">
        <f>VLOOKUP(RANK(ET78,$ET$10:$ET$109),Sheet1!$A$381:$B$480,2,FALSE)</f>
        <v>4th</v>
      </c>
      <c r="EW78" s="137"/>
      <c r="EX78" s="137"/>
      <c r="EY78" s="137">
        <f t="shared" si="387"/>
        <v>0</v>
      </c>
      <c r="EZ78" s="137" t="str">
        <f t="shared" si="388"/>
        <v>0</v>
      </c>
      <c r="FA78" s="137">
        <f t="shared" si="389"/>
        <v>0</v>
      </c>
      <c r="FB78" s="137">
        <f t="shared" si="390"/>
        <v>0</v>
      </c>
      <c r="FC78" s="135" t="str">
        <f t="shared" si="391"/>
        <v>F</v>
      </c>
      <c r="FD78" s="135" t="str">
        <f>VLOOKUP(RANK(FB78,$FB$10:$FB$109),Sheet1!$A$381:$B$480,2,FALSE)</f>
        <v>1st</v>
      </c>
      <c r="FE78" s="137"/>
      <c r="FF78" s="137"/>
      <c r="FG78" s="137">
        <f t="shared" si="392"/>
        <v>0</v>
      </c>
      <c r="FH78" s="137" t="str">
        <f t="shared" si="393"/>
        <v>0</v>
      </c>
      <c r="FI78" s="137">
        <f t="shared" si="394"/>
        <v>0</v>
      </c>
      <c r="FJ78" s="137">
        <f t="shared" si="395"/>
        <v>0</v>
      </c>
      <c r="FK78" s="135" t="str">
        <f t="shared" si="396"/>
        <v>F</v>
      </c>
      <c r="FL78" s="135" t="str">
        <f>VLOOKUP(RANK(FJ78,$FJ$10:$FJ$109),Sheet1!$A$381:$B$480,2,FALSE)</f>
        <v>1st</v>
      </c>
      <c r="FM78" s="166">
        <v>29</v>
      </c>
      <c r="FN78" s="166">
        <v>38</v>
      </c>
      <c r="FO78" s="137">
        <f t="shared" si="397"/>
        <v>67</v>
      </c>
      <c r="FP78" s="137" t="str">
        <f t="shared" si="398"/>
        <v>51</v>
      </c>
      <c r="FQ78" s="137">
        <f t="shared" si="399"/>
        <v>118</v>
      </c>
      <c r="FR78" s="137">
        <f t="shared" si="400"/>
        <v>59</v>
      </c>
      <c r="FS78" s="135" t="str">
        <f t="shared" si="401"/>
        <v>C</v>
      </c>
      <c r="FT78" s="135" t="str">
        <f>VLOOKUP(RANK(FR78,$FR$10:$FR$109),Sheet1!$A$381:$B$480,2,FALSE)</f>
        <v>9th</v>
      </c>
      <c r="FU78" s="149">
        <v>37</v>
      </c>
      <c r="FV78" s="149">
        <v>30</v>
      </c>
      <c r="FW78" s="137">
        <f t="shared" si="402"/>
        <v>67</v>
      </c>
      <c r="FX78" s="137" t="str">
        <f t="shared" si="403"/>
        <v>57</v>
      </c>
      <c r="FY78" s="137">
        <f t="shared" si="512"/>
        <v>67</v>
      </c>
      <c r="FZ78" s="137">
        <f t="shared" si="404"/>
        <v>33.5</v>
      </c>
      <c r="GA78" s="135" t="str">
        <f t="shared" si="405"/>
        <v>F</v>
      </c>
      <c r="GB78" s="135" t="str">
        <f>VLOOKUP(RANK(FZ78,$FZ$10:$FZ$109),Sheet1!$A$381:$B$480,2,FALSE)</f>
        <v>9th</v>
      </c>
      <c r="GC78" s="166">
        <v>22</v>
      </c>
      <c r="GD78" s="166">
        <v>35</v>
      </c>
      <c r="GE78" s="137">
        <f t="shared" si="406"/>
        <v>57</v>
      </c>
      <c r="GF78" s="137" t="str">
        <f t="shared" si="407"/>
        <v>62</v>
      </c>
      <c r="GG78" s="135">
        <f t="shared" si="513"/>
        <v>119</v>
      </c>
      <c r="GH78" s="137">
        <f t="shared" si="514"/>
        <v>59.5</v>
      </c>
      <c r="GI78" s="135" t="str">
        <f t="shared" si="408"/>
        <v>C</v>
      </c>
      <c r="GJ78" s="135" t="str">
        <f>VLOOKUP(RANK(GH78,$GH$10:$GH$109),Sheet1!$A$381:$B$480,2,FALSE)</f>
        <v>7th</v>
      </c>
      <c r="GK78" s="166">
        <v>25</v>
      </c>
      <c r="GL78" s="166">
        <v>18</v>
      </c>
      <c r="GM78" s="137">
        <f t="shared" si="409"/>
        <v>43</v>
      </c>
      <c r="GN78" s="137" t="str">
        <f t="shared" si="410"/>
        <v>53</v>
      </c>
      <c r="GO78" s="135">
        <f t="shared" si="515"/>
        <v>96</v>
      </c>
      <c r="GP78" s="137">
        <f t="shared" si="411"/>
        <v>48</v>
      </c>
      <c r="GQ78" s="135" t="str">
        <f t="shared" si="412"/>
        <v>D</v>
      </c>
      <c r="GR78" s="135" t="str">
        <f>VLOOKUP(RANK(GP78,$GP$10:$GP$109),Sheet1!$A$381:$B$480,2,FALSE)</f>
        <v>45th</v>
      </c>
      <c r="GS78" s="166">
        <v>21</v>
      </c>
      <c r="GT78" s="166">
        <v>50</v>
      </c>
      <c r="GU78" s="137">
        <f t="shared" si="413"/>
        <v>71</v>
      </c>
      <c r="GV78" s="137" t="str">
        <f t="shared" si="414"/>
        <v>71</v>
      </c>
      <c r="GW78" s="137">
        <f t="shared" si="415"/>
        <v>142</v>
      </c>
      <c r="GX78" s="137">
        <f t="shared" si="416"/>
        <v>71</v>
      </c>
      <c r="GY78" s="135" t="str">
        <f t="shared" si="417"/>
        <v>B</v>
      </c>
      <c r="GZ78" s="135" t="str">
        <f>VLOOKUP(RANK(GX78,$GX$10:$GX$109),Sheet1!$A$381:$B$480,2,FALSE)</f>
        <v>8th</v>
      </c>
      <c r="HA78" s="166">
        <v>31</v>
      </c>
      <c r="HB78" s="166">
        <v>34</v>
      </c>
      <c r="HC78" s="137">
        <f t="shared" si="418"/>
        <v>65</v>
      </c>
      <c r="HD78" s="137" t="str">
        <f t="shared" si="419"/>
        <v>40</v>
      </c>
      <c r="HE78" s="137">
        <f t="shared" si="420"/>
        <v>105</v>
      </c>
      <c r="HF78" s="137">
        <f t="shared" si="421"/>
        <v>52.5</v>
      </c>
      <c r="HG78" s="135" t="str">
        <f t="shared" si="422"/>
        <v>C</v>
      </c>
      <c r="HH78" s="135" t="str">
        <f>VLOOKUP(RANK(HF78,$HF$10:$HF$109),Sheet1!$A$381:$B$480,2,FALSE)</f>
        <v>9th</v>
      </c>
      <c r="HI78" s="149">
        <v>30</v>
      </c>
      <c r="HJ78" s="149">
        <v>45</v>
      </c>
      <c r="HK78" s="137">
        <f t="shared" si="423"/>
        <v>75</v>
      </c>
      <c r="HL78" s="137" t="str">
        <f t="shared" si="424"/>
        <v>52</v>
      </c>
      <c r="HM78" s="137">
        <f t="shared" si="425"/>
        <v>127</v>
      </c>
      <c r="HN78" s="137">
        <f t="shared" si="426"/>
        <v>63.5</v>
      </c>
      <c r="HO78" s="135" t="str">
        <f t="shared" si="427"/>
        <v>B</v>
      </c>
      <c r="HP78" s="135" t="str">
        <f>VLOOKUP(RANK(HN78,$HN$10:$HN$109),Sheet1!$A$381:$B$480,2,FALSE)</f>
        <v>53rd</v>
      </c>
      <c r="HQ78" s="137"/>
      <c r="HR78" s="137"/>
      <c r="HS78" s="137">
        <f t="shared" si="428"/>
        <v>0</v>
      </c>
      <c r="HT78" s="137" t="str">
        <f t="shared" si="429"/>
        <v>0</v>
      </c>
      <c r="HU78" s="137">
        <f t="shared" si="430"/>
        <v>0</v>
      </c>
      <c r="HV78" s="137">
        <f t="shared" si="431"/>
        <v>0</v>
      </c>
      <c r="HW78" s="135" t="str">
        <f t="shared" si="432"/>
        <v>F</v>
      </c>
      <c r="HX78" s="135" t="str">
        <f>VLOOKUP(RANK(HV78,$HV$10:$HV$109),Sheet1!$A$381:$B$480,2,FALSE)</f>
        <v>1st</v>
      </c>
      <c r="HY78" s="137"/>
      <c r="HZ78" s="137"/>
      <c r="IA78" s="137">
        <f t="shared" si="433"/>
        <v>0</v>
      </c>
      <c r="IB78" s="137" t="str">
        <f t="shared" si="434"/>
        <v>0</v>
      </c>
      <c r="IC78" s="137">
        <f t="shared" si="435"/>
        <v>0</v>
      </c>
      <c r="ID78" s="137">
        <f t="shared" si="436"/>
        <v>0</v>
      </c>
      <c r="IE78" s="135" t="str">
        <f t="shared" si="437"/>
        <v>F</v>
      </c>
      <c r="IF78" s="135" t="str">
        <f>VLOOKUP(RANK(ID78,$ID$10:$ID$109),Sheet1!$A$381:$B$480,2,FALSE)</f>
        <v>1st</v>
      </c>
      <c r="IG78" s="135"/>
      <c r="IH78" s="135"/>
      <c r="II78" s="135">
        <f t="shared" si="516"/>
        <v>0</v>
      </c>
      <c r="IJ78" s="135" t="str">
        <f t="shared" si="517"/>
        <v>0</v>
      </c>
      <c r="IK78" s="135">
        <f t="shared" si="518"/>
        <v>0</v>
      </c>
      <c r="IL78" s="135">
        <f t="shared" si="519"/>
        <v>0</v>
      </c>
      <c r="IM78" s="135" t="str">
        <f t="shared" si="438"/>
        <v>F</v>
      </c>
      <c r="IN78" s="135" t="str">
        <f>VLOOKUP(RANK(IL78,$IL$10:$IL$109),Sheet1!$A$381:$B$480,2,FALSE)</f>
        <v>1st</v>
      </c>
      <c r="IO78" s="135">
        <f t="shared" si="520"/>
        <v>766</v>
      </c>
      <c r="IP78" s="177">
        <f t="shared" si="521"/>
        <v>45.058823529411796</v>
      </c>
      <c r="IQ78" s="135" t="str">
        <f>VLOOKUP(RANK(IP78,$IP$10:$IP$109),Sheet1!$A$381:$B$480,2,FALSE)</f>
        <v>6th</v>
      </c>
      <c r="IR78" s="178"/>
      <c r="IS78" s="137"/>
      <c r="IT78" s="137"/>
      <c r="IU78" s="137"/>
      <c r="IV78" s="137"/>
      <c r="IW78" s="181"/>
      <c r="IX78" s="184"/>
      <c r="IY78" s="186"/>
      <c r="IZ78" s="186">
        <f t="shared" si="439"/>
        <v>0</v>
      </c>
      <c r="JA78" s="186" t="str">
        <f t="shared" si="440"/>
        <v>80</v>
      </c>
      <c r="JB78" s="186" t="str">
        <f t="shared" si="441"/>
        <v>77</v>
      </c>
      <c r="JC78" s="186">
        <f t="shared" si="522"/>
        <v>157</v>
      </c>
      <c r="JD78" s="186">
        <f t="shared" si="523"/>
        <v>52.3333333333333</v>
      </c>
      <c r="JE78" s="135" t="str">
        <f t="shared" si="442"/>
        <v>C</v>
      </c>
      <c r="JF78" s="151" t="str">
        <f>VLOOKUP(RANK(JD78,$JD$10:$JD$109),Sheet1!$A$381:$B$480,2,FALSE)</f>
        <v>8th</v>
      </c>
      <c r="JG78" s="186"/>
      <c r="JH78" s="186"/>
      <c r="JI78" s="186">
        <f t="shared" si="443"/>
        <v>0</v>
      </c>
      <c r="JJ78" s="186" t="str">
        <f t="shared" si="444"/>
        <v>78</v>
      </c>
      <c r="JK78" s="186" t="str">
        <f t="shared" si="445"/>
        <v>58</v>
      </c>
      <c r="JL78" s="186">
        <f t="shared" si="524"/>
        <v>136</v>
      </c>
      <c r="JM78" s="186">
        <f t="shared" si="525"/>
        <v>45.3333333333333</v>
      </c>
      <c r="JN78" s="135" t="str">
        <f t="shared" si="446"/>
        <v>D</v>
      </c>
      <c r="JO78" s="151" t="str">
        <f>VLOOKUP(RANK(JM78,$JM$10:$JM$109),Sheet1!$A$381:$B$480,2,FALSE)</f>
        <v>4th</v>
      </c>
      <c r="JP78" s="186"/>
      <c r="JQ78" s="186"/>
      <c r="JR78" s="186">
        <f t="shared" si="447"/>
        <v>0</v>
      </c>
      <c r="JS78" s="186" t="str">
        <f t="shared" si="448"/>
        <v>72</v>
      </c>
      <c r="JT78" s="186" t="str">
        <f t="shared" si="449"/>
        <v>65</v>
      </c>
      <c r="JU78" s="186">
        <f t="shared" si="526"/>
        <v>137</v>
      </c>
      <c r="JV78" s="186">
        <f t="shared" si="527"/>
        <v>45.6666666666667</v>
      </c>
      <c r="JW78" s="135" t="str">
        <f t="shared" si="450"/>
        <v>D</v>
      </c>
      <c r="JX78" s="151" t="str">
        <f>VLOOKUP(RANK(JV78,$JV$10:$JV$109),Sheet1!$A$381:$B$480,2,FALSE)</f>
        <v>3rd</v>
      </c>
      <c r="JY78" s="186"/>
      <c r="JZ78" s="186"/>
      <c r="KA78" s="186">
        <f t="shared" si="451"/>
        <v>0</v>
      </c>
      <c r="KB78" s="186" t="str">
        <f t="shared" si="452"/>
        <v>85</v>
      </c>
      <c r="KC78" s="186" t="str">
        <f t="shared" si="453"/>
        <v>71</v>
      </c>
      <c r="KD78" s="186">
        <f t="shared" si="528"/>
        <v>156</v>
      </c>
      <c r="KE78" s="186">
        <f t="shared" si="529"/>
        <v>52</v>
      </c>
      <c r="KF78" s="135" t="str">
        <f t="shared" si="454"/>
        <v>C</v>
      </c>
      <c r="KG78" s="151" t="str">
        <f>VLOOKUP(RANK(KE78,$KE$10:$KE$109),Sheet1!$A$381:$B$480,2,FALSE)</f>
        <v>5th</v>
      </c>
      <c r="KH78" s="186"/>
      <c r="KI78" s="186"/>
      <c r="KJ78" s="186">
        <f t="shared" si="455"/>
        <v>0</v>
      </c>
      <c r="KK78" s="186" t="str">
        <f t="shared" si="456"/>
        <v>92</v>
      </c>
      <c r="KL78" s="186" t="str">
        <f t="shared" si="457"/>
        <v>80</v>
      </c>
      <c r="KM78" s="186">
        <f t="shared" si="530"/>
        <v>172</v>
      </c>
      <c r="KN78" s="186">
        <f t="shared" si="531"/>
        <v>57.3333333333333</v>
      </c>
      <c r="KO78" s="135" t="str">
        <f t="shared" si="458"/>
        <v>C</v>
      </c>
      <c r="KP78" s="151" t="str">
        <f>VLOOKUP(RANK(KN78,$KN$10:$KN$109),Sheet1!$A$381:$B$480,2,FALSE)</f>
        <v>4th</v>
      </c>
      <c r="KQ78" s="186"/>
      <c r="KR78" s="186"/>
      <c r="KS78" s="186">
        <f t="shared" si="459"/>
        <v>0</v>
      </c>
      <c r="KT78" s="186" t="str">
        <f t="shared" si="460"/>
        <v>0</v>
      </c>
      <c r="KU78" s="186" t="str">
        <f t="shared" si="461"/>
        <v>0</v>
      </c>
      <c r="KV78" s="186">
        <f t="shared" si="532"/>
        <v>0</v>
      </c>
      <c r="KW78" s="186">
        <f t="shared" si="533"/>
        <v>0</v>
      </c>
      <c r="KX78" s="135" t="str">
        <f t="shared" si="462"/>
        <v>F</v>
      </c>
      <c r="KY78" s="151" t="str">
        <f>VLOOKUP(RANK(KW78,$KW$10:$KW$109),Sheet1!$A$381:$B$480,2,FALSE)</f>
        <v>1st</v>
      </c>
      <c r="KZ78" s="186"/>
      <c r="LA78" s="186"/>
      <c r="LB78" s="186">
        <f t="shared" si="463"/>
        <v>0</v>
      </c>
      <c r="LC78" s="186" t="str">
        <f t="shared" si="464"/>
        <v>0</v>
      </c>
      <c r="LD78" s="186" t="str">
        <f t="shared" si="465"/>
        <v>0</v>
      </c>
      <c r="LE78" s="186">
        <f t="shared" si="534"/>
        <v>0</v>
      </c>
      <c r="LF78" s="186">
        <f t="shared" si="535"/>
        <v>0</v>
      </c>
      <c r="LG78" s="135" t="str">
        <f t="shared" si="466"/>
        <v>F</v>
      </c>
      <c r="LH78" s="151" t="str">
        <f>VLOOKUP(RANK(LF78,$LF$10:$LF$109),Sheet1!$A$381:$B$480,2,FALSE)</f>
        <v>1st</v>
      </c>
      <c r="LI78" s="186"/>
      <c r="LJ78" s="186"/>
      <c r="LK78" s="186">
        <f t="shared" si="467"/>
        <v>0</v>
      </c>
      <c r="LL78" s="186" t="str">
        <f t="shared" si="468"/>
        <v>51</v>
      </c>
      <c r="LM78" s="186" t="str">
        <f t="shared" si="469"/>
        <v>67</v>
      </c>
      <c r="LN78" s="186">
        <f t="shared" si="536"/>
        <v>118</v>
      </c>
      <c r="LO78" s="186">
        <f t="shared" si="537"/>
        <v>39.3333333333333</v>
      </c>
      <c r="LP78" s="135" t="str">
        <f t="shared" si="470"/>
        <v>E</v>
      </c>
      <c r="LQ78" s="151" t="str">
        <f>VLOOKUP(RANK(LO78,$LO$10:$LO$109),Sheet1!$A$381:$B$480,2,FALSE)</f>
        <v>9th</v>
      </c>
      <c r="LR78" s="186"/>
      <c r="LS78" s="186"/>
      <c r="LT78" s="186">
        <f t="shared" si="471"/>
        <v>0</v>
      </c>
      <c r="LU78" s="186" t="str">
        <f t="shared" si="472"/>
        <v>57</v>
      </c>
      <c r="LV78" s="186" t="str">
        <f t="shared" si="473"/>
        <v>67</v>
      </c>
      <c r="LW78" s="186">
        <f t="shared" si="538"/>
        <v>124</v>
      </c>
      <c r="LX78" s="186">
        <f t="shared" si="539"/>
        <v>41.3333333333333</v>
      </c>
      <c r="LY78" s="135" t="str">
        <f t="shared" si="474"/>
        <v>D</v>
      </c>
      <c r="LZ78" s="151" t="str">
        <f>VLOOKUP(RANK(LX78,$LX$10:$LX$109),Sheet1!$A$381:$B$480,2,FALSE)</f>
        <v>14th</v>
      </c>
      <c r="MA78" s="186"/>
      <c r="MB78" s="186"/>
      <c r="MC78" s="186">
        <f t="shared" si="475"/>
        <v>0</v>
      </c>
      <c r="MD78" s="186" t="str">
        <f t="shared" si="476"/>
        <v>62</v>
      </c>
      <c r="ME78" s="186" t="str">
        <f t="shared" si="477"/>
        <v>57</v>
      </c>
      <c r="MF78" s="183">
        <f t="shared" si="540"/>
        <v>119</v>
      </c>
      <c r="MG78" s="151">
        <f t="shared" si="541"/>
        <v>39.6666666666667</v>
      </c>
      <c r="MH78" s="135" t="str">
        <f t="shared" si="478"/>
        <v>E</v>
      </c>
      <c r="MI78" s="151" t="str">
        <f>VLOOKUP(RANK(MG78,$MG$10:$MG$109),Sheet1!$A$381:$B$480,2,FALSE)</f>
        <v>7th</v>
      </c>
      <c r="MJ78" s="186"/>
      <c r="MK78" s="186"/>
      <c r="ML78" s="186">
        <f t="shared" si="479"/>
        <v>0</v>
      </c>
      <c r="MM78" s="186" t="str">
        <f t="shared" si="480"/>
        <v>53</v>
      </c>
      <c r="MN78" s="186" t="str">
        <f t="shared" si="481"/>
        <v>43</v>
      </c>
      <c r="MO78" s="186">
        <f t="shared" si="542"/>
        <v>96</v>
      </c>
      <c r="MP78" s="186">
        <f t="shared" si="543"/>
        <v>32</v>
      </c>
      <c r="MQ78" s="135" t="str">
        <f t="shared" si="482"/>
        <v>F</v>
      </c>
      <c r="MR78" s="151" t="str">
        <f>VLOOKUP(RANK(MP78,$MP$10:$MP$109),Sheet1!$A$381:$B$480,2,FALSE)</f>
        <v>45th</v>
      </c>
      <c r="MS78" s="186"/>
      <c r="MT78" s="186"/>
      <c r="MU78" s="186">
        <f t="shared" si="483"/>
        <v>0</v>
      </c>
      <c r="MV78" s="186" t="str">
        <f t="shared" si="484"/>
        <v>71</v>
      </c>
      <c r="MW78" s="186" t="str">
        <f t="shared" si="485"/>
        <v>71</v>
      </c>
      <c r="MX78" s="186">
        <f t="shared" si="544"/>
        <v>142</v>
      </c>
      <c r="MY78" s="186">
        <f t="shared" si="545"/>
        <v>47.3333333333333</v>
      </c>
      <c r="MZ78" s="135" t="str">
        <f t="shared" si="486"/>
        <v>D</v>
      </c>
      <c r="NA78" s="151" t="str">
        <f>VLOOKUP(RANK(MY78,$MY$10:$MY$109),Sheet1!$A$381:$B$480,2,FALSE)</f>
        <v>8th</v>
      </c>
      <c r="NB78" s="186"/>
      <c r="NC78" s="186"/>
      <c r="ND78" s="186">
        <f t="shared" si="487"/>
        <v>0</v>
      </c>
      <c r="NE78" s="186" t="str">
        <f t="shared" si="488"/>
        <v>40</v>
      </c>
      <c r="NF78" s="186" t="str">
        <f t="shared" si="489"/>
        <v>65</v>
      </c>
      <c r="NG78" s="186">
        <f t="shared" si="546"/>
        <v>105</v>
      </c>
      <c r="NH78" s="186">
        <f t="shared" si="547"/>
        <v>35</v>
      </c>
      <c r="NI78" s="135" t="str">
        <f t="shared" si="490"/>
        <v>E</v>
      </c>
      <c r="NJ78" s="151" t="str">
        <f>VLOOKUP(RANK(NH78,$NH$10:$NH$109),Sheet1!$A$381:$B$480,2,FALSE)</f>
        <v>9th</v>
      </c>
      <c r="NK78" s="186"/>
      <c r="NL78" s="186"/>
      <c r="NM78" s="186">
        <f t="shared" si="491"/>
        <v>0</v>
      </c>
      <c r="NN78" s="186" t="str">
        <f t="shared" si="492"/>
        <v>52</v>
      </c>
      <c r="NO78" s="186" t="str">
        <f t="shared" si="493"/>
        <v>75</v>
      </c>
      <c r="NP78" s="186">
        <f t="shared" si="548"/>
        <v>127</v>
      </c>
      <c r="NQ78" s="186">
        <f t="shared" si="494"/>
        <v>42.3333333333333</v>
      </c>
      <c r="NR78" s="135" t="str">
        <f t="shared" si="495"/>
        <v>D</v>
      </c>
      <c r="NS78" s="151" t="str">
        <f>VLOOKUP(RANK(NQ78,$NQ$10:$NQ$109),Sheet1!$A$381:$B$480,2,FALSE)</f>
        <v>53rd</v>
      </c>
      <c r="NT78" s="186"/>
      <c r="NU78" s="186"/>
      <c r="NV78" s="186">
        <f t="shared" si="496"/>
        <v>0</v>
      </c>
      <c r="NW78" s="186" t="str">
        <f t="shared" si="497"/>
        <v>0</v>
      </c>
      <c r="NX78" s="186" t="str">
        <f t="shared" si="498"/>
        <v>0</v>
      </c>
      <c r="NY78" s="186">
        <f t="shared" si="549"/>
        <v>0</v>
      </c>
      <c r="NZ78" s="186">
        <f t="shared" si="499"/>
        <v>0</v>
      </c>
      <c r="OA78" s="135" t="str">
        <f t="shared" si="500"/>
        <v>F</v>
      </c>
      <c r="OB78" s="151" t="str">
        <f>VLOOKUP(RANK(NZ78,$NZ$10:$NZ$109),Sheet1!$A$381:$B$480,2,FALSE)</f>
        <v>1st</v>
      </c>
      <c r="OC78" s="186"/>
      <c r="OD78" s="186"/>
      <c r="OE78" s="186">
        <f t="shared" si="501"/>
        <v>0</v>
      </c>
      <c r="OF78" s="186" t="str">
        <f t="shared" si="502"/>
        <v>0</v>
      </c>
      <c r="OG78" s="186" t="str">
        <f t="shared" si="503"/>
        <v>0</v>
      </c>
      <c r="OH78" s="186">
        <f t="shared" si="550"/>
        <v>0</v>
      </c>
      <c r="OI78" s="186">
        <f t="shared" si="504"/>
        <v>0</v>
      </c>
      <c r="OJ78" s="135" t="str">
        <f t="shared" si="505"/>
        <v>F</v>
      </c>
      <c r="OK78" s="151" t="str">
        <f>VLOOKUP(RANK(OI78,$OI$10:$OI$109),Sheet1!$A$381:$B$480,2,FALSE)</f>
        <v>1st</v>
      </c>
      <c r="OL78" s="151"/>
      <c r="OM78" s="151"/>
      <c r="ON78" s="151">
        <f t="shared" si="551"/>
        <v>0</v>
      </c>
      <c r="OO78" s="151" t="str">
        <f t="shared" si="552"/>
        <v>0</v>
      </c>
      <c r="OP78" s="151" t="str">
        <f t="shared" si="553"/>
        <v>0</v>
      </c>
      <c r="OQ78" s="151">
        <f t="shared" si="554"/>
        <v>0</v>
      </c>
      <c r="OR78" s="151">
        <f t="shared" si="555"/>
        <v>0</v>
      </c>
      <c r="OS78" s="135" t="str">
        <f t="shared" si="506"/>
        <v>F</v>
      </c>
      <c r="OT78" s="151" t="str">
        <f>VLOOKUP(RANK(OR78,$OI$10:$OI$109),Sheet1!$A$381:$B$480,2,FALSE)</f>
        <v>1st</v>
      </c>
      <c r="OU78" s="151">
        <f t="shared" si="556"/>
        <v>529.66666666666697</v>
      </c>
      <c r="OV78" s="151">
        <f t="shared" si="557"/>
        <v>31.156862745098</v>
      </c>
      <c r="OW78" s="151" t="str">
        <f>VLOOKUP(RANK(OV78,$OV$10:$OV$109),Sheet1!$A$381:$B$480,2,FALSE)</f>
        <v>6th</v>
      </c>
      <c r="OX78" s="151"/>
      <c r="OY78" s="186"/>
      <c r="OZ78" s="186"/>
      <c r="PA78" s="186"/>
      <c r="PB78" s="186"/>
    </row>
    <row r="79" spans="1:418" s="118" customFormat="1" ht="18.75">
      <c r="A79" s="131">
        <v>70</v>
      </c>
      <c r="B79" s="132" t="s">
        <v>169</v>
      </c>
      <c r="C79" s="133" t="s">
        <v>97</v>
      </c>
      <c r="D79" s="134">
        <v>23</v>
      </c>
      <c r="E79" s="134">
        <v>49</v>
      </c>
      <c r="F79" s="137">
        <f t="shared" si="315"/>
        <v>72</v>
      </c>
      <c r="G79" s="137">
        <f t="shared" si="316"/>
        <v>72</v>
      </c>
      <c r="H79" s="135" t="str">
        <f t="shared" si="507"/>
        <v>B</v>
      </c>
      <c r="I79" s="135" t="str">
        <f>VLOOKUP(RANK(G79,$G$10:$G$109),Sheet1!$A$381:$B$480,2,FALSE)</f>
        <v>28th</v>
      </c>
      <c r="J79" s="134">
        <v>32</v>
      </c>
      <c r="K79" s="134">
        <v>40</v>
      </c>
      <c r="L79" s="137">
        <f t="shared" si="317"/>
        <v>72</v>
      </c>
      <c r="M79" s="137">
        <f t="shared" si="318"/>
        <v>72</v>
      </c>
      <c r="N79" s="135" t="str">
        <f t="shared" si="319"/>
        <v>B</v>
      </c>
      <c r="O79" s="141" t="str">
        <f>VLOOKUP(RANK(M79,$M$10:$M$109),Sheet1!$A$381:$B$480,2,FALSE)</f>
        <v>10th</v>
      </c>
      <c r="P79" s="144">
        <v>30</v>
      </c>
      <c r="Q79" s="144">
        <v>20</v>
      </c>
      <c r="R79" s="147">
        <f t="shared" si="320"/>
        <v>50</v>
      </c>
      <c r="S79" s="137">
        <f t="shared" si="321"/>
        <v>50</v>
      </c>
      <c r="T79" s="135" t="str">
        <f t="shared" si="322"/>
        <v>C</v>
      </c>
      <c r="U79" s="135" t="str">
        <f>VLOOKUP(RANK(S79,$S$10:$S$109),Sheet1!$A$381:$B$480,2,FALSE)</f>
        <v>29th</v>
      </c>
      <c r="V79" s="134">
        <v>29</v>
      </c>
      <c r="W79" s="134">
        <v>45</v>
      </c>
      <c r="X79" s="137">
        <f t="shared" si="559"/>
        <v>74</v>
      </c>
      <c r="Y79" s="137">
        <f t="shared" si="558"/>
        <v>74</v>
      </c>
      <c r="Z79" s="135" t="str">
        <f t="shared" si="323"/>
        <v>B</v>
      </c>
      <c r="AA79" s="135" t="str">
        <f>VLOOKUP(RANK(Y79,$Y$10:$Y$109),Sheet1!$A$381:$B$480,2,FALSE)</f>
        <v>15th</v>
      </c>
      <c r="AB79" s="134">
        <v>38</v>
      </c>
      <c r="AC79" s="134">
        <v>54</v>
      </c>
      <c r="AD79" s="137">
        <f t="shared" si="324"/>
        <v>92</v>
      </c>
      <c r="AE79" s="137">
        <f t="shared" si="325"/>
        <v>92</v>
      </c>
      <c r="AF79" s="135" t="str">
        <f t="shared" si="326"/>
        <v>A</v>
      </c>
      <c r="AG79" s="135" t="str">
        <f>VLOOKUP(RANK(AE79,$AE$10:$AE$109),Sheet1!$A$381:$B$480,2,FALSE)</f>
        <v>5th</v>
      </c>
      <c r="AH79" s="137"/>
      <c r="AI79" s="137"/>
      <c r="AJ79" s="137">
        <f t="shared" si="327"/>
        <v>0</v>
      </c>
      <c r="AK79" s="137">
        <f t="shared" si="328"/>
        <v>0</v>
      </c>
      <c r="AL79" s="135" t="str">
        <f t="shared" si="329"/>
        <v>F</v>
      </c>
      <c r="AM79" s="135" t="str">
        <f>VLOOKUP(RANK(AK79,$AK$10:$AK$109),Sheet1!$A$381:$B$480,2,FALSE)</f>
        <v>1st</v>
      </c>
      <c r="AN79" s="134"/>
      <c r="AO79" s="134"/>
      <c r="AP79" s="137">
        <f t="shared" si="330"/>
        <v>0</v>
      </c>
      <c r="AQ79" s="137">
        <f t="shared" si="331"/>
        <v>0</v>
      </c>
      <c r="AR79" s="135" t="str">
        <f t="shared" si="332"/>
        <v>F</v>
      </c>
      <c r="AS79" s="135" t="str">
        <f>VLOOKUP(RANK(AQ79,$AQ$10:$AQ$109),Sheet1!$A$381:$B$480,2,FALSE)</f>
        <v>1st</v>
      </c>
      <c r="AT79" s="142">
        <v>25</v>
      </c>
      <c r="AU79" s="145">
        <v>25</v>
      </c>
      <c r="AV79" s="137">
        <f t="shared" si="333"/>
        <v>50</v>
      </c>
      <c r="AW79" s="137">
        <f t="shared" si="334"/>
        <v>50</v>
      </c>
      <c r="AX79" s="135" t="str">
        <f t="shared" si="335"/>
        <v>C</v>
      </c>
      <c r="AY79" s="141" t="str">
        <f>VLOOKUP(RANK(AW79,$AW$10:$AW$109),Sheet1!$A$381:$B$480,2,FALSE)</f>
        <v>58th</v>
      </c>
      <c r="AZ79" s="144">
        <v>34</v>
      </c>
      <c r="BA79" s="144">
        <v>30</v>
      </c>
      <c r="BB79" s="147">
        <f t="shared" si="336"/>
        <v>64</v>
      </c>
      <c r="BC79" s="137">
        <f t="shared" si="337"/>
        <v>64</v>
      </c>
      <c r="BD79" s="135" t="str">
        <f t="shared" si="338"/>
        <v>B</v>
      </c>
      <c r="BE79" s="135" t="str">
        <f>VLOOKUP(RANK(BC79,$BC$10:$BC$109),Sheet1!$A$381:$B$480,2,FALSE)</f>
        <v>21st</v>
      </c>
      <c r="BF79" s="144">
        <v>23</v>
      </c>
      <c r="BG79" s="144">
        <v>24</v>
      </c>
      <c r="BH79" s="137">
        <f t="shared" si="339"/>
        <v>47</v>
      </c>
      <c r="BI79" s="137">
        <f t="shared" si="340"/>
        <v>47</v>
      </c>
      <c r="BJ79" s="135" t="str">
        <f t="shared" si="341"/>
        <v>D</v>
      </c>
      <c r="BK79" s="141" t="str">
        <f>VLOOKUP(RANK(BI79,$BI$10:$BI$109),Sheet1!$A$381:$B$480,2,FALSE)</f>
        <v>19th</v>
      </c>
      <c r="BL79" s="149">
        <v>30</v>
      </c>
      <c r="BM79" s="149">
        <v>31</v>
      </c>
      <c r="BN79" s="147">
        <f t="shared" si="342"/>
        <v>61</v>
      </c>
      <c r="BO79" s="137">
        <f t="shared" si="343"/>
        <v>61</v>
      </c>
      <c r="BP79" s="135" t="str">
        <f t="shared" si="344"/>
        <v>B</v>
      </c>
      <c r="BQ79" s="141" t="str">
        <f>VLOOKUP(RANK(BO79,$BO$10:$BO$109),Sheet1!$A$381:$B$480,2,FALSE)</f>
        <v>1st</v>
      </c>
      <c r="BR79" s="149">
        <v>28</v>
      </c>
      <c r="BS79" s="149">
        <v>36</v>
      </c>
      <c r="BT79" s="147">
        <f t="shared" si="345"/>
        <v>64</v>
      </c>
      <c r="BU79" s="137">
        <f t="shared" si="346"/>
        <v>64</v>
      </c>
      <c r="BV79" s="135" t="str">
        <f t="shared" si="347"/>
        <v>B</v>
      </c>
      <c r="BW79" s="135" t="str">
        <f>VLOOKUP(RANK(BU79,$BU$10:$BU$109),Sheet1!$A$381:$B$480,2,FALSE)</f>
        <v>19th</v>
      </c>
      <c r="BX79" s="149">
        <v>27</v>
      </c>
      <c r="BY79" s="149">
        <v>12</v>
      </c>
      <c r="BZ79" s="137">
        <f t="shared" si="348"/>
        <v>39</v>
      </c>
      <c r="CA79" s="137">
        <f t="shared" si="349"/>
        <v>39</v>
      </c>
      <c r="CB79" s="135" t="str">
        <f t="shared" si="350"/>
        <v>E</v>
      </c>
      <c r="CC79" s="135" t="str">
        <f>VLOOKUP(RANK(CA79,$CA$10:$CA$109),Sheet1!$A$381:$B$480,2,FALSE)</f>
        <v>53rd</v>
      </c>
      <c r="CD79" s="149">
        <v>30</v>
      </c>
      <c r="CE79" s="149">
        <v>40</v>
      </c>
      <c r="CF79" s="137">
        <f t="shared" si="351"/>
        <v>70</v>
      </c>
      <c r="CG79" s="137">
        <f t="shared" si="352"/>
        <v>70</v>
      </c>
      <c r="CH79" s="135" t="str">
        <f t="shared" si="353"/>
        <v>B</v>
      </c>
      <c r="CI79" s="135" t="str">
        <f>VLOOKUP(RANK(CG79,$CG$10:$CG$109),Sheet1!$A$381:$B$480,2,FALSE)</f>
        <v>17th</v>
      </c>
      <c r="CJ79" s="137"/>
      <c r="CK79" s="137"/>
      <c r="CL79" s="137">
        <f t="shared" si="354"/>
        <v>0</v>
      </c>
      <c r="CM79" s="137">
        <f t="shared" si="355"/>
        <v>0</v>
      </c>
      <c r="CN79" s="135" t="str">
        <f t="shared" si="356"/>
        <v>F</v>
      </c>
      <c r="CO79" s="135" t="str">
        <f>VLOOKUP(RANK(CM79,$CM$10:$CM$109),Sheet1!$A$381:$B$480,2,FALSE)</f>
        <v>1st</v>
      </c>
      <c r="CP79" s="137"/>
      <c r="CQ79" s="137"/>
      <c r="CR79" s="137">
        <f t="shared" si="357"/>
        <v>0</v>
      </c>
      <c r="CS79" s="137">
        <f t="shared" si="358"/>
        <v>0</v>
      </c>
      <c r="CT79" s="135" t="str">
        <f t="shared" si="359"/>
        <v>F</v>
      </c>
      <c r="CU79" s="135" t="str">
        <f>VLOOKUP(RANK(CS79,$CS$10:$CS$109),Sheet1!$A$381:$B$480,2,FALSE)</f>
        <v>1st</v>
      </c>
      <c r="CV79" s="151"/>
      <c r="CW79" s="135"/>
      <c r="CX79" s="151">
        <f t="shared" si="508"/>
        <v>0</v>
      </c>
      <c r="CY79" s="151">
        <f t="shared" si="509"/>
        <v>0</v>
      </c>
      <c r="CZ79" s="135" t="str">
        <f t="shared" si="360"/>
        <v>F</v>
      </c>
      <c r="DA79" s="135" t="str">
        <f>VLOOKUP(RANK(CY79,$CY$10:$CY$109),Sheet1!$A$381:$B$480,2,FALSE)</f>
        <v>1st</v>
      </c>
      <c r="DB79" s="135"/>
      <c r="DC79" s="151">
        <f t="shared" si="510"/>
        <v>755</v>
      </c>
      <c r="DD79" s="151">
        <f t="shared" si="511"/>
        <v>44.411764705882398</v>
      </c>
      <c r="DE79" s="135" t="str">
        <f>VLOOKUP(RANK(DD79,$DD$10:$DD$109),Sheet1!$A$381:$B$480,2,FALSE)</f>
        <v>9th</v>
      </c>
      <c r="DF79" s="137"/>
      <c r="DG79" s="160">
        <f t="shared" si="361"/>
        <v>799.41176470588198</v>
      </c>
      <c r="DH79" s="119"/>
      <c r="DI79" s="162">
        <v>31</v>
      </c>
      <c r="DJ79" s="162">
        <v>52</v>
      </c>
      <c r="DK79" s="137">
        <f t="shared" si="362"/>
        <v>83</v>
      </c>
      <c r="DL79" s="137" t="str">
        <f t="shared" si="363"/>
        <v>72</v>
      </c>
      <c r="DM79" s="137">
        <f t="shared" si="364"/>
        <v>155</v>
      </c>
      <c r="DN79" s="137">
        <f t="shared" si="365"/>
        <v>77.5</v>
      </c>
      <c r="DO79" s="135" t="str">
        <f t="shared" si="366"/>
        <v>A</v>
      </c>
      <c r="DP79" s="135" t="str">
        <f>VLOOKUP(RANK(DN79,$DN$10:$DN$109),Sheet1!$A$381:$B$480,2,FALSE)</f>
        <v>10th</v>
      </c>
      <c r="DQ79" s="166">
        <v>29</v>
      </c>
      <c r="DR79" s="166">
        <v>19</v>
      </c>
      <c r="DS79" s="137">
        <f t="shared" si="367"/>
        <v>48</v>
      </c>
      <c r="DT79" s="137" t="str">
        <f t="shared" si="368"/>
        <v>72</v>
      </c>
      <c r="DU79" s="137">
        <f t="shared" si="369"/>
        <v>120</v>
      </c>
      <c r="DV79" s="137">
        <f t="shared" si="370"/>
        <v>60</v>
      </c>
      <c r="DW79" s="135" t="str">
        <f t="shared" si="371"/>
        <v>B</v>
      </c>
      <c r="DX79" s="135" t="str">
        <f>VLOOKUP(RANK(DV79,$DV$10:$DV$109),Sheet1!$A$381:$B$480,2,FALSE)</f>
        <v>13th</v>
      </c>
      <c r="DY79" s="168">
        <v>29</v>
      </c>
      <c r="DZ79" s="168">
        <v>37</v>
      </c>
      <c r="EA79" s="137">
        <f t="shared" si="372"/>
        <v>66</v>
      </c>
      <c r="EB79" s="137" t="str">
        <f t="shared" si="373"/>
        <v>50</v>
      </c>
      <c r="EC79" s="137">
        <f t="shared" si="374"/>
        <v>116</v>
      </c>
      <c r="ED79" s="137">
        <f t="shared" si="375"/>
        <v>58</v>
      </c>
      <c r="EE79" s="135" t="str">
        <f t="shared" si="376"/>
        <v>C</v>
      </c>
      <c r="EF79" s="135" t="str">
        <f>VLOOKUP(RANK(ED79,$ED$10:$ED$109),Sheet1!$A$381:$B$480,2,FALSE)</f>
        <v>12th</v>
      </c>
      <c r="EG79" s="162">
        <v>35</v>
      </c>
      <c r="EH79" s="162">
        <v>12</v>
      </c>
      <c r="EI79" s="137">
        <f t="shared" si="377"/>
        <v>47</v>
      </c>
      <c r="EJ79" s="137" t="str">
        <f t="shared" si="378"/>
        <v>74</v>
      </c>
      <c r="EK79" s="137">
        <f t="shared" si="379"/>
        <v>121</v>
      </c>
      <c r="EL79" s="137">
        <f t="shared" si="380"/>
        <v>60.5</v>
      </c>
      <c r="EM79" s="135" t="str">
        <f t="shared" si="381"/>
        <v>B</v>
      </c>
      <c r="EN79" s="135" t="str">
        <f>VLOOKUP(RANK(EL79,$EL$10:$EL$109),Sheet1!$A$381:$B$480,2,FALSE)</f>
        <v>34th</v>
      </c>
      <c r="EO79" s="162">
        <v>31</v>
      </c>
      <c r="EP79" s="162">
        <v>38</v>
      </c>
      <c r="EQ79" s="137">
        <f t="shared" si="382"/>
        <v>69</v>
      </c>
      <c r="ER79" s="137" t="str">
        <f t="shared" si="383"/>
        <v>92</v>
      </c>
      <c r="ES79" s="137">
        <f t="shared" si="384"/>
        <v>161</v>
      </c>
      <c r="ET79" s="137">
        <f t="shared" si="385"/>
        <v>80.5</v>
      </c>
      <c r="EU79" s="135" t="str">
        <f t="shared" si="386"/>
        <v>A</v>
      </c>
      <c r="EV79" s="135" t="str">
        <f>VLOOKUP(RANK(ET79,$ET$10:$ET$109),Sheet1!$A$381:$B$480,2,FALSE)</f>
        <v>6th</v>
      </c>
      <c r="EW79" s="137"/>
      <c r="EX79" s="137"/>
      <c r="EY79" s="137">
        <f t="shared" si="387"/>
        <v>0</v>
      </c>
      <c r="EZ79" s="137" t="str">
        <f t="shared" si="388"/>
        <v>0</v>
      </c>
      <c r="FA79" s="137">
        <f t="shared" si="389"/>
        <v>0</v>
      </c>
      <c r="FB79" s="137">
        <f t="shared" si="390"/>
        <v>0</v>
      </c>
      <c r="FC79" s="135" t="str">
        <f t="shared" si="391"/>
        <v>F</v>
      </c>
      <c r="FD79" s="135" t="str">
        <f>VLOOKUP(RANK(FB79,$FB$10:$FB$109),Sheet1!$A$381:$B$480,2,FALSE)</f>
        <v>1st</v>
      </c>
      <c r="FE79" s="137"/>
      <c r="FF79" s="137"/>
      <c r="FG79" s="137">
        <f t="shared" si="392"/>
        <v>0</v>
      </c>
      <c r="FH79" s="137" t="str">
        <f t="shared" si="393"/>
        <v>0</v>
      </c>
      <c r="FI79" s="137">
        <f t="shared" si="394"/>
        <v>0</v>
      </c>
      <c r="FJ79" s="137">
        <f t="shared" si="395"/>
        <v>0</v>
      </c>
      <c r="FK79" s="135" t="str">
        <f t="shared" si="396"/>
        <v>F</v>
      </c>
      <c r="FL79" s="135" t="str">
        <f>VLOOKUP(RANK(FJ79,$FJ$10:$FJ$109),Sheet1!$A$381:$B$480,2,FALSE)</f>
        <v>1st</v>
      </c>
      <c r="FM79" s="164">
        <v>30</v>
      </c>
      <c r="FN79" s="165">
        <v>35</v>
      </c>
      <c r="FO79" s="137">
        <f t="shared" si="397"/>
        <v>65</v>
      </c>
      <c r="FP79" s="137" t="str">
        <f t="shared" si="398"/>
        <v>50</v>
      </c>
      <c r="FQ79" s="137">
        <f t="shared" si="399"/>
        <v>115</v>
      </c>
      <c r="FR79" s="137">
        <f t="shared" si="400"/>
        <v>57.5</v>
      </c>
      <c r="FS79" s="135" t="str">
        <f t="shared" si="401"/>
        <v>C</v>
      </c>
      <c r="FT79" s="135" t="str">
        <f>VLOOKUP(RANK(FR79,$FR$10:$FR$109),Sheet1!$A$381:$B$480,2,FALSE)</f>
        <v>13th</v>
      </c>
      <c r="FU79" s="149">
        <v>36</v>
      </c>
      <c r="FV79" s="149">
        <v>29</v>
      </c>
      <c r="FW79" s="137">
        <f t="shared" si="402"/>
        <v>65</v>
      </c>
      <c r="FX79" s="137" t="str">
        <f t="shared" si="403"/>
        <v>64</v>
      </c>
      <c r="FY79" s="137">
        <f t="shared" si="512"/>
        <v>65</v>
      </c>
      <c r="FZ79" s="137">
        <f t="shared" si="404"/>
        <v>32.5</v>
      </c>
      <c r="GA79" s="135" t="str">
        <f t="shared" si="405"/>
        <v>F</v>
      </c>
      <c r="GB79" s="135" t="str">
        <f>VLOOKUP(RANK(FZ79,$FZ$10:$FZ$109),Sheet1!$A$381:$B$480,2,FALSE)</f>
        <v>11th</v>
      </c>
      <c r="GC79" s="166">
        <v>25</v>
      </c>
      <c r="GD79" s="166">
        <v>27</v>
      </c>
      <c r="GE79" s="137">
        <f t="shared" si="406"/>
        <v>52</v>
      </c>
      <c r="GF79" s="137" t="str">
        <f t="shared" si="407"/>
        <v>47</v>
      </c>
      <c r="GG79" s="135">
        <f t="shared" si="513"/>
        <v>99</v>
      </c>
      <c r="GH79" s="137">
        <f t="shared" si="514"/>
        <v>49.5</v>
      </c>
      <c r="GI79" s="135" t="str">
        <f t="shared" si="408"/>
        <v>D</v>
      </c>
      <c r="GJ79" s="135" t="str">
        <f>VLOOKUP(RANK(GH79,$GH$10:$GH$109),Sheet1!$A$381:$B$480,2,FALSE)</f>
        <v>15th</v>
      </c>
      <c r="GK79" s="166">
        <v>27</v>
      </c>
      <c r="GL79" s="166">
        <v>16</v>
      </c>
      <c r="GM79" s="137">
        <f t="shared" si="409"/>
        <v>43</v>
      </c>
      <c r="GN79" s="137" t="str">
        <f t="shared" si="410"/>
        <v>61</v>
      </c>
      <c r="GO79" s="135">
        <f t="shared" si="515"/>
        <v>104</v>
      </c>
      <c r="GP79" s="137">
        <f t="shared" si="411"/>
        <v>52</v>
      </c>
      <c r="GQ79" s="135" t="str">
        <f t="shared" si="412"/>
        <v>C</v>
      </c>
      <c r="GR79" s="135" t="str">
        <f>VLOOKUP(RANK(GP79,$GP$10:$GP$109),Sheet1!$A$381:$B$480,2,FALSE)</f>
        <v>9th</v>
      </c>
      <c r="GS79" s="166">
        <v>33</v>
      </c>
      <c r="GT79" s="166">
        <v>29</v>
      </c>
      <c r="GU79" s="137">
        <f t="shared" si="413"/>
        <v>62</v>
      </c>
      <c r="GV79" s="137" t="str">
        <f t="shared" si="414"/>
        <v>64</v>
      </c>
      <c r="GW79" s="137">
        <f t="shared" si="415"/>
        <v>126</v>
      </c>
      <c r="GX79" s="137">
        <f t="shared" si="416"/>
        <v>63</v>
      </c>
      <c r="GY79" s="135" t="str">
        <f t="shared" si="417"/>
        <v>B</v>
      </c>
      <c r="GZ79" s="135" t="str">
        <f>VLOOKUP(RANK(GX79,$GX$10:$GX$109),Sheet1!$A$381:$B$480,2,FALSE)</f>
        <v>20th</v>
      </c>
      <c r="HA79" s="166">
        <v>29</v>
      </c>
      <c r="HB79" s="166">
        <v>26</v>
      </c>
      <c r="HC79" s="137">
        <f t="shared" si="418"/>
        <v>55</v>
      </c>
      <c r="HD79" s="137" t="str">
        <f t="shared" si="419"/>
        <v>39</v>
      </c>
      <c r="HE79" s="137">
        <f t="shared" si="420"/>
        <v>94</v>
      </c>
      <c r="HF79" s="137">
        <f t="shared" si="421"/>
        <v>47</v>
      </c>
      <c r="HG79" s="135" t="str">
        <f t="shared" si="422"/>
        <v>D</v>
      </c>
      <c r="HH79" s="135" t="str">
        <f>VLOOKUP(RANK(HF79,$HF$10:$HF$109),Sheet1!$A$381:$B$480,2,FALSE)</f>
        <v>16th</v>
      </c>
      <c r="HI79" s="149">
        <v>27</v>
      </c>
      <c r="HJ79" s="149">
        <v>50</v>
      </c>
      <c r="HK79" s="137">
        <f t="shared" si="423"/>
        <v>77</v>
      </c>
      <c r="HL79" s="137" t="str">
        <f t="shared" si="424"/>
        <v>70</v>
      </c>
      <c r="HM79" s="137">
        <f t="shared" si="425"/>
        <v>147</v>
      </c>
      <c r="HN79" s="137">
        <f t="shared" si="426"/>
        <v>73.5</v>
      </c>
      <c r="HO79" s="135" t="str">
        <f t="shared" si="427"/>
        <v>B</v>
      </c>
      <c r="HP79" s="135" t="str">
        <f>VLOOKUP(RANK(HN79,$HN$10:$HN$109),Sheet1!$A$381:$B$480,2,FALSE)</f>
        <v>18th</v>
      </c>
      <c r="HQ79" s="137"/>
      <c r="HR79" s="137"/>
      <c r="HS79" s="137">
        <f t="shared" si="428"/>
        <v>0</v>
      </c>
      <c r="HT79" s="137" t="str">
        <f t="shared" si="429"/>
        <v>0</v>
      </c>
      <c r="HU79" s="137">
        <f t="shared" si="430"/>
        <v>0</v>
      </c>
      <c r="HV79" s="137">
        <f t="shared" si="431"/>
        <v>0</v>
      </c>
      <c r="HW79" s="135" t="str">
        <f t="shared" si="432"/>
        <v>F</v>
      </c>
      <c r="HX79" s="135" t="str">
        <f>VLOOKUP(RANK(HV79,$HV$10:$HV$109),Sheet1!$A$381:$B$480,2,FALSE)</f>
        <v>1st</v>
      </c>
      <c r="HY79" s="137"/>
      <c r="HZ79" s="137"/>
      <c r="IA79" s="137">
        <f t="shared" si="433"/>
        <v>0</v>
      </c>
      <c r="IB79" s="137" t="str">
        <f t="shared" si="434"/>
        <v>0</v>
      </c>
      <c r="IC79" s="137">
        <f t="shared" si="435"/>
        <v>0</v>
      </c>
      <c r="ID79" s="137">
        <f t="shared" si="436"/>
        <v>0</v>
      </c>
      <c r="IE79" s="135" t="str">
        <f t="shared" si="437"/>
        <v>F</v>
      </c>
      <c r="IF79" s="135" t="str">
        <f>VLOOKUP(RANK(ID79,$ID$10:$ID$109),Sheet1!$A$381:$B$480,2,FALSE)</f>
        <v>1st</v>
      </c>
      <c r="IG79" s="135"/>
      <c r="IH79" s="135"/>
      <c r="II79" s="135">
        <f t="shared" si="516"/>
        <v>0</v>
      </c>
      <c r="IJ79" s="135" t="str">
        <f t="shared" si="517"/>
        <v>0</v>
      </c>
      <c r="IK79" s="135">
        <f t="shared" si="518"/>
        <v>0</v>
      </c>
      <c r="IL79" s="135">
        <f t="shared" si="519"/>
        <v>0</v>
      </c>
      <c r="IM79" s="135" t="str">
        <f t="shared" si="438"/>
        <v>F</v>
      </c>
      <c r="IN79" s="135" t="str">
        <f>VLOOKUP(RANK(IL79,$IL$10:$IL$109),Sheet1!$A$381:$B$480,2,FALSE)</f>
        <v>1st</v>
      </c>
      <c r="IO79" s="135">
        <f t="shared" si="520"/>
        <v>711.5</v>
      </c>
      <c r="IP79" s="177">
        <f t="shared" si="521"/>
        <v>41.852941176470601</v>
      </c>
      <c r="IQ79" s="135" t="str">
        <f>VLOOKUP(RANK(IP79,$IP$10:$IP$109),Sheet1!$A$381:$B$480,2,FALSE)</f>
        <v>10th</v>
      </c>
      <c r="IR79" s="178"/>
      <c r="IS79" s="137"/>
      <c r="IT79" s="137"/>
      <c r="IU79" s="137"/>
      <c r="IV79" s="137"/>
      <c r="IW79" s="181"/>
      <c r="IX79" s="184"/>
      <c r="IY79" s="186"/>
      <c r="IZ79" s="186">
        <f t="shared" si="439"/>
        <v>0</v>
      </c>
      <c r="JA79" s="186" t="str">
        <f t="shared" si="440"/>
        <v>72</v>
      </c>
      <c r="JB79" s="186" t="str">
        <f t="shared" si="441"/>
        <v>83</v>
      </c>
      <c r="JC79" s="186">
        <f t="shared" si="522"/>
        <v>155</v>
      </c>
      <c r="JD79" s="186">
        <f t="shared" si="523"/>
        <v>51.6666666666667</v>
      </c>
      <c r="JE79" s="135" t="str">
        <f t="shared" si="442"/>
        <v>C</v>
      </c>
      <c r="JF79" s="151" t="str">
        <f>VLOOKUP(RANK(JD79,$JD$10:$JD$109),Sheet1!$A$381:$B$480,2,FALSE)</f>
        <v>10th</v>
      </c>
      <c r="JG79" s="186"/>
      <c r="JH79" s="186"/>
      <c r="JI79" s="186">
        <f t="shared" si="443"/>
        <v>0</v>
      </c>
      <c r="JJ79" s="186" t="str">
        <f t="shared" si="444"/>
        <v>72</v>
      </c>
      <c r="JK79" s="186" t="str">
        <f t="shared" si="445"/>
        <v>48</v>
      </c>
      <c r="JL79" s="186">
        <f t="shared" si="524"/>
        <v>120</v>
      </c>
      <c r="JM79" s="186">
        <f t="shared" si="525"/>
        <v>40</v>
      </c>
      <c r="JN79" s="135" t="str">
        <f t="shared" si="446"/>
        <v>D</v>
      </c>
      <c r="JO79" s="151" t="str">
        <f>VLOOKUP(RANK(JM79,$JM$10:$JM$109),Sheet1!$A$381:$B$480,2,FALSE)</f>
        <v>13th</v>
      </c>
      <c r="JP79" s="186"/>
      <c r="JQ79" s="186"/>
      <c r="JR79" s="186">
        <f t="shared" si="447"/>
        <v>0</v>
      </c>
      <c r="JS79" s="186" t="str">
        <f t="shared" si="448"/>
        <v>50</v>
      </c>
      <c r="JT79" s="186" t="str">
        <f t="shared" si="449"/>
        <v>66</v>
      </c>
      <c r="JU79" s="186">
        <f t="shared" si="526"/>
        <v>116</v>
      </c>
      <c r="JV79" s="186">
        <f t="shared" si="527"/>
        <v>38.6666666666667</v>
      </c>
      <c r="JW79" s="135" t="str">
        <f t="shared" si="450"/>
        <v>E</v>
      </c>
      <c r="JX79" s="151" t="str">
        <f>VLOOKUP(RANK(JV79,$JV$10:$JV$109),Sheet1!$A$381:$B$480,2,FALSE)</f>
        <v>12th</v>
      </c>
      <c r="JY79" s="186"/>
      <c r="JZ79" s="186"/>
      <c r="KA79" s="186">
        <f t="shared" si="451"/>
        <v>0</v>
      </c>
      <c r="KB79" s="186" t="str">
        <f t="shared" si="452"/>
        <v>74</v>
      </c>
      <c r="KC79" s="186" t="str">
        <f t="shared" si="453"/>
        <v>47</v>
      </c>
      <c r="KD79" s="186">
        <f t="shared" si="528"/>
        <v>121</v>
      </c>
      <c r="KE79" s="186">
        <f t="shared" si="529"/>
        <v>40.3333333333333</v>
      </c>
      <c r="KF79" s="135" t="str">
        <f t="shared" si="454"/>
        <v>D</v>
      </c>
      <c r="KG79" s="151" t="str">
        <f>VLOOKUP(RANK(KE79,$KE$10:$KE$109),Sheet1!$A$381:$B$480,2,FALSE)</f>
        <v>34th</v>
      </c>
      <c r="KH79" s="186"/>
      <c r="KI79" s="186"/>
      <c r="KJ79" s="186">
        <f t="shared" si="455"/>
        <v>0</v>
      </c>
      <c r="KK79" s="186" t="str">
        <f t="shared" si="456"/>
        <v>92</v>
      </c>
      <c r="KL79" s="186" t="str">
        <f t="shared" si="457"/>
        <v>69</v>
      </c>
      <c r="KM79" s="186">
        <f t="shared" si="530"/>
        <v>161</v>
      </c>
      <c r="KN79" s="186">
        <f t="shared" si="531"/>
        <v>53.6666666666667</v>
      </c>
      <c r="KO79" s="135" t="str">
        <f t="shared" si="458"/>
        <v>C</v>
      </c>
      <c r="KP79" s="151" t="str">
        <f>VLOOKUP(RANK(KN79,$KN$10:$KN$109),Sheet1!$A$381:$B$480,2,FALSE)</f>
        <v>6th</v>
      </c>
      <c r="KQ79" s="186"/>
      <c r="KR79" s="186"/>
      <c r="KS79" s="186">
        <f t="shared" si="459"/>
        <v>0</v>
      </c>
      <c r="KT79" s="186" t="str">
        <f t="shared" si="460"/>
        <v>0</v>
      </c>
      <c r="KU79" s="186" t="str">
        <f t="shared" si="461"/>
        <v>0</v>
      </c>
      <c r="KV79" s="186">
        <f t="shared" si="532"/>
        <v>0</v>
      </c>
      <c r="KW79" s="186">
        <f t="shared" si="533"/>
        <v>0</v>
      </c>
      <c r="KX79" s="135" t="str">
        <f t="shared" si="462"/>
        <v>F</v>
      </c>
      <c r="KY79" s="151" t="str">
        <f>VLOOKUP(RANK(KW79,$KW$10:$KW$109),Sheet1!$A$381:$B$480,2,FALSE)</f>
        <v>1st</v>
      </c>
      <c r="KZ79" s="186"/>
      <c r="LA79" s="186"/>
      <c r="LB79" s="186">
        <f t="shared" si="463"/>
        <v>0</v>
      </c>
      <c r="LC79" s="186" t="str">
        <f t="shared" si="464"/>
        <v>0</v>
      </c>
      <c r="LD79" s="186" t="str">
        <f t="shared" si="465"/>
        <v>0</v>
      </c>
      <c r="LE79" s="186">
        <f t="shared" si="534"/>
        <v>0</v>
      </c>
      <c r="LF79" s="186">
        <f t="shared" si="535"/>
        <v>0</v>
      </c>
      <c r="LG79" s="135" t="str">
        <f t="shared" si="466"/>
        <v>F</v>
      </c>
      <c r="LH79" s="151" t="str">
        <f>VLOOKUP(RANK(LF79,$LF$10:$LF$109),Sheet1!$A$381:$B$480,2,FALSE)</f>
        <v>1st</v>
      </c>
      <c r="LI79" s="186"/>
      <c r="LJ79" s="186"/>
      <c r="LK79" s="186">
        <f t="shared" si="467"/>
        <v>0</v>
      </c>
      <c r="LL79" s="186" t="str">
        <f t="shared" si="468"/>
        <v>50</v>
      </c>
      <c r="LM79" s="186" t="str">
        <f t="shared" si="469"/>
        <v>65</v>
      </c>
      <c r="LN79" s="186">
        <f t="shared" si="536"/>
        <v>115</v>
      </c>
      <c r="LO79" s="186">
        <f t="shared" si="537"/>
        <v>38.3333333333333</v>
      </c>
      <c r="LP79" s="135" t="str">
        <f t="shared" si="470"/>
        <v>E</v>
      </c>
      <c r="LQ79" s="151" t="str">
        <f>VLOOKUP(RANK(LO79,$LO$10:$LO$109),Sheet1!$A$381:$B$480,2,FALSE)</f>
        <v>13th</v>
      </c>
      <c r="LR79" s="186"/>
      <c r="LS79" s="186"/>
      <c r="LT79" s="186">
        <f t="shared" si="471"/>
        <v>0</v>
      </c>
      <c r="LU79" s="186" t="str">
        <f t="shared" si="472"/>
        <v>64</v>
      </c>
      <c r="LV79" s="186" t="str">
        <f t="shared" si="473"/>
        <v>65</v>
      </c>
      <c r="LW79" s="186">
        <f t="shared" si="538"/>
        <v>129</v>
      </c>
      <c r="LX79" s="186">
        <f t="shared" si="539"/>
        <v>43</v>
      </c>
      <c r="LY79" s="135" t="str">
        <f t="shared" si="474"/>
        <v>D</v>
      </c>
      <c r="LZ79" s="151" t="str">
        <f>VLOOKUP(RANK(LX79,$LX$10:$LX$109),Sheet1!$A$381:$B$480,2,FALSE)</f>
        <v>7th</v>
      </c>
      <c r="MA79" s="186"/>
      <c r="MB79" s="186"/>
      <c r="MC79" s="186">
        <f t="shared" si="475"/>
        <v>0</v>
      </c>
      <c r="MD79" s="186" t="str">
        <f t="shared" si="476"/>
        <v>47</v>
      </c>
      <c r="ME79" s="186" t="str">
        <f t="shared" si="477"/>
        <v>52</v>
      </c>
      <c r="MF79" s="183">
        <f t="shared" si="540"/>
        <v>99</v>
      </c>
      <c r="MG79" s="151">
        <f t="shared" si="541"/>
        <v>33</v>
      </c>
      <c r="MH79" s="135" t="str">
        <f t="shared" si="478"/>
        <v>F</v>
      </c>
      <c r="MI79" s="151" t="str">
        <f>VLOOKUP(RANK(MG79,$MG$10:$MG$109),Sheet1!$A$381:$B$480,2,FALSE)</f>
        <v>15th</v>
      </c>
      <c r="MJ79" s="186"/>
      <c r="MK79" s="186"/>
      <c r="ML79" s="186">
        <f t="shared" si="479"/>
        <v>0</v>
      </c>
      <c r="MM79" s="186" t="str">
        <f t="shared" si="480"/>
        <v>61</v>
      </c>
      <c r="MN79" s="186" t="str">
        <f t="shared" si="481"/>
        <v>43</v>
      </c>
      <c r="MO79" s="186">
        <f t="shared" si="542"/>
        <v>104</v>
      </c>
      <c r="MP79" s="186">
        <f t="shared" si="543"/>
        <v>34.6666666666667</v>
      </c>
      <c r="MQ79" s="135" t="str">
        <f t="shared" si="482"/>
        <v>F</v>
      </c>
      <c r="MR79" s="151" t="str">
        <f>VLOOKUP(RANK(MP79,$MP$10:$MP$109),Sheet1!$A$381:$B$480,2,FALSE)</f>
        <v>9th</v>
      </c>
      <c r="MS79" s="186"/>
      <c r="MT79" s="186"/>
      <c r="MU79" s="186">
        <f t="shared" si="483"/>
        <v>0</v>
      </c>
      <c r="MV79" s="186" t="str">
        <f t="shared" si="484"/>
        <v>64</v>
      </c>
      <c r="MW79" s="186" t="str">
        <f t="shared" si="485"/>
        <v>62</v>
      </c>
      <c r="MX79" s="186">
        <f t="shared" si="544"/>
        <v>126</v>
      </c>
      <c r="MY79" s="186">
        <f t="shared" si="545"/>
        <v>42</v>
      </c>
      <c r="MZ79" s="135" t="str">
        <f t="shared" si="486"/>
        <v>D</v>
      </c>
      <c r="NA79" s="151" t="str">
        <f>VLOOKUP(RANK(MY79,$MY$10:$MY$109),Sheet1!$A$381:$B$480,2,FALSE)</f>
        <v>20th</v>
      </c>
      <c r="NB79" s="186"/>
      <c r="NC79" s="186"/>
      <c r="ND79" s="186">
        <f t="shared" si="487"/>
        <v>0</v>
      </c>
      <c r="NE79" s="186" t="str">
        <f t="shared" si="488"/>
        <v>39</v>
      </c>
      <c r="NF79" s="186" t="str">
        <f t="shared" si="489"/>
        <v>55</v>
      </c>
      <c r="NG79" s="186">
        <f t="shared" si="546"/>
        <v>94</v>
      </c>
      <c r="NH79" s="186">
        <f t="shared" si="547"/>
        <v>31.3333333333333</v>
      </c>
      <c r="NI79" s="135" t="str">
        <f t="shared" si="490"/>
        <v>F</v>
      </c>
      <c r="NJ79" s="151" t="str">
        <f>VLOOKUP(RANK(NH79,$NH$10:$NH$109),Sheet1!$A$381:$B$480,2,FALSE)</f>
        <v>16th</v>
      </c>
      <c r="NK79" s="186"/>
      <c r="NL79" s="186"/>
      <c r="NM79" s="186">
        <f t="shared" si="491"/>
        <v>0</v>
      </c>
      <c r="NN79" s="186" t="str">
        <f t="shared" si="492"/>
        <v>70</v>
      </c>
      <c r="NO79" s="186" t="str">
        <f t="shared" si="493"/>
        <v>77</v>
      </c>
      <c r="NP79" s="186">
        <f t="shared" si="548"/>
        <v>147</v>
      </c>
      <c r="NQ79" s="186">
        <f t="shared" si="494"/>
        <v>49</v>
      </c>
      <c r="NR79" s="135" t="str">
        <f t="shared" si="495"/>
        <v>D</v>
      </c>
      <c r="NS79" s="151" t="str">
        <f>VLOOKUP(RANK(NQ79,$NQ$10:$NQ$109),Sheet1!$A$381:$B$480,2,FALSE)</f>
        <v>18th</v>
      </c>
      <c r="NT79" s="186"/>
      <c r="NU79" s="186"/>
      <c r="NV79" s="186">
        <f t="shared" si="496"/>
        <v>0</v>
      </c>
      <c r="NW79" s="186" t="str">
        <f t="shared" si="497"/>
        <v>0</v>
      </c>
      <c r="NX79" s="186" t="str">
        <f t="shared" si="498"/>
        <v>0</v>
      </c>
      <c r="NY79" s="186">
        <f t="shared" si="549"/>
        <v>0</v>
      </c>
      <c r="NZ79" s="186">
        <f t="shared" si="499"/>
        <v>0</v>
      </c>
      <c r="OA79" s="135" t="str">
        <f t="shared" si="500"/>
        <v>F</v>
      </c>
      <c r="OB79" s="151" t="str">
        <f>VLOOKUP(RANK(NZ79,$NZ$10:$NZ$109),Sheet1!$A$381:$B$480,2,FALSE)</f>
        <v>1st</v>
      </c>
      <c r="OC79" s="186"/>
      <c r="OD79" s="186"/>
      <c r="OE79" s="186">
        <f t="shared" si="501"/>
        <v>0</v>
      </c>
      <c r="OF79" s="186" t="str">
        <f t="shared" si="502"/>
        <v>0</v>
      </c>
      <c r="OG79" s="186" t="str">
        <f t="shared" si="503"/>
        <v>0</v>
      </c>
      <c r="OH79" s="186">
        <f t="shared" si="550"/>
        <v>0</v>
      </c>
      <c r="OI79" s="186">
        <f t="shared" si="504"/>
        <v>0</v>
      </c>
      <c r="OJ79" s="135" t="str">
        <f t="shared" si="505"/>
        <v>F</v>
      </c>
      <c r="OK79" s="151" t="str">
        <f>VLOOKUP(RANK(OI79,$OI$10:$OI$109),Sheet1!$A$381:$B$480,2,FALSE)</f>
        <v>1st</v>
      </c>
      <c r="OL79" s="151"/>
      <c r="OM79" s="151"/>
      <c r="ON79" s="151">
        <f t="shared" si="551"/>
        <v>0</v>
      </c>
      <c r="OO79" s="151" t="str">
        <f t="shared" si="552"/>
        <v>0</v>
      </c>
      <c r="OP79" s="151" t="str">
        <f t="shared" si="553"/>
        <v>0</v>
      </c>
      <c r="OQ79" s="151">
        <f t="shared" si="554"/>
        <v>0</v>
      </c>
      <c r="OR79" s="151">
        <f t="shared" si="555"/>
        <v>0</v>
      </c>
      <c r="OS79" s="135" t="str">
        <f t="shared" si="506"/>
        <v>F</v>
      </c>
      <c r="OT79" s="151" t="str">
        <f>VLOOKUP(RANK(OR79,$OI$10:$OI$109),Sheet1!$A$381:$B$480,2,FALSE)</f>
        <v>1st</v>
      </c>
      <c r="OU79" s="151">
        <f t="shared" si="556"/>
        <v>495.66666666666703</v>
      </c>
      <c r="OV79" s="151">
        <f t="shared" si="557"/>
        <v>29.156862745098</v>
      </c>
      <c r="OW79" s="151" t="str">
        <f>VLOOKUP(RANK(OV79,$OV$10:$OV$109),Sheet1!$A$381:$B$480,2,FALSE)</f>
        <v>11th</v>
      </c>
      <c r="OX79" s="151"/>
      <c r="OY79" s="186"/>
      <c r="OZ79" s="186"/>
      <c r="PA79" s="186"/>
      <c r="PB79" s="186"/>
    </row>
    <row r="80" spans="1:418" s="118" customFormat="1" ht="18.75">
      <c r="A80" s="131">
        <v>71</v>
      </c>
      <c r="B80" s="132" t="s">
        <v>170</v>
      </c>
      <c r="C80" s="133" t="s">
        <v>97</v>
      </c>
      <c r="D80" s="134">
        <v>25</v>
      </c>
      <c r="E80" s="134">
        <v>31</v>
      </c>
      <c r="F80" s="137">
        <f t="shared" si="315"/>
        <v>56</v>
      </c>
      <c r="G80" s="137">
        <f t="shared" si="316"/>
        <v>56</v>
      </c>
      <c r="H80" s="135" t="str">
        <f t="shared" si="507"/>
        <v>C</v>
      </c>
      <c r="I80" s="135" t="str">
        <f>VLOOKUP(RANK(G80,$G$10:$G$109),Sheet1!$A$381:$B$480,2,FALSE)</f>
        <v>88th</v>
      </c>
      <c r="J80" s="134">
        <v>31</v>
      </c>
      <c r="K80" s="134">
        <v>33</v>
      </c>
      <c r="L80" s="137">
        <f t="shared" si="317"/>
        <v>64</v>
      </c>
      <c r="M80" s="137">
        <f t="shared" si="318"/>
        <v>64</v>
      </c>
      <c r="N80" s="135" t="str">
        <f t="shared" si="319"/>
        <v>B</v>
      </c>
      <c r="O80" s="141" t="str">
        <f>VLOOKUP(RANK(M80,$M$10:$M$109),Sheet1!$A$381:$B$480,2,FALSE)</f>
        <v>17th</v>
      </c>
      <c r="P80" s="144">
        <v>35</v>
      </c>
      <c r="Q80" s="144">
        <v>25</v>
      </c>
      <c r="R80" s="147">
        <f t="shared" si="320"/>
        <v>60</v>
      </c>
      <c r="S80" s="137">
        <f t="shared" si="321"/>
        <v>60</v>
      </c>
      <c r="T80" s="135" t="str">
        <f t="shared" si="322"/>
        <v>B</v>
      </c>
      <c r="U80" s="135" t="str">
        <f>VLOOKUP(RANK(S80,$S$10:$S$109),Sheet1!$A$381:$B$480,2,FALSE)</f>
        <v>13th</v>
      </c>
      <c r="V80" s="134">
        <v>28</v>
      </c>
      <c r="W80" s="134">
        <v>42</v>
      </c>
      <c r="X80" s="137">
        <f t="shared" si="559"/>
        <v>70</v>
      </c>
      <c r="Y80" s="137">
        <f t="shared" si="558"/>
        <v>70</v>
      </c>
      <c r="Z80" s="135" t="str">
        <f t="shared" si="323"/>
        <v>B</v>
      </c>
      <c r="AA80" s="135" t="str">
        <f>VLOOKUP(RANK(Y80,$Y$10:$Y$109),Sheet1!$A$381:$B$480,2,FALSE)</f>
        <v>22nd</v>
      </c>
      <c r="AB80" s="134">
        <v>36</v>
      </c>
      <c r="AC80" s="134">
        <v>40</v>
      </c>
      <c r="AD80" s="137">
        <f t="shared" si="324"/>
        <v>76</v>
      </c>
      <c r="AE80" s="137">
        <f t="shared" si="325"/>
        <v>76</v>
      </c>
      <c r="AF80" s="135" t="str">
        <f t="shared" si="326"/>
        <v>A</v>
      </c>
      <c r="AG80" s="135" t="str">
        <f>VLOOKUP(RANK(AE80,$AE$10:$AE$109),Sheet1!$A$381:$B$480,2,FALSE)</f>
        <v>22nd</v>
      </c>
      <c r="AH80" s="137"/>
      <c r="AI80" s="137"/>
      <c r="AJ80" s="137">
        <f t="shared" si="327"/>
        <v>0</v>
      </c>
      <c r="AK80" s="137">
        <f t="shared" si="328"/>
        <v>0</v>
      </c>
      <c r="AL80" s="135" t="str">
        <f t="shared" si="329"/>
        <v>F</v>
      </c>
      <c r="AM80" s="135" t="str">
        <f>VLOOKUP(RANK(AK80,$AK$10:$AK$109),Sheet1!$A$381:$B$480,2,FALSE)</f>
        <v>1st</v>
      </c>
      <c r="AN80" s="134"/>
      <c r="AO80" s="134"/>
      <c r="AP80" s="137">
        <f t="shared" si="330"/>
        <v>0</v>
      </c>
      <c r="AQ80" s="137">
        <f t="shared" si="331"/>
        <v>0</v>
      </c>
      <c r="AR80" s="135" t="str">
        <f t="shared" si="332"/>
        <v>F</v>
      </c>
      <c r="AS80" s="135" t="str">
        <f>VLOOKUP(RANK(AQ80,$AQ$10:$AQ$109),Sheet1!$A$381:$B$480,2,FALSE)</f>
        <v>1st</v>
      </c>
      <c r="AT80" s="144">
        <v>25</v>
      </c>
      <c r="AU80" s="144">
        <v>28</v>
      </c>
      <c r="AV80" s="137">
        <f t="shared" si="333"/>
        <v>53</v>
      </c>
      <c r="AW80" s="137">
        <f t="shared" si="334"/>
        <v>53</v>
      </c>
      <c r="AX80" s="135" t="str">
        <f t="shared" si="335"/>
        <v>C</v>
      </c>
      <c r="AY80" s="141" t="str">
        <f>VLOOKUP(RANK(AW80,$AW$10:$AW$109),Sheet1!$A$381:$B$480,2,FALSE)</f>
        <v>28th</v>
      </c>
      <c r="AZ80" s="144">
        <v>33</v>
      </c>
      <c r="BA80" s="144">
        <v>25</v>
      </c>
      <c r="BB80" s="147">
        <f t="shared" si="336"/>
        <v>58</v>
      </c>
      <c r="BC80" s="137">
        <f t="shared" si="337"/>
        <v>58</v>
      </c>
      <c r="BD80" s="135" t="str">
        <f t="shared" si="338"/>
        <v>C</v>
      </c>
      <c r="BE80" s="135" t="str">
        <f>VLOOKUP(RANK(BC80,$BC$10:$BC$109),Sheet1!$A$381:$B$480,2,FALSE)</f>
        <v>33rd</v>
      </c>
      <c r="BF80" s="144">
        <v>21</v>
      </c>
      <c r="BG80" s="144">
        <v>15</v>
      </c>
      <c r="BH80" s="137">
        <f t="shared" si="339"/>
        <v>36</v>
      </c>
      <c r="BI80" s="137">
        <f t="shared" si="340"/>
        <v>36</v>
      </c>
      <c r="BJ80" s="135" t="str">
        <f t="shared" si="341"/>
        <v>E</v>
      </c>
      <c r="BK80" s="141" t="str">
        <f>VLOOKUP(RANK(BI80,$BI$10:$BI$109),Sheet1!$A$381:$B$480,2,FALSE)</f>
        <v>45th</v>
      </c>
      <c r="BL80" s="149">
        <v>24</v>
      </c>
      <c r="BM80" s="149">
        <v>27</v>
      </c>
      <c r="BN80" s="147">
        <f t="shared" si="342"/>
        <v>51</v>
      </c>
      <c r="BO80" s="137">
        <f t="shared" si="343"/>
        <v>51</v>
      </c>
      <c r="BP80" s="135" t="str">
        <f t="shared" si="344"/>
        <v>C</v>
      </c>
      <c r="BQ80" s="141" t="str">
        <f>VLOOKUP(RANK(BO80,$BO$10:$BO$109),Sheet1!$A$381:$B$480,2,FALSE)</f>
        <v>69th</v>
      </c>
      <c r="BR80" s="149">
        <v>27</v>
      </c>
      <c r="BS80" s="149">
        <v>26</v>
      </c>
      <c r="BT80" s="147">
        <f t="shared" si="345"/>
        <v>53</v>
      </c>
      <c r="BU80" s="137">
        <f t="shared" si="346"/>
        <v>53</v>
      </c>
      <c r="BV80" s="135" t="str">
        <f t="shared" si="347"/>
        <v>C</v>
      </c>
      <c r="BW80" s="135" t="str">
        <f>VLOOKUP(RANK(BU80,$BU$10:$BU$109),Sheet1!$A$381:$B$480,2,FALSE)</f>
        <v>36th</v>
      </c>
      <c r="BX80" s="149">
        <v>26</v>
      </c>
      <c r="BY80" s="149">
        <v>10</v>
      </c>
      <c r="BZ80" s="137">
        <f t="shared" si="348"/>
        <v>36</v>
      </c>
      <c r="CA80" s="137">
        <f t="shared" si="349"/>
        <v>36</v>
      </c>
      <c r="CB80" s="135" t="str">
        <f t="shared" si="350"/>
        <v>E</v>
      </c>
      <c r="CC80" s="135" t="str">
        <f>VLOOKUP(RANK(CA80,$CA$10:$CA$109),Sheet1!$A$381:$B$480,2,FALSE)</f>
        <v>91st</v>
      </c>
      <c r="CD80" s="149">
        <v>30</v>
      </c>
      <c r="CE80" s="149">
        <v>45</v>
      </c>
      <c r="CF80" s="137">
        <f t="shared" si="351"/>
        <v>75</v>
      </c>
      <c r="CG80" s="137">
        <f t="shared" si="352"/>
        <v>75</v>
      </c>
      <c r="CH80" s="135" t="str">
        <f t="shared" si="353"/>
        <v>A</v>
      </c>
      <c r="CI80" s="135" t="str">
        <f>VLOOKUP(RANK(CG80,$CG$10:$CG$109),Sheet1!$A$381:$B$480,2,FALSE)</f>
        <v>12th</v>
      </c>
      <c r="CJ80" s="137"/>
      <c r="CK80" s="137"/>
      <c r="CL80" s="137">
        <f t="shared" si="354"/>
        <v>0</v>
      </c>
      <c r="CM80" s="137">
        <f t="shared" si="355"/>
        <v>0</v>
      </c>
      <c r="CN80" s="135" t="str">
        <f t="shared" si="356"/>
        <v>F</v>
      </c>
      <c r="CO80" s="135" t="str">
        <f>VLOOKUP(RANK(CM80,$CM$10:$CM$109),Sheet1!$A$381:$B$480,2,FALSE)</f>
        <v>1st</v>
      </c>
      <c r="CP80" s="137"/>
      <c r="CQ80" s="137"/>
      <c r="CR80" s="137">
        <f t="shared" si="357"/>
        <v>0</v>
      </c>
      <c r="CS80" s="137">
        <f t="shared" si="358"/>
        <v>0</v>
      </c>
      <c r="CT80" s="135" t="str">
        <f t="shared" si="359"/>
        <v>F</v>
      </c>
      <c r="CU80" s="135" t="str">
        <f>VLOOKUP(RANK(CS80,$CS$10:$CS$109),Sheet1!$A$381:$B$480,2,FALSE)</f>
        <v>1st</v>
      </c>
      <c r="CV80" s="151"/>
      <c r="CW80" s="135"/>
      <c r="CX80" s="151">
        <f t="shared" si="508"/>
        <v>0</v>
      </c>
      <c r="CY80" s="151">
        <f t="shared" si="509"/>
        <v>0</v>
      </c>
      <c r="CZ80" s="135" t="str">
        <f t="shared" si="360"/>
        <v>F</v>
      </c>
      <c r="DA80" s="135" t="str">
        <f>VLOOKUP(RANK(CY80,$CY$10:$CY$109),Sheet1!$A$381:$B$480,2,FALSE)</f>
        <v>1st</v>
      </c>
      <c r="DB80" s="135"/>
      <c r="DC80" s="151">
        <f t="shared" si="510"/>
        <v>688</v>
      </c>
      <c r="DD80" s="151">
        <f t="shared" si="511"/>
        <v>40.470588235294102</v>
      </c>
      <c r="DE80" s="135" t="str">
        <f>VLOOKUP(RANK(DD80,$DD$10:$DD$109),Sheet1!$A$381:$B$480,2,FALSE)</f>
        <v>24th</v>
      </c>
      <c r="DF80" s="137"/>
      <c r="DG80" s="160">
        <f t="shared" si="361"/>
        <v>728.47058823529403</v>
      </c>
      <c r="DH80" s="119"/>
      <c r="DI80" s="162">
        <v>22</v>
      </c>
      <c r="DJ80" s="162">
        <v>33</v>
      </c>
      <c r="DK80" s="137">
        <f t="shared" si="362"/>
        <v>55</v>
      </c>
      <c r="DL80" s="137" t="str">
        <f t="shared" si="363"/>
        <v>56</v>
      </c>
      <c r="DM80" s="137">
        <f t="shared" si="364"/>
        <v>111</v>
      </c>
      <c r="DN80" s="137">
        <f t="shared" si="365"/>
        <v>55.5</v>
      </c>
      <c r="DO80" s="135" t="str">
        <f t="shared" si="366"/>
        <v>C</v>
      </c>
      <c r="DP80" s="135" t="str">
        <f>VLOOKUP(RANK(DN80,$DN$10:$DN$109),Sheet1!$A$381:$B$480,2,FALSE)</f>
        <v>83rd</v>
      </c>
      <c r="DQ80" s="166">
        <v>26</v>
      </c>
      <c r="DR80" s="166">
        <v>26</v>
      </c>
      <c r="DS80" s="137">
        <f t="shared" si="367"/>
        <v>52</v>
      </c>
      <c r="DT80" s="137" t="str">
        <f t="shared" si="368"/>
        <v>64</v>
      </c>
      <c r="DU80" s="137">
        <f t="shared" si="369"/>
        <v>116</v>
      </c>
      <c r="DV80" s="137">
        <f t="shared" si="370"/>
        <v>58</v>
      </c>
      <c r="DW80" s="135" t="str">
        <f t="shared" si="371"/>
        <v>C</v>
      </c>
      <c r="DX80" s="135" t="str">
        <f>VLOOKUP(RANK(DV80,$DV$10:$DV$109),Sheet1!$A$381:$B$480,2,FALSE)</f>
        <v>17th</v>
      </c>
      <c r="DY80" s="168">
        <v>30</v>
      </c>
      <c r="DZ80" s="168">
        <v>24</v>
      </c>
      <c r="EA80" s="137">
        <f t="shared" si="372"/>
        <v>54</v>
      </c>
      <c r="EB80" s="137" t="str">
        <f t="shared" si="373"/>
        <v>60</v>
      </c>
      <c r="EC80" s="137">
        <f t="shared" si="374"/>
        <v>114</v>
      </c>
      <c r="ED80" s="137">
        <f t="shared" si="375"/>
        <v>57</v>
      </c>
      <c r="EE80" s="135" t="str">
        <f t="shared" si="376"/>
        <v>C</v>
      </c>
      <c r="EF80" s="135" t="str">
        <f>VLOOKUP(RANK(ED80,$ED$10:$ED$109),Sheet1!$A$381:$B$480,2,FALSE)</f>
        <v>18th</v>
      </c>
      <c r="EG80" s="162">
        <v>31</v>
      </c>
      <c r="EH80" s="162">
        <v>37</v>
      </c>
      <c r="EI80" s="137">
        <f t="shared" si="377"/>
        <v>68</v>
      </c>
      <c r="EJ80" s="137" t="str">
        <f t="shared" si="378"/>
        <v>70</v>
      </c>
      <c r="EK80" s="137">
        <f t="shared" si="379"/>
        <v>138</v>
      </c>
      <c r="EL80" s="137">
        <f t="shared" si="380"/>
        <v>69</v>
      </c>
      <c r="EM80" s="135" t="str">
        <f t="shared" si="381"/>
        <v>B</v>
      </c>
      <c r="EN80" s="135" t="str">
        <f>VLOOKUP(RANK(EL80,$EL$10:$EL$109),Sheet1!$A$381:$B$480,2,FALSE)</f>
        <v>11th</v>
      </c>
      <c r="EO80" s="162">
        <v>27</v>
      </c>
      <c r="EP80" s="162">
        <v>29</v>
      </c>
      <c r="EQ80" s="137">
        <f t="shared" si="382"/>
        <v>56</v>
      </c>
      <c r="ER80" s="137" t="str">
        <f t="shared" si="383"/>
        <v>76</v>
      </c>
      <c r="ES80" s="137">
        <f t="shared" si="384"/>
        <v>132</v>
      </c>
      <c r="ET80" s="137">
        <f t="shared" si="385"/>
        <v>66</v>
      </c>
      <c r="EU80" s="135" t="str">
        <f t="shared" si="386"/>
        <v>B</v>
      </c>
      <c r="EV80" s="135" t="str">
        <f>VLOOKUP(RANK(ET80,$ET$10:$ET$109),Sheet1!$A$381:$B$480,2,FALSE)</f>
        <v>26th</v>
      </c>
      <c r="EW80" s="137"/>
      <c r="EX80" s="137"/>
      <c r="EY80" s="137">
        <f t="shared" si="387"/>
        <v>0</v>
      </c>
      <c r="EZ80" s="137" t="str">
        <f t="shared" si="388"/>
        <v>0</v>
      </c>
      <c r="FA80" s="137">
        <f t="shared" si="389"/>
        <v>0</v>
      </c>
      <c r="FB80" s="137">
        <f t="shared" si="390"/>
        <v>0</v>
      </c>
      <c r="FC80" s="135" t="str">
        <f t="shared" si="391"/>
        <v>F</v>
      </c>
      <c r="FD80" s="135" t="str">
        <f>VLOOKUP(RANK(FB80,$FB$10:$FB$109),Sheet1!$A$381:$B$480,2,FALSE)</f>
        <v>1st</v>
      </c>
      <c r="FE80" s="137"/>
      <c r="FF80" s="137"/>
      <c r="FG80" s="137">
        <f t="shared" si="392"/>
        <v>0</v>
      </c>
      <c r="FH80" s="137" t="str">
        <f t="shared" si="393"/>
        <v>0</v>
      </c>
      <c r="FI80" s="137">
        <f t="shared" si="394"/>
        <v>0</v>
      </c>
      <c r="FJ80" s="137">
        <f t="shared" si="395"/>
        <v>0</v>
      </c>
      <c r="FK80" s="135" t="str">
        <f t="shared" si="396"/>
        <v>F</v>
      </c>
      <c r="FL80" s="135" t="str">
        <f>VLOOKUP(RANK(FJ80,$FJ$10:$FJ$109),Sheet1!$A$381:$B$480,2,FALSE)</f>
        <v>1st</v>
      </c>
      <c r="FM80" s="166">
        <v>25</v>
      </c>
      <c r="FN80" s="166">
        <v>30</v>
      </c>
      <c r="FO80" s="137">
        <f t="shared" si="397"/>
        <v>55</v>
      </c>
      <c r="FP80" s="137" t="str">
        <f t="shared" si="398"/>
        <v>53</v>
      </c>
      <c r="FQ80" s="137">
        <f t="shared" si="399"/>
        <v>108</v>
      </c>
      <c r="FR80" s="137">
        <f t="shared" si="400"/>
        <v>54</v>
      </c>
      <c r="FS80" s="135" t="str">
        <f t="shared" si="401"/>
        <v>C</v>
      </c>
      <c r="FT80" s="135" t="str">
        <f>VLOOKUP(RANK(FR80,$FR$10:$FR$109),Sheet1!$A$381:$B$480,2,FALSE)</f>
        <v>29th</v>
      </c>
      <c r="FU80" s="149">
        <v>37</v>
      </c>
      <c r="FV80" s="149">
        <v>26</v>
      </c>
      <c r="FW80" s="137">
        <f t="shared" si="402"/>
        <v>63</v>
      </c>
      <c r="FX80" s="137" t="str">
        <f t="shared" si="403"/>
        <v>58</v>
      </c>
      <c r="FY80" s="137">
        <f t="shared" si="512"/>
        <v>63</v>
      </c>
      <c r="FZ80" s="137">
        <f t="shared" si="404"/>
        <v>31.5</v>
      </c>
      <c r="GA80" s="135" t="str">
        <f t="shared" si="405"/>
        <v>F</v>
      </c>
      <c r="GB80" s="135" t="str">
        <f>VLOOKUP(RANK(FZ80,$FZ$10:$FZ$109),Sheet1!$A$381:$B$480,2,FALSE)</f>
        <v>13th</v>
      </c>
      <c r="GC80" s="166">
        <v>20</v>
      </c>
      <c r="GD80" s="166">
        <v>25</v>
      </c>
      <c r="GE80" s="137">
        <f t="shared" si="406"/>
        <v>45</v>
      </c>
      <c r="GF80" s="137" t="str">
        <f t="shared" si="407"/>
        <v>36</v>
      </c>
      <c r="GG80" s="135">
        <f t="shared" si="513"/>
        <v>81</v>
      </c>
      <c r="GH80" s="137">
        <f t="shared" si="514"/>
        <v>40.5</v>
      </c>
      <c r="GI80" s="135" t="str">
        <f t="shared" si="408"/>
        <v>D</v>
      </c>
      <c r="GJ80" s="135" t="str">
        <f>VLOOKUP(RANK(GH80,$GH$10:$GH$109),Sheet1!$A$381:$B$480,2,FALSE)</f>
        <v>43rd</v>
      </c>
      <c r="GK80" s="166">
        <v>30</v>
      </c>
      <c r="GL80" s="166">
        <v>19</v>
      </c>
      <c r="GM80" s="137">
        <f t="shared" si="409"/>
        <v>49</v>
      </c>
      <c r="GN80" s="137" t="str">
        <f t="shared" si="410"/>
        <v>51</v>
      </c>
      <c r="GO80" s="135">
        <f t="shared" si="515"/>
        <v>100</v>
      </c>
      <c r="GP80" s="137">
        <f t="shared" si="411"/>
        <v>50</v>
      </c>
      <c r="GQ80" s="135" t="str">
        <f t="shared" si="412"/>
        <v>C</v>
      </c>
      <c r="GR80" s="135" t="str">
        <f>VLOOKUP(RANK(GP80,$GP$10:$GP$109),Sheet1!$A$381:$B$480,2,FALSE)</f>
        <v>22nd</v>
      </c>
      <c r="GS80" s="166">
        <v>27</v>
      </c>
      <c r="GT80" s="166">
        <v>35</v>
      </c>
      <c r="GU80" s="137">
        <f t="shared" si="413"/>
        <v>62</v>
      </c>
      <c r="GV80" s="137" t="str">
        <f t="shared" si="414"/>
        <v>53</v>
      </c>
      <c r="GW80" s="137">
        <f t="shared" si="415"/>
        <v>115</v>
      </c>
      <c r="GX80" s="137">
        <f t="shared" si="416"/>
        <v>57.5</v>
      </c>
      <c r="GY80" s="135" t="str">
        <f t="shared" si="417"/>
        <v>C</v>
      </c>
      <c r="GZ80" s="135" t="str">
        <f>VLOOKUP(RANK(GX80,$GX$10:$GX$109),Sheet1!$A$381:$B$480,2,FALSE)</f>
        <v>28th</v>
      </c>
      <c r="HA80" s="166">
        <v>30</v>
      </c>
      <c r="HB80" s="166">
        <v>15</v>
      </c>
      <c r="HC80" s="137">
        <f t="shared" si="418"/>
        <v>45</v>
      </c>
      <c r="HD80" s="137" t="str">
        <f t="shared" si="419"/>
        <v>36</v>
      </c>
      <c r="HE80" s="137">
        <f t="shared" si="420"/>
        <v>81</v>
      </c>
      <c r="HF80" s="137">
        <f t="shared" si="421"/>
        <v>40.5</v>
      </c>
      <c r="HG80" s="135" t="str">
        <f t="shared" si="422"/>
        <v>D</v>
      </c>
      <c r="HH80" s="135" t="str">
        <f>VLOOKUP(RANK(HF80,$HF$10:$HF$109),Sheet1!$A$381:$B$480,2,FALSE)</f>
        <v>57th</v>
      </c>
      <c r="HI80" s="149">
        <v>26</v>
      </c>
      <c r="HJ80" s="149">
        <v>26</v>
      </c>
      <c r="HK80" s="137">
        <f t="shared" si="423"/>
        <v>52</v>
      </c>
      <c r="HL80" s="137" t="str">
        <f t="shared" si="424"/>
        <v>75</v>
      </c>
      <c r="HM80" s="137">
        <f t="shared" si="425"/>
        <v>127</v>
      </c>
      <c r="HN80" s="137">
        <f t="shared" si="426"/>
        <v>63.5</v>
      </c>
      <c r="HO80" s="135" t="str">
        <f t="shared" si="427"/>
        <v>B</v>
      </c>
      <c r="HP80" s="135" t="str">
        <f>VLOOKUP(RANK(HN80,$HN$10:$HN$109),Sheet1!$A$381:$B$480,2,FALSE)</f>
        <v>53rd</v>
      </c>
      <c r="HQ80" s="137"/>
      <c r="HR80" s="137"/>
      <c r="HS80" s="137">
        <f t="shared" si="428"/>
        <v>0</v>
      </c>
      <c r="HT80" s="137" t="str">
        <f t="shared" si="429"/>
        <v>0</v>
      </c>
      <c r="HU80" s="137">
        <f t="shared" si="430"/>
        <v>0</v>
      </c>
      <c r="HV80" s="137">
        <f t="shared" si="431"/>
        <v>0</v>
      </c>
      <c r="HW80" s="135" t="str">
        <f t="shared" si="432"/>
        <v>F</v>
      </c>
      <c r="HX80" s="135" t="str">
        <f>VLOOKUP(RANK(HV80,$HV$10:$HV$109),Sheet1!$A$381:$B$480,2,FALSE)</f>
        <v>1st</v>
      </c>
      <c r="HY80" s="137"/>
      <c r="HZ80" s="137"/>
      <c r="IA80" s="137">
        <f t="shared" si="433"/>
        <v>0</v>
      </c>
      <c r="IB80" s="137" t="str">
        <f t="shared" si="434"/>
        <v>0</v>
      </c>
      <c r="IC80" s="137">
        <f t="shared" si="435"/>
        <v>0</v>
      </c>
      <c r="ID80" s="137">
        <f t="shared" si="436"/>
        <v>0</v>
      </c>
      <c r="IE80" s="135" t="str">
        <f t="shared" si="437"/>
        <v>F</v>
      </c>
      <c r="IF80" s="135" t="str">
        <f>VLOOKUP(RANK(ID80,$ID$10:$ID$109),Sheet1!$A$381:$B$480,2,FALSE)</f>
        <v>1st</v>
      </c>
      <c r="IG80" s="135"/>
      <c r="IH80" s="135"/>
      <c r="II80" s="135">
        <f t="shared" si="516"/>
        <v>0</v>
      </c>
      <c r="IJ80" s="135" t="str">
        <f t="shared" si="517"/>
        <v>0</v>
      </c>
      <c r="IK80" s="135">
        <f t="shared" si="518"/>
        <v>0</v>
      </c>
      <c r="IL80" s="135">
        <f t="shared" si="519"/>
        <v>0</v>
      </c>
      <c r="IM80" s="135" t="str">
        <f t="shared" si="438"/>
        <v>F</v>
      </c>
      <c r="IN80" s="135" t="str">
        <f>VLOOKUP(RANK(IL80,$IL$10:$IL$109),Sheet1!$A$381:$B$480,2,FALSE)</f>
        <v>1st</v>
      </c>
      <c r="IO80" s="135">
        <f t="shared" si="520"/>
        <v>643</v>
      </c>
      <c r="IP80" s="177">
        <f t="shared" si="521"/>
        <v>37.823529411764703</v>
      </c>
      <c r="IQ80" s="135" t="str">
        <f>VLOOKUP(RANK(IP80,$IP$10:$IP$109),Sheet1!$A$381:$B$480,2,FALSE)</f>
        <v>32nd</v>
      </c>
      <c r="IR80" s="178"/>
      <c r="IS80" s="137"/>
      <c r="IT80" s="137"/>
      <c r="IU80" s="137"/>
      <c r="IV80" s="137"/>
      <c r="IW80" s="181"/>
      <c r="IX80" s="184"/>
      <c r="IY80" s="186"/>
      <c r="IZ80" s="186">
        <f t="shared" si="439"/>
        <v>0</v>
      </c>
      <c r="JA80" s="186" t="str">
        <f t="shared" si="440"/>
        <v>56</v>
      </c>
      <c r="JB80" s="186" t="str">
        <f t="shared" si="441"/>
        <v>55</v>
      </c>
      <c r="JC80" s="186">
        <f t="shared" si="522"/>
        <v>111</v>
      </c>
      <c r="JD80" s="186">
        <f t="shared" si="523"/>
        <v>37</v>
      </c>
      <c r="JE80" s="135" t="str">
        <f t="shared" si="442"/>
        <v>E</v>
      </c>
      <c r="JF80" s="151" t="str">
        <f>VLOOKUP(RANK(JD80,$JD$10:$JD$109),Sheet1!$A$381:$B$480,2,FALSE)</f>
        <v>83rd</v>
      </c>
      <c r="JG80" s="186"/>
      <c r="JH80" s="186"/>
      <c r="JI80" s="186">
        <f t="shared" si="443"/>
        <v>0</v>
      </c>
      <c r="JJ80" s="186" t="str">
        <f t="shared" si="444"/>
        <v>64</v>
      </c>
      <c r="JK80" s="186" t="str">
        <f t="shared" si="445"/>
        <v>52</v>
      </c>
      <c r="JL80" s="186">
        <f t="shared" si="524"/>
        <v>116</v>
      </c>
      <c r="JM80" s="186">
        <f t="shared" si="525"/>
        <v>38.6666666666667</v>
      </c>
      <c r="JN80" s="135" t="str">
        <f t="shared" si="446"/>
        <v>E</v>
      </c>
      <c r="JO80" s="151" t="str">
        <f>VLOOKUP(RANK(JM80,$JM$10:$JM$109),Sheet1!$A$381:$B$480,2,FALSE)</f>
        <v>17th</v>
      </c>
      <c r="JP80" s="186"/>
      <c r="JQ80" s="186"/>
      <c r="JR80" s="186">
        <f t="shared" si="447"/>
        <v>0</v>
      </c>
      <c r="JS80" s="186" t="str">
        <f t="shared" si="448"/>
        <v>60</v>
      </c>
      <c r="JT80" s="186" t="str">
        <f t="shared" si="449"/>
        <v>54</v>
      </c>
      <c r="JU80" s="186">
        <f t="shared" si="526"/>
        <v>114</v>
      </c>
      <c r="JV80" s="186">
        <f t="shared" si="527"/>
        <v>38</v>
      </c>
      <c r="JW80" s="135" t="str">
        <f t="shared" si="450"/>
        <v>E</v>
      </c>
      <c r="JX80" s="151" t="str">
        <f>VLOOKUP(RANK(JV80,$JV$10:$JV$109),Sheet1!$A$381:$B$480,2,FALSE)</f>
        <v>18th</v>
      </c>
      <c r="JY80" s="186"/>
      <c r="JZ80" s="186"/>
      <c r="KA80" s="186">
        <f t="shared" si="451"/>
        <v>0</v>
      </c>
      <c r="KB80" s="186" t="str">
        <f t="shared" si="452"/>
        <v>70</v>
      </c>
      <c r="KC80" s="186" t="str">
        <f t="shared" si="453"/>
        <v>68</v>
      </c>
      <c r="KD80" s="186">
        <f t="shared" si="528"/>
        <v>138</v>
      </c>
      <c r="KE80" s="186">
        <f t="shared" si="529"/>
        <v>46</v>
      </c>
      <c r="KF80" s="135" t="str">
        <f t="shared" si="454"/>
        <v>D</v>
      </c>
      <c r="KG80" s="151" t="str">
        <f>VLOOKUP(RANK(KE80,$KE$10:$KE$109),Sheet1!$A$381:$B$480,2,FALSE)</f>
        <v>11th</v>
      </c>
      <c r="KH80" s="186"/>
      <c r="KI80" s="186"/>
      <c r="KJ80" s="186">
        <f t="shared" si="455"/>
        <v>0</v>
      </c>
      <c r="KK80" s="186" t="str">
        <f t="shared" si="456"/>
        <v>76</v>
      </c>
      <c r="KL80" s="186" t="str">
        <f t="shared" si="457"/>
        <v>56</v>
      </c>
      <c r="KM80" s="186">
        <f t="shared" si="530"/>
        <v>132</v>
      </c>
      <c r="KN80" s="186">
        <f t="shared" si="531"/>
        <v>44</v>
      </c>
      <c r="KO80" s="135" t="str">
        <f t="shared" si="458"/>
        <v>D</v>
      </c>
      <c r="KP80" s="151" t="str">
        <f>VLOOKUP(RANK(KN80,$KN$10:$KN$109),Sheet1!$A$381:$B$480,2,FALSE)</f>
        <v>26th</v>
      </c>
      <c r="KQ80" s="186"/>
      <c r="KR80" s="186"/>
      <c r="KS80" s="186">
        <f t="shared" si="459"/>
        <v>0</v>
      </c>
      <c r="KT80" s="186" t="str">
        <f t="shared" si="460"/>
        <v>0</v>
      </c>
      <c r="KU80" s="186" t="str">
        <f t="shared" si="461"/>
        <v>0</v>
      </c>
      <c r="KV80" s="186">
        <f t="shared" si="532"/>
        <v>0</v>
      </c>
      <c r="KW80" s="186">
        <f t="shared" si="533"/>
        <v>0</v>
      </c>
      <c r="KX80" s="135" t="str">
        <f t="shared" si="462"/>
        <v>F</v>
      </c>
      <c r="KY80" s="151" t="str">
        <f>VLOOKUP(RANK(KW80,$KW$10:$KW$109),Sheet1!$A$381:$B$480,2,FALSE)</f>
        <v>1st</v>
      </c>
      <c r="KZ80" s="186"/>
      <c r="LA80" s="186"/>
      <c r="LB80" s="186">
        <f t="shared" si="463"/>
        <v>0</v>
      </c>
      <c r="LC80" s="186" t="str">
        <f t="shared" si="464"/>
        <v>0</v>
      </c>
      <c r="LD80" s="186" t="str">
        <f t="shared" si="465"/>
        <v>0</v>
      </c>
      <c r="LE80" s="186">
        <f t="shared" si="534"/>
        <v>0</v>
      </c>
      <c r="LF80" s="186">
        <f t="shared" si="535"/>
        <v>0</v>
      </c>
      <c r="LG80" s="135" t="str">
        <f t="shared" si="466"/>
        <v>F</v>
      </c>
      <c r="LH80" s="151" t="str">
        <f>VLOOKUP(RANK(LF80,$LF$10:$LF$109),Sheet1!$A$381:$B$480,2,FALSE)</f>
        <v>1st</v>
      </c>
      <c r="LI80" s="186"/>
      <c r="LJ80" s="186"/>
      <c r="LK80" s="186">
        <f t="shared" si="467"/>
        <v>0</v>
      </c>
      <c r="LL80" s="186" t="str">
        <f t="shared" si="468"/>
        <v>53</v>
      </c>
      <c r="LM80" s="186" t="str">
        <f t="shared" si="469"/>
        <v>55</v>
      </c>
      <c r="LN80" s="186">
        <f t="shared" si="536"/>
        <v>108</v>
      </c>
      <c r="LO80" s="186">
        <f t="shared" si="537"/>
        <v>36</v>
      </c>
      <c r="LP80" s="135" t="str">
        <f t="shared" si="470"/>
        <v>E</v>
      </c>
      <c r="LQ80" s="151" t="str">
        <f>VLOOKUP(RANK(LO80,$LO$10:$LO$109),Sheet1!$A$381:$B$480,2,FALSE)</f>
        <v>29th</v>
      </c>
      <c r="LR80" s="186"/>
      <c r="LS80" s="186"/>
      <c r="LT80" s="186">
        <f t="shared" si="471"/>
        <v>0</v>
      </c>
      <c r="LU80" s="186" t="str">
        <f t="shared" si="472"/>
        <v>58</v>
      </c>
      <c r="LV80" s="186" t="str">
        <f t="shared" si="473"/>
        <v>63</v>
      </c>
      <c r="LW80" s="186">
        <f t="shared" si="538"/>
        <v>121</v>
      </c>
      <c r="LX80" s="186">
        <f t="shared" si="539"/>
        <v>40.3333333333333</v>
      </c>
      <c r="LY80" s="135" t="str">
        <f t="shared" si="474"/>
        <v>D</v>
      </c>
      <c r="LZ80" s="151" t="str">
        <f>VLOOKUP(RANK(LX80,$LX$10:$LX$109),Sheet1!$A$381:$B$480,2,FALSE)</f>
        <v>19th</v>
      </c>
      <c r="MA80" s="186"/>
      <c r="MB80" s="186"/>
      <c r="MC80" s="186">
        <f t="shared" si="475"/>
        <v>0</v>
      </c>
      <c r="MD80" s="186" t="str">
        <f t="shared" si="476"/>
        <v>36</v>
      </c>
      <c r="ME80" s="186" t="str">
        <f t="shared" si="477"/>
        <v>45</v>
      </c>
      <c r="MF80" s="183">
        <f t="shared" si="540"/>
        <v>81</v>
      </c>
      <c r="MG80" s="151">
        <f t="shared" si="541"/>
        <v>27</v>
      </c>
      <c r="MH80" s="135" t="str">
        <f t="shared" si="478"/>
        <v>F</v>
      </c>
      <c r="MI80" s="151" t="str">
        <f>VLOOKUP(RANK(MG80,$MG$10:$MG$109),Sheet1!$A$381:$B$480,2,FALSE)</f>
        <v>43rd</v>
      </c>
      <c r="MJ80" s="186"/>
      <c r="MK80" s="186"/>
      <c r="ML80" s="186">
        <f t="shared" si="479"/>
        <v>0</v>
      </c>
      <c r="MM80" s="186" t="str">
        <f t="shared" si="480"/>
        <v>51</v>
      </c>
      <c r="MN80" s="186" t="str">
        <f t="shared" si="481"/>
        <v>49</v>
      </c>
      <c r="MO80" s="186">
        <f t="shared" si="542"/>
        <v>100</v>
      </c>
      <c r="MP80" s="186">
        <f t="shared" si="543"/>
        <v>33.3333333333333</v>
      </c>
      <c r="MQ80" s="135" t="str">
        <f t="shared" si="482"/>
        <v>F</v>
      </c>
      <c r="MR80" s="151" t="str">
        <f>VLOOKUP(RANK(MP80,$MP$10:$MP$109),Sheet1!$A$381:$B$480,2,FALSE)</f>
        <v>22nd</v>
      </c>
      <c r="MS80" s="186"/>
      <c r="MT80" s="186"/>
      <c r="MU80" s="186">
        <f t="shared" si="483"/>
        <v>0</v>
      </c>
      <c r="MV80" s="186" t="str">
        <f t="shared" si="484"/>
        <v>53</v>
      </c>
      <c r="MW80" s="186" t="str">
        <f t="shared" si="485"/>
        <v>62</v>
      </c>
      <c r="MX80" s="186">
        <f t="shared" si="544"/>
        <v>115</v>
      </c>
      <c r="MY80" s="186">
        <f t="shared" si="545"/>
        <v>38.3333333333333</v>
      </c>
      <c r="MZ80" s="135" t="str">
        <f t="shared" si="486"/>
        <v>E</v>
      </c>
      <c r="NA80" s="151" t="str">
        <f>VLOOKUP(RANK(MY80,$MY$10:$MY$109),Sheet1!$A$381:$B$480,2,FALSE)</f>
        <v>28th</v>
      </c>
      <c r="NB80" s="186"/>
      <c r="NC80" s="186"/>
      <c r="ND80" s="186">
        <f t="shared" si="487"/>
        <v>0</v>
      </c>
      <c r="NE80" s="186" t="str">
        <f t="shared" si="488"/>
        <v>36</v>
      </c>
      <c r="NF80" s="186" t="str">
        <f t="shared" si="489"/>
        <v>45</v>
      </c>
      <c r="NG80" s="186">
        <f t="shared" si="546"/>
        <v>81</v>
      </c>
      <c r="NH80" s="186">
        <f t="shared" si="547"/>
        <v>27</v>
      </c>
      <c r="NI80" s="135" t="str">
        <f t="shared" si="490"/>
        <v>F</v>
      </c>
      <c r="NJ80" s="151" t="str">
        <f>VLOOKUP(RANK(NH80,$NH$10:$NH$109),Sheet1!$A$381:$B$480,2,FALSE)</f>
        <v>57th</v>
      </c>
      <c r="NK80" s="186"/>
      <c r="NL80" s="186"/>
      <c r="NM80" s="186">
        <f t="shared" si="491"/>
        <v>0</v>
      </c>
      <c r="NN80" s="186" t="str">
        <f t="shared" si="492"/>
        <v>75</v>
      </c>
      <c r="NO80" s="186" t="str">
        <f t="shared" si="493"/>
        <v>52</v>
      </c>
      <c r="NP80" s="186">
        <f t="shared" si="548"/>
        <v>127</v>
      </c>
      <c r="NQ80" s="186">
        <f t="shared" si="494"/>
        <v>42.3333333333333</v>
      </c>
      <c r="NR80" s="135" t="str">
        <f t="shared" si="495"/>
        <v>D</v>
      </c>
      <c r="NS80" s="151" t="str">
        <f>VLOOKUP(RANK(NQ80,$NQ$10:$NQ$109),Sheet1!$A$381:$B$480,2,FALSE)</f>
        <v>53rd</v>
      </c>
      <c r="NT80" s="186"/>
      <c r="NU80" s="186"/>
      <c r="NV80" s="186">
        <f t="shared" si="496"/>
        <v>0</v>
      </c>
      <c r="NW80" s="186" t="str">
        <f t="shared" si="497"/>
        <v>0</v>
      </c>
      <c r="NX80" s="186" t="str">
        <f t="shared" si="498"/>
        <v>0</v>
      </c>
      <c r="NY80" s="186">
        <f t="shared" si="549"/>
        <v>0</v>
      </c>
      <c r="NZ80" s="186">
        <f t="shared" si="499"/>
        <v>0</v>
      </c>
      <c r="OA80" s="135" t="str">
        <f t="shared" si="500"/>
        <v>F</v>
      </c>
      <c r="OB80" s="151" t="str">
        <f>VLOOKUP(RANK(NZ80,$NZ$10:$NZ$109),Sheet1!$A$381:$B$480,2,FALSE)</f>
        <v>1st</v>
      </c>
      <c r="OC80" s="186"/>
      <c r="OD80" s="186"/>
      <c r="OE80" s="186">
        <f t="shared" si="501"/>
        <v>0</v>
      </c>
      <c r="OF80" s="186" t="str">
        <f t="shared" si="502"/>
        <v>0</v>
      </c>
      <c r="OG80" s="186" t="str">
        <f t="shared" si="503"/>
        <v>0</v>
      </c>
      <c r="OH80" s="186">
        <f t="shared" si="550"/>
        <v>0</v>
      </c>
      <c r="OI80" s="186">
        <f t="shared" si="504"/>
        <v>0</v>
      </c>
      <c r="OJ80" s="135" t="str">
        <f t="shared" si="505"/>
        <v>F</v>
      </c>
      <c r="OK80" s="151" t="str">
        <f>VLOOKUP(RANK(OI80,$OI$10:$OI$109),Sheet1!$A$381:$B$480,2,FALSE)</f>
        <v>1st</v>
      </c>
      <c r="OL80" s="151"/>
      <c r="OM80" s="151"/>
      <c r="ON80" s="151">
        <f t="shared" si="551"/>
        <v>0</v>
      </c>
      <c r="OO80" s="151" t="str">
        <f t="shared" si="552"/>
        <v>0</v>
      </c>
      <c r="OP80" s="151" t="str">
        <f t="shared" si="553"/>
        <v>0</v>
      </c>
      <c r="OQ80" s="151">
        <f t="shared" si="554"/>
        <v>0</v>
      </c>
      <c r="OR80" s="151">
        <f t="shared" si="555"/>
        <v>0</v>
      </c>
      <c r="OS80" s="135" t="str">
        <f t="shared" si="506"/>
        <v>F</v>
      </c>
      <c r="OT80" s="151" t="str">
        <f>VLOOKUP(RANK(OR80,$OI$10:$OI$109),Sheet1!$A$381:$B$480,2,FALSE)</f>
        <v>1st</v>
      </c>
      <c r="OU80" s="151">
        <f t="shared" si="556"/>
        <v>448</v>
      </c>
      <c r="OV80" s="151">
        <f t="shared" si="557"/>
        <v>26.352941176470601</v>
      </c>
      <c r="OW80" s="151" t="str">
        <f>VLOOKUP(RANK(OV80,$OV$10:$OV$109),Sheet1!$A$381:$B$480,2,FALSE)</f>
        <v>30th</v>
      </c>
      <c r="OX80" s="151"/>
      <c r="OY80" s="186"/>
      <c r="OZ80" s="186"/>
      <c r="PA80" s="186"/>
      <c r="PB80" s="186"/>
    </row>
    <row r="81" spans="1:418" s="118" customFormat="1" ht="18.75">
      <c r="A81" s="131">
        <v>72</v>
      </c>
      <c r="B81" s="132" t="s">
        <v>171</v>
      </c>
      <c r="C81" s="133" t="s">
        <v>97</v>
      </c>
      <c r="D81" s="134">
        <v>15</v>
      </c>
      <c r="E81" s="134">
        <v>40</v>
      </c>
      <c r="F81" s="137">
        <f t="shared" si="315"/>
        <v>55</v>
      </c>
      <c r="G81" s="137">
        <f t="shared" si="316"/>
        <v>55</v>
      </c>
      <c r="H81" s="135" t="str">
        <f t="shared" si="507"/>
        <v>C</v>
      </c>
      <c r="I81" s="135" t="str">
        <f>VLOOKUP(RANK(G81,$G$10:$G$109),Sheet1!$A$381:$B$480,2,FALSE)</f>
        <v>89th</v>
      </c>
      <c r="J81" s="134">
        <v>34</v>
      </c>
      <c r="K81" s="134">
        <v>35</v>
      </c>
      <c r="L81" s="137">
        <f t="shared" si="317"/>
        <v>69</v>
      </c>
      <c r="M81" s="137">
        <f t="shared" si="318"/>
        <v>69</v>
      </c>
      <c r="N81" s="135" t="str">
        <f t="shared" si="319"/>
        <v>B</v>
      </c>
      <c r="O81" s="141" t="str">
        <f>VLOOKUP(RANK(M81,$M$10:$M$109),Sheet1!$A$381:$B$480,2,FALSE)</f>
        <v>12th</v>
      </c>
      <c r="P81" s="144">
        <v>35</v>
      </c>
      <c r="Q81" s="144">
        <v>28</v>
      </c>
      <c r="R81" s="147">
        <f t="shared" si="320"/>
        <v>63</v>
      </c>
      <c r="S81" s="137">
        <f t="shared" si="321"/>
        <v>63</v>
      </c>
      <c r="T81" s="135" t="str">
        <f t="shared" si="322"/>
        <v>B</v>
      </c>
      <c r="U81" s="135" t="str">
        <f>VLOOKUP(RANK(S81,$S$10:$S$109),Sheet1!$A$381:$B$480,2,FALSE)</f>
        <v>10th</v>
      </c>
      <c r="V81" s="134">
        <v>25</v>
      </c>
      <c r="W81" s="134">
        <v>47</v>
      </c>
      <c r="X81" s="137">
        <f t="shared" si="559"/>
        <v>72</v>
      </c>
      <c r="Y81" s="137">
        <f t="shared" si="558"/>
        <v>72</v>
      </c>
      <c r="Z81" s="135" t="str">
        <f t="shared" si="323"/>
        <v>B</v>
      </c>
      <c r="AA81" s="135" t="str">
        <f>VLOOKUP(RANK(Y81,$Y$10:$Y$109),Sheet1!$A$381:$B$480,2,FALSE)</f>
        <v>17th</v>
      </c>
      <c r="AB81" s="134">
        <v>36</v>
      </c>
      <c r="AC81" s="134">
        <v>42</v>
      </c>
      <c r="AD81" s="137">
        <f t="shared" si="324"/>
        <v>78</v>
      </c>
      <c r="AE81" s="137">
        <f t="shared" si="325"/>
        <v>78</v>
      </c>
      <c r="AF81" s="135" t="str">
        <f t="shared" si="326"/>
        <v>A</v>
      </c>
      <c r="AG81" s="135" t="str">
        <f>VLOOKUP(RANK(AE81,$AE$10:$AE$109),Sheet1!$A$381:$B$480,2,FALSE)</f>
        <v>18th</v>
      </c>
      <c r="AH81" s="137"/>
      <c r="AI81" s="137"/>
      <c r="AJ81" s="137">
        <f t="shared" si="327"/>
        <v>0</v>
      </c>
      <c r="AK81" s="137">
        <f t="shared" si="328"/>
        <v>0</v>
      </c>
      <c r="AL81" s="135" t="str">
        <f t="shared" si="329"/>
        <v>F</v>
      </c>
      <c r="AM81" s="135" t="str">
        <f>VLOOKUP(RANK(AK81,$AK$10:$AK$109),Sheet1!$A$381:$B$480,2,FALSE)</f>
        <v>1st</v>
      </c>
      <c r="AN81" s="134"/>
      <c r="AO81" s="134"/>
      <c r="AP81" s="137">
        <f t="shared" si="330"/>
        <v>0</v>
      </c>
      <c r="AQ81" s="137">
        <f t="shared" si="331"/>
        <v>0</v>
      </c>
      <c r="AR81" s="135" t="str">
        <f t="shared" si="332"/>
        <v>F</v>
      </c>
      <c r="AS81" s="135" t="str">
        <f>VLOOKUP(RANK(AQ81,$AQ$10:$AQ$109),Sheet1!$A$381:$B$480,2,FALSE)</f>
        <v>1st</v>
      </c>
      <c r="AT81" s="144">
        <v>23</v>
      </c>
      <c r="AU81" s="144">
        <v>27</v>
      </c>
      <c r="AV81" s="137">
        <f t="shared" si="333"/>
        <v>50</v>
      </c>
      <c r="AW81" s="137">
        <f t="shared" si="334"/>
        <v>50</v>
      </c>
      <c r="AX81" s="135" t="str">
        <f t="shared" si="335"/>
        <v>C</v>
      </c>
      <c r="AY81" s="141" t="str">
        <f>VLOOKUP(RANK(AW81,$AW$10:$AW$109),Sheet1!$A$381:$B$480,2,FALSE)</f>
        <v>58th</v>
      </c>
      <c r="AZ81" s="144">
        <v>33</v>
      </c>
      <c r="BA81" s="144">
        <v>25</v>
      </c>
      <c r="BB81" s="147">
        <f t="shared" si="336"/>
        <v>58</v>
      </c>
      <c r="BC81" s="137">
        <f t="shared" si="337"/>
        <v>58</v>
      </c>
      <c r="BD81" s="135" t="str">
        <f t="shared" si="338"/>
        <v>C</v>
      </c>
      <c r="BE81" s="135" t="str">
        <f>VLOOKUP(RANK(BC81,$BC$10:$BC$109),Sheet1!$A$381:$B$480,2,FALSE)</f>
        <v>33rd</v>
      </c>
      <c r="BF81" s="144">
        <v>19</v>
      </c>
      <c r="BG81" s="144">
        <v>25</v>
      </c>
      <c r="BH81" s="137">
        <f t="shared" si="339"/>
        <v>44</v>
      </c>
      <c r="BI81" s="137">
        <f t="shared" si="340"/>
        <v>44</v>
      </c>
      <c r="BJ81" s="135" t="str">
        <f t="shared" si="341"/>
        <v>D</v>
      </c>
      <c r="BK81" s="141" t="str">
        <f>VLOOKUP(RANK(BI81,$BI$10:$BI$109),Sheet1!$A$381:$B$480,2,FALSE)</f>
        <v>23rd</v>
      </c>
      <c r="BL81" s="149">
        <v>28</v>
      </c>
      <c r="BM81" s="149">
        <v>26</v>
      </c>
      <c r="BN81" s="147">
        <f t="shared" si="342"/>
        <v>54</v>
      </c>
      <c r="BO81" s="137">
        <f t="shared" si="343"/>
        <v>54</v>
      </c>
      <c r="BP81" s="135" t="str">
        <f t="shared" si="344"/>
        <v>C</v>
      </c>
      <c r="BQ81" s="141" t="str">
        <f>VLOOKUP(RANK(BO81,$BO$10:$BO$109),Sheet1!$A$381:$B$480,2,FALSE)</f>
        <v>23rd</v>
      </c>
      <c r="BR81" s="149">
        <v>28</v>
      </c>
      <c r="BS81" s="149">
        <v>50</v>
      </c>
      <c r="BT81" s="147">
        <f t="shared" si="345"/>
        <v>78</v>
      </c>
      <c r="BU81" s="137">
        <f t="shared" si="346"/>
        <v>78</v>
      </c>
      <c r="BV81" s="135" t="str">
        <f t="shared" si="347"/>
        <v>A</v>
      </c>
      <c r="BW81" s="135" t="str">
        <f>VLOOKUP(RANK(BU81,$BU$10:$BU$109),Sheet1!$A$381:$B$480,2,FALSE)</f>
        <v>2nd</v>
      </c>
      <c r="BX81" s="149">
        <v>30</v>
      </c>
      <c r="BY81" s="149">
        <v>10</v>
      </c>
      <c r="BZ81" s="137">
        <f t="shared" si="348"/>
        <v>40</v>
      </c>
      <c r="CA81" s="137">
        <f t="shared" si="349"/>
        <v>40</v>
      </c>
      <c r="CB81" s="135" t="str">
        <f t="shared" si="350"/>
        <v>D</v>
      </c>
      <c r="CC81" s="135" t="str">
        <f>VLOOKUP(RANK(CA81,$CA$10:$CA$109),Sheet1!$A$381:$B$480,2,FALSE)</f>
        <v>43rd</v>
      </c>
      <c r="CD81" s="149">
        <v>30</v>
      </c>
      <c r="CE81" s="149">
        <v>40</v>
      </c>
      <c r="CF81" s="137">
        <f t="shared" si="351"/>
        <v>70</v>
      </c>
      <c r="CG81" s="137">
        <f t="shared" si="352"/>
        <v>70</v>
      </c>
      <c r="CH81" s="135" t="str">
        <f t="shared" si="353"/>
        <v>B</v>
      </c>
      <c r="CI81" s="135" t="str">
        <f>VLOOKUP(RANK(CG81,$CG$10:$CG$109),Sheet1!$A$381:$B$480,2,FALSE)</f>
        <v>17th</v>
      </c>
      <c r="CJ81" s="137"/>
      <c r="CK81" s="137"/>
      <c r="CL81" s="137">
        <f t="shared" si="354"/>
        <v>0</v>
      </c>
      <c r="CM81" s="137">
        <f t="shared" si="355"/>
        <v>0</v>
      </c>
      <c r="CN81" s="135" t="str">
        <f t="shared" si="356"/>
        <v>F</v>
      </c>
      <c r="CO81" s="135" t="str">
        <f>VLOOKUP(RANK(CM81,$CM$10:$CM$109),Sheet1!$A$381:$B$480,2,FALSE)</f>
        <v>1st</v>
      </c>
      <c r="CP81" s="137"/>
      <c r="CQ81" s="137"/>
      <c r="CR81" s="137">
        <f t="shared" si="357"/>
        <v>0</v>
      </c>
      <c r="CS81" s="137">
        <f t="shared" si="358"/>
        <v>0</v>
      </c>
      <c r="CT81" s="135" t="str">
        <f t="shared" si="359"/>
        <v>F</v>
      </c>
      <c r="CU81" s="135" t="str">
        <f>VLOOKUP(RANK(CS81,$CS$10:$CS$109),Sheet1!$A$381:$B$480,2,FALSE)</f>
        <v>1st</v>
      </c>
      <c r="CV81" s="151"/>
      <c r="CW81" s="135"/>
      <c r="CX81" s="151">
        <f t="shared" si="508"/>
        <v>0</v>
      </c>
      <c r="CY81" s="151">
        <f t="shared" si="509"/>
        <v>0</v>
      </c>
      <c r="CZ81" s="135" t="str">
        <f t="shared" si="360"/>
        <v>F</v>
      </c>
      <c r="DA81" s="135" t="str">
        <f>VLOOKUP(RANK(CY81,$CY$10:$CY$109),Sheet1!$A$381:$B$480,2,FALSE)</f>
        <v>1st</v>
      </c>
      <c r="DB81" s="135"/>
      <c r="DC81" s="151">
        <f t="shared" si="510"/>
        <v>731</v>
      </c>
      <c r="DD81" s="151">
        <f t="shared" si="511"/>
        <v>43</v>
      </c>
      <c r="DE81" s="135" t="str">
        <f>VLOOKUP(RANK(DD81,$DD$10:$DD$109),Sheet1!$A$381:$B$480,2,FALSE)</f>
        <v>15th</v>
      </c>
      <c r="DF81" s="137"/>
      <c r="DG81" s="160">
        <f t="shared" si="361"/>
        <v>774</v>
      </c>
      <c r="DH81" s="119"/>
      <c r="DI81" s="162">
        <v>19</v>
      </c>
      <c r="DJ81" s="162">
        <v>48</v>
      </c>
      <c r="DK81" s="137">
        <f t="shared" si="362"/>
        <v>67</v>
      </c>
      <c r="DL81" s="137" t="str">
        <f t="shared" si="363"/>
        <v>55</v>
      </c>
      <c r="DM81" s="137">
        <f t="shared" si="364"/>
        <v>122</v>
      </c>
      <c r="DN81" s="137">
        <f t="shared" si="365"/>
        <v>61</v>
      </c>
      <c r="DO81" s="135" t="str">
        <f t="shared" si="366"/>
        <v>B</v>
      </c>
      <c r="DP81" s="135" t="str">
        <f>VLOOKUP(RANK(DN81,$DN$10:$DN$109),Sheet1!$A$381:$B$480,2,FALSE)</f>
        <v>75th</v>
      </c>
      <c r="DQ81" s="166">
        <v>29</v>
      </c>
      <c r="DR81" s="166">
        <v>27</v>
      </c>
      <c r="DS81" s="137">
        <f t="shared" si="367"/>
        <v>56</v>
      </c>
      <c r="DT81" s="137" t="str">
        <f t="shared" si="368"/>
        <v>69</v>
      </c>
      <c r="DU81" s="137">
        <f t="shared" si="369"/>
        <v>125</v>
      </c>
      <c r="DV81" s="137">
        <f t="shared" si="370"/>
        <v>62.5</v>
      </c>
      <c r="DW81" s="135" t="str">
        <f t="shared" si="371"/>
        <v>B</v>
      </c>
      <c r="DX81" s="135" t="str">
        <f>VLOOKUP(RANK(DV81,$DV$10:$DV$109),Sheet1!$A$381:$B$480,2,FALSE)</f>
        <v>9th</v>
      </c>
      <c r="DY81" s="168">
        <v>26</v>
      </c>
      <c r="DZ81" s="168">
        <v>22</v>
      </c>
      <c r="EA81" s="137">
        <f t="shared" si="372"/>
        <v>48</v>
      </c>
      <c r="EB81" s="137" t="str">
        <f t="shared" si="373"/>
        <v>63</v>
      </c>
      <c r="EC81" s="137">
        <f t="shared" si="374"/>
        <v>111</v>
      </c>
      <c r="ED81" s="137">
        <f t="shared" si="375"/>
        <v>55.5</v>
      </c>
      <c r="EE81" s="135" t="str">
        <f t="shared" si="376"/>
        <v>C</v>
      </c>
      <c r="EF81" s="135" t="str">
        <f>VLOOKUP(RANK(ED81,$ED$10:$ED$109),Sheet1!$A$381:$B$480,2,FALSE)</f>
        <v>24th</v>
      </c>
      <c r="EG81" s="162">
        <v>26</v>
      </c>
      <c r="EH81" s="162">
        <v>35</v>
      </c>
      <c r="EI81" s="137">
        <f t="shared" si="377"/>
        <v>61</v>
      </c>
      <c r="EJ81" s="137" t="str">
        <f t="shared" si="378"/>
        <v>72</v>
      </c>
      <c r="EK81" s="137">
        <f t="shared" si="379"/>
        <v>133</v>
      </c>
      <c r="EL81" s="137">
        <f t="shared" si="380"/>
        <v>66.5</v>
      </c>
      <c r="EM81" s="135" t="str">
        <f t="shared" si="381"/>
        <v>B</v>
      </c>
      <c r="EN81" s="135" t="str">
        <f>VLOOKUP(RANK(EL81,$EL$10:$EL$109),Sheet1!$A$381:$B$480,2,FALSE)</f>
        <v>23rd</v>
      </c>
      <c r="EO81" s="162">
        <v>30</v>
      </c>
      <c r="EP81" s="162">
        <v>29</v>
      </c>
      <c r="EQ81" s="137">
        <f t="shared" si="382"/>
        <v>59</v>
      </c>
      <c r="ER81" s="137" t="str">
        <f t="shared" si="383"/>
        <v>78</v>
      </c>
      <c r="ES81" s="137">
        <f t="shared" si="384"/>
        <v>137</v>
      </c>
      <c r="ET81" s="137">
        <f t="shared" si="385"/>
        <v>68.5</v>
      </c>
      <c r="EU81" s="135" t="str">
        <f t="shared" si="386"/>
        <v>B</v>
      </c>
      <c r="EV81" s="135" t="str">
        <f>VLOOKUP(RANK(ET81,$ET$10:$ET$109),Sheet1!$A$381:$B$480,2,FALSE)</f>
        <v>20th</v>
      </c>
      <c r="EW81" s="137"/>
      <c r="EX81" s="137"/>
      <c r="EY81" s="137">
        <f t="shared" si="387"/>
        <v>0</v>
      </c>
      <c r="EZ81" s="137" t="str">
        <f t="shared" si="388"/>
        <v>0</v>
      </c>
      <c r="FA81" s="137">
        <f t="shared" si="389"/>
        <v>0</v>
      </c>
      <c r="FB81" s="137">
        <f t="shared" si="390"/>
        <v>0</v>
      </c>
      <c r="FC81" s="135" t="str">
        <f t="shared" si="391"/>
        <v>F</v>
      </c>
      <c r="FD81" s="135" t="str">
        <f>VLOOKUP(RANK(FB81,$FB$10:$FB$109),Sheet1!$A$381:$B$480,2,FALSE)</f>
        <v>1st</v>
      </c>
      <c r="FE81" s="137"/>
      <c r="FF81" s="137"/>
      <c r="FG81" s="137">
        <f t="shared" si="392"/>
        <v>0</v>
      </c>
      <c r="FH81" s="137" t="str">
        <f t="shared" si="393"/>
        <v>0</v>
      </c>
      <c r="FI81" s="137">
        <f t="shared" si="394"/>
        <v>0</v>
      </c>
      <c r="FJ81" s="137">
        <f t="shared" si="395"/>
        <v>0</v>
      </c>
      <c r="FK81" s="135" t="str">
        <f t="shared" si="396"/>
        <v>F</v>
      </c>
      <c r="FL81" s="135" t="str">
        <f>VLOOKUP(RANK(FJ81,$FJ$10:$FJ$109),Sheet1!$A$381:$B$480,2,FALSE)</f>
        <v>1st</v>
      </c>
      <c r="FM81" s="166">
        <v>25</v>
      </c>
      <c r="FN81" s="166">
        <v>33</v>
      </c>
      <c r="FO81" s="137">
        <f t="shared" si="397"/>
        <v>58</v>
      </c>
      <c r="FP81" s="137" t="str">
        <f t="shared" si="398"/>
        <v>50</v>
      </c>
      <c r="FQ81" s="137">
        <f t="shared" si="399"/>
        <v>108</v>
      </c>
      <c r="FR81" s="137">
        <f t="shared" si="400"/>
        <v>54</v>
      </c>
      <c r="FS81" s="135" t="str">
        <f t="shared" si="401"/>
        <v>C</v>
      </c>
      <c r="FT81" s="135" t="str">
        <f>VLOOKUP(RANK(FR81,$FR$10:$FR$109),Sheet1!$A$381:$B$480,2,FALSE)</f>
        <v>29th</v>
      </c>
      <c r="FU81" s="149">
        <v>31</v>
      </c>
      <c r="FV81" s="149">
        <v>26</v>
      </c>
      <c r="FW81" s="137">
        <f t="shared" si="402"/>
        <v>57</v>
      </c>
      <c r="FX81" s="137" t="str">
        <f t="shared" si="403"/>
        <v>58</v>
      </c>
      <c r="FY81" s="137">
        <f t="shared" si="512"/>
        <v>57</v>
      </c>
      <c r="FZ81" s="137">
        <f t="shared" si="404"/>
        <v>28.5</v>
      </c>
      <c r="GA81" s="135" t="str">
        <f t="shared" si="405"/>
        <v>F</v>
      </c>
      <c r="GB81" s="135" t="str">
        <f>VLOOKUP(RANK(FZ81,$FZ$10:$FZ$109),Sheet1!$A$381:$B$480,2,FALSE)</f>
        <v>33rd</v>
      </c>
      <c r="GC81" s="166">
        <v>13</v>
      </c>
      <c r="GD81" s="166">
        <v>30</v>
      </c>
      <c r="GE81" s="137">
        <f t="shared" si="406"/>
        <v>43</v>
      </c>
      <c r="GF81" s="137" t="str">
        <f t="shared" si="407"/>
        <v>44</v>
      </c>
      <c r="GG81" s="135">
        <f t="shared" si="513"/>
        <v>87</v>
      </c>
      <c r="GH81" s="137">
        <f t="shared" si="514"/>
        <v>43.5</v>
      </c>
      <c r="GI81" s="135" t="str">
        <f t="shared" si="408"/>
        <v>D</v>
      </c>
      <c r="GJ81" s="135" t="str">
        <f>VLOOKUP(RANK(GH81,$GH$10:$GH$109),Sheet1!$A$381:$B$480,2,FALSE)</f>
        <v>31st</v>
      </c>
      <c r="GK81" s="166">
        <v>26</v>
      </c>
      <c r="GL81" s="166">
        <v>12</v>
      </c>
      <c r="GM81" s="137">
        <f t="shared" si="409"/>
        <v>38</v>
      </c>
      <c r="GN81" s="137" t="str">
        <f t="shared" si="410"/>
        <v>54</v>
      </c>
      <c r="GO81" s="135">
        <f t="shared" si="515"/>
        <v>92</v>
      </c>
      <c r="GP81" s="137">
        <f t="shared" si="411"/>
        <v>46</v>
      </c>
      <c r="GQ81" s="135" t="str">
        <f t="shared" si="412"/>
        <v>D</v>
      </c>
      <c r="GR81" s="135" t="str">
        <f>VLOOKUP(RANK(GP81,$GP$10:$GP$109),Sheet1!$A$381:$B$480,2,FALSE)</f>
        <v>82nd</v>
      </c>
      <c r="GS81" s="166">
        <v>21</v>
      </c>
      <c r="GT81" s="166">
        <v>42</v>
      </c>
      <c r="GU81" s="137">
        <f t="shared" si="413"/>
        <v>63</v>
      </c>
      <c r="GV81" s="137" t="str">
        <f t="shared" si="414"/>
        <v>78</v>
      </c>
      <c r="GW81" s="137">
        <f t="shared" si="415"/>
        <v>141</v>
      </c>
      <c r="GX81" s="137">
        <f t="shared" si="416"/>
        <v>70.5</v>
      </c>
      <c r="GY81" s="135" t="str">
        <f t="shared" si="417"/>
        <v>B</v>
      </c>
      <c r="GZ81" s="135" t="str">
        <f>VLOOKUP(RANK(GX81,$GX$10:$GX$109),Sheet1!$A$381:$B$480,2,FALSE)</f>
        <v>11th</v>
      </c>
      <c r="HA81" s="166">
        <v>28</v>
      </c>
      <c r="HB81" s="166">
        <v>21</v>
      </c>
      <c r="HC81" s="137">
        <f t="shared" si="418"/>
        <v>49</v>
      </c>
      <c r="HD81" s="137" t="str">
        <f t="shared" si="419"/>
        <v>40</v>
      </c>
      <c r="HE81" s="137">
        <f t="shared" si="420"/>
        <v>89</v>
      </c>
      <c r="HF81" s="137">
        <f t="shared" si="421"/>
        <v>44.5</v>
      </c>
      <c r="HG81" s="135" t="str">
        <f t="shared" si="422"/>
        <v>D</v>
      </c>
      <c r="HH81" s="135" t="str">
        <f>VLOOKUP(RANK(HF81,$HF$10:$HF$109),Sheet1!$A$381:$B$480,2,FALSE)</f>
        <v>26th</v>
      </c>
      <c r="HI81" s="149">
        <v>28</v>
      </c>
      <c r="HJ81" s="149">
        <v>54</v>
      </c>
      <c r="HK81" s="137">
        <f t="shared" si="423"/>
        <v>82</v>
      </c>
      <c r="HL81" s="137" t="str">
        <f t="shared" si="424"/>
        <v>70</v>
      </c>
      <c r="HM81" s="137">
        <f t="shared" si="425"/>
        <v>152</v>
      </c>
      <c r="HN81" s="137">
        <f t="shared" si="426"/>
        <v>76</v>
      </c>
      <c r="HO81" s="135" t="str">
        <f t="shared" si="427"/>
        <v>A</v>
      </c>
      <c r="HP81" s="135" t="str">
        <f>VLOOKUP(RANK(HN81,$HN$10:$HN$109),Sheet1!$A$381:$B$480,2,FALSE)</f>
        <v>11th</v>
      </c>
      <c r="HQ81" s="137"/>
      <c r="HR81" s="137"/>
      <c r="HS81" s="137">
        <f t="shared" si="428"/>
        <v>0</v>
      </c>
      <c r="HT81" s="137" t="str">
        <f t="shared" si="429"/>
        <v>0</v>
      </c>
      <c r="HU81" s="137">
        <f t="shared" si="430"/>
        <v>0</v>
      </c>
      <c r="HV81" s="137">
        <f t="shared" si="431"/>
        <v>0</v>
      </c>
      <c r="HW81" s="135" t="str">
        <f t="shared" si="432"/>
        <v>F</v>
      </c>
      <c r="HX81" s="135" t="str">
        <f>VLOOKUP(RANK(HV81,$HV$10:$HV$109),Sheet1!$A$381:$B$480,2,FALSE)</f>
        <v>1st</v>
      </c>
      <c r="HY81" s="137"/>
      <c r="HZ81" s="137"/>
      <c r="IA81" s="137">
        <f t="shared" si="433"/>
        <v>0</v>
      </c>
      <c r="IB81" s="137" t="str">
        <f t="shared" si="434"/>
        <v>0</v>
      </c>
      <c r="IC81" s="137">
        <f t="shared" si="435"/>
        <v>0</v>
      </c>
      <c r="ID81" s="137">
        <f t="shared" si="436"/>
        <v>0</v>
      </c>
      <c r="IE81" s="135" t="str">
        <f t="shared" si="437"/>
        <v>F</v>
      </c>
      <c r="IF81" s="135" t="str">
        <f>VLOOKUP(RANK(ID81,$ID$10:$ID$109),Sheet1!$A$381:$B$480,2,FALSE)</f>
        <v>1st</v>
      </c>
      <c r="IG81" s="135"/>
      <c r="IH81" s="135"/>
      <c r="II81" s="135">
        <f t="shared" si="516"/>
        <v>0</v>
      </c>
      <c r="IJ81" s="135" t="str">
        <f t="shared" si="517"/>
        <v>0</v>
      </c>
      <c r="IK81" s="135">
        <f t="shared" si="518"/>
        <v>0</v>
      </c>
      <c r="IL81" s="135">
        <f t="shared" si="519"/>
        <v>0</v>
      </c>
      <c r="IM81" s="135" t="str">
        <f t="shared" si="438"/>
        <v>F</v>
      </c>
      <c r="IN81" s="135" t="str">
        <f>VLOOKUP(RANK(IL81,$IL$10:$IL$109),Sheet1!$A$381:$B$480,2,FALSE)</f>
        <v>1st</v>
      </c>
      <c r="IO81" s="135">
        <f t="shared" si="520"/>
        <v>677</v>
      </c>
      <c r="IP81" s="177">
        <f t="shared" si="521"/>
        <v>39.823529411764703</v>
      </c>
      <c r="IQ81" s="135" t="str">
        <f>VLOOKUP(RANK(IP81,$IP$10:$IP$109),Sheet1!$A$381:$B$480,2,FALSE)</f>
        <v>18th</v>
      </c>
      <c r="IR81" s="178"/>
      <c r="IS81" s="137"/>
      <c r="IT81" s="137"/>
      <c r="IU81" s="137"/>
      <c r="IV81" s="137"/>
      <c r="IW81" s="181"/>
      <c r="IX81" s="184"/>
      <c r="IY81" s="186"/>
      <c r="IZ81" s="186">
        <f t="shared" si="439"/>
        <v>0</v>
      </c>
      <c r="JA81" s="186" t="str">
        <f t="shared" si="440"/>
        <v>55</v>
      </c>
      <c r="JB81" s="186" t="str">
        <f t="shared" si="441"/>
        <v>67</v>
      </c>
      <c r="JC81" s="186">
        <f t="shared" si="522"/>
        <v>122</v>
      </c>
      <c r="JD81" s="186">
        <f t="shared" si="523"/>
        <v>40.6666666666667</v>
      </c>
      <c r="JE81" s="135" t="str">
        <f t="shared" si="442"/>
        <v>D</v>
      </c>
      <c r="JF81" s="151" t="str">
        <f>VLOOKUP(RANK(JD81,$JD$10:$JD$109),Sheet1!$A$381:$B$480,2,FALSE)</f>
        <v>75th</v>
      </c>
      <c r="JG81" s="186"/>
      <c r="JH81" s="186"/>
      <c r="JI81" s="186">
        <f t="shared" si="443"/>
        <v>0</v>
      </c>
      <c r="JJ81" s="186" t="str">
        <f t="shared" si="444"/>
        <v>69</v>
      </c>
      <c r="JK81" s="186" t="str">
        <f t="shared" si="445"/>
        <v>56</v>
      </c>
      <c r="JL81" s="186">
        <f t="shared" si="524"/>
        <v>125</v>
      </c>
      <c r="JM81" s="186">
        <f t="shared" si="525"/>
        <v>41.6666666666667</v>
      </c>
      <c r="JN81" s="135" t="str">
        <f t="shared" si="446"/>
        <v>D</v>
      </c>
      <c r="JO81" s="151" t="str">
        <f>VLOOKUP(RANK(JM81,$JM$10:$JM$109),Sheet1!$A$381:$B$480,2,FALSE)</f>
        <v>9th</v>
      </c>
      <c r="JP81" s="186"/>
      <c r="JQ81" s="186"/>
      <c r="JR81" s="186">
        <f t="shared" si="447"/>
        <v>0</v>
      </c>
      <c r="JS81" s="186" t="str">
        <f t="shared" si="448"/>
        <v>63</v>
      </c>
      <c r="JT81" s="186" t="str">
        <f t="shared" si="449"/>
        <v>48</v>
      </c>
      <c r="JU81" s="186">
        <f t="shared" si="526"/>
        <v>111</v>
      </c>
      <c r="JV81" s="186">
        <f t="shared" si="527"/>
        <v>37</v>
      </c>
      <c r="JW81" s="135" t="str">
        <f t="shared" si="450"/>
        <v>E</v>
      </c>
      <c r="JX81" s="151" t="str">
        <f>VLOOKUP(RANK(JV81,$JV$10:$JV$109),Sheet1!$A$381:$B$480,2,FALSE)</f>
        <v>24th</v>
      </c>
      <c r="JY81" s="186"/>
      <c r="JZ81" s="186"/>
      <c r="KA81" s="186">
        <f t="shared" si="451"/>
        <v>0</v>
      </c>
      <c r="KB81" s="186" t="str">
        <f t="shared" si="452"/>
        <v>72</v>
      </c>
      <c r="KC81" s="186" t="str">
        <f t="shared" si="453"/>
        <v>61</v>
      </c>
      <c r="KD81" s="186">
        <f t="shared" si="528"/>
        <v>133</v>
      </c>
      <c r="KE81" s="186">
        <f t="shared" si="529"/>
        <v>44.3333333333333</v>
      </c>
      <c r="KF81" s="135" t="str">
        <f t="shared" si="454"/>
        <v>D</v>
      </c>
      <c r="KG81" s="151" t="str">
        <f>VLOOKUP(RANK(KE81,$KE$10:$KE$109),Sheet1!$A$381:$B$480,2,FALSE)</f>
        <v>23rd</v>
      </c>
      <c r="KH81" s="186"/>
      <c r="KI81" s="186"/>
      <c r="KJ81" s="186">
        <f t="shared" si="455"/>
        <v>0</v>
      </c>
      <c r="KK81" s="186" t="str">
        <f t="shared" si="456"/>
        <v>78</v>
      </c>
      <c r="KL81" s="186" t="str">
        <f t="shared" si="457"/>
        <v>59</v>
      </c>
      <c r="KM81" s="186">
        <f t="shared" si="530"/>
        <v>137</v>
      </c>
      <c r="KN81" s="186">
        <f t="shared" si="531"/>
        <v>45.6666666666667</v>
      </c>
      <c r="KO81" s="135" t="str">
        <f t="shared" si="458"/>
        <v>D</v>
      </c>
      <c r="KP81" s="151" t="str">
        <f>VLOOKUP(RANK(KN81,$KN$10:$KN$109),Sheet1!$A$381:$B$480,2,FALSE)</f>
        <v>20th</v>
      </c>
      <c r="KQ81" s="186"/>
      <c r="KR81" s="186"/>
      <c r="KS81" s="186">
        <f t="shared" si="459"/>
        <v>0</v>
      </c>
      <c r="KT81" s="186" t="str">
        <f t="shared" si="460"/>
        <v>0</v>
      </c>
      <c r="KU81" s="186" t="str">
        <f t="shared" si="461"/>
        <v>0</v>
      </c>
      <c r="KV81" s="186">
        <f t="shared" si="532"/>
        <v>0</v>
      </c>
      <c r="KW81" s="186">
        <f t="shared" si="533"/>
        <v>0</v>
      </c>
      <c r="KX81" s="135" t="str">
        <f t="shared" si="462"/>
        <v>F</v>
      </c>
      <c r="KY81" s="151" t="str">
        <f>VLOOKUP(RANK(KW81,$KW$10:$KW$109),Sheet1!$A$381:$B$480,2,FALSE)</f>
        <v>1st</v>
      </c>
      <c r="KZ81" s="186"/>
      <c r="LA81" s="186"/>
      <c r="LB81" s="186">
        <f t="shared" si="463"/>
        <v>0</v>
      </c>
      <c r="LC81" s="186" t="str">
        <f t="shared" si="464"/>
        <v>0</v>
      </c>
      <c r="LD81" s="186" t="str">
        <f t="shared" si="465"/>
        <v>0</v>
      </c>
      <c r="LE81" s="186">
        <f t="shared" si="534"/>
        <v>0</v>
      </c>
      <c r="LF81" s="186">
        <f t="shared" si="535"/>
        <v>0</v>
      </c>
      <c r="LG81" s="135" t="str">
        <f t="shared" si="466"/>
        <v>F</v>
      </c>
      <c r="LH81" s="151" t="str">
        <f>VLOOKUP(RANK(LF81,$LF$10:$LF$109),Sheet1!$A$381:$B$480,2,FALSE)</f>
        <v>1st</v>
      </c>
      <c r="LI81" s="186"/>
      <c r="LJ81" s="186"/>
      <c r="LK81" s="186">
        <f t="shared" si="467"/>
        <v>0</v>
      </c>
      <c r="LL81" s="186" t="str">
        <f t="shared" si="468"/>
        <v>50</v>
      </c>
      <c r="LM81" s="186" t="str">
        <f t="shared" si="469"/>
        <v>58</v>
      </c>
      <c r="LN81" s="186">
        <f t="shared" si="536"/>
        <v>108</v>
      </c>
      <c r="LO81" s="186">
        <f t="shared" si="537"/>
        <v>36</v>
      </c>
      <c r="LP81" s="135" t="str">
        <f t="shared" si="470"/>
        <v>E</v>
      </c>
      <c r="LQ81" s="151" t="str">
        <f>VLOOKUP(RANK(LO81,$LO$10:$LO$109),Sheet1!$A$381:$B$480,2,FALSE)</f>
        <v>29th</v>
      </c>
      <c r="LR81" s="186"/>
      <c r="LS81" s="186"/>
      <c r="LT81" s="186">
        <f t="shared" si="471"/>
        <v>0</v>
      </c>
      <c r="LU81" s="186" t="str">
        <f t="shared" si="472"/>
        <v>58</v>
      </c>
      <c r="LV81" s="186" t="str">
        <f t="shared" si="473"/>
        <v>57</v>
      </c>
      <c r="LW81" s="186">
        <f t="shared" si="538"/>
        <v>115</v>
      </c>
      <c r="LX81" s="186">
        <f t="shared" si="539"/>
        <v>38.3333333333333</v>
      </c>
      <c r="LY81" s="135" t="str">
        <f t="shared" si="474"/>
        <v>E</v>
      </c>
      <c r="LZ81" s="151" t="str">
        <f>VLOOKUP(RANK(LX81,$LX$10:$LX$109),Sheet1!$A$381:$B$480,2,FALSE)</f>
        <v>29th</v>
      </c>
      <c r="MA81" s="186"/>
      <c r="MB81" s="186"/>
      <c r="MC81" s="186">
        <f t="shared" si="475"/>
        <v>0</v>
      </c>
      <c r="MD81" s="186" t="str">
        <f t="shared" si="476"/>
        <v>44</v>
      </c>
      <c r="ME81" s="186" t="str">
        <f t="shared" si="477"/>
        <v>43</v>
      </c>
      <c r="MF81" s="183">
        <f t="shared" si="540"/>
        <v>87</v>
      </c>
      <c r="MG81" s="151">
        <f t="shared" si="541"/>
        <v>29</v>
      </c>
      <c r="MH81" s="135" t="str">
        <f t="shared" si="478"/>
        <v>F</v>
      </c>
      <c r="MI81" s="151" t="str">
        <f>VLOOKUP(RANK(MG81,$MG$10:$MG$109),Sheet1!$A$381:$B$480,2,FALSE)</f>
        <v>31st</v>
      </c>
      <c r="MJ81" s="186"/>
      <c r="MK81" s="186"/>
      <c r="ML81" s="186">
        <f t="shared" si="479"/>
        <v>0</v>
      </c>
      <c r="MM81" s="186" t="str">
        <f t="shared" si="480"/>
        <v>54</v>
      </c>
      <c r="MN81" s="186" t="str">
        <f t="shared" si="481"/>
        <v>38</v>
      </c>
      <c r="MO81" s="186">
        <f t="shared" si="542"/>
        <v>92</v>
      </c>
      <c r="MP81" s="186">
        <f t="shared" si="543"/>
        <v>30.6666666666667</v>
      </c>
      <c r="MQ81" s="135" t="str">
        <f t="shared" si="482"/>
        <v>F</v>
      </c>
      <c r="MR81" s="151" t="str">
        <f>VLOOKUP(RANK(MP81,$MP$10:$MP$109),Sheet1!$A$381:$B$480,2,FALSE)</f>
        <v>82nd</v>
      </c>
      <c r="MS81" s="186"/>
      <c r="MT81" s="186"/>
      <c r="MU81" s="186">
        <f t="shared" si="483"/>
        <v>0</v>
      </c>
      <c r="MV81" s="186" t="str">
        <f t="shared" si="484"/>
        <v>78</v>
      </c>
      <c r="MW81" s="186" t="str">
        <f t="shared" si="485"/>
        <v>63</v>
      </c>
      <c r="MX81" s="186">
        <f t="shared" si="544"/>
        <v>141</v>
      </c>
      <c r="MY81" s="186">
        <f t="shared" si="545"/>
        <v>47</v>
      </c>
      <c r="MZ81" s="135" t="str">
        <f t="shared" si="486"/>
        <v>D</v>
      </c>
      <c r="NA81" s="151" t="str">
        <f>VLOOKUP(RANK(MY81,$MY$10:$MY$109),Sheet1!$A$381:$B$480,2,FALSE)</f>
        <v>11th</v>
      </c>
      <c r="NB81" s="186"/>
      <c r="NC81" s="186"/>
      <c r="ND81" s="186">
        <f t="shared" si="487"/>
        <v>0</v>
      </c>
      <c r="NE81" s="186" t="str">
        <f t="shared" si="488"/>
        <v>40</v>
      </c>
      <c r="NF81" s="186" t="str">
        <f t="shared" si="489"/>
        <v>49</v>
      </c>
      <c r="NG81" s="186">
        <f t="shared" si="546"/>
        <v>89</v>
      </c>
      <c r="NH81" s="186">
        <f t="shared" si="547"/>
        <v>29.6666666666667</v>
      </c>
      <c r="NI81" s="135" t="str">
        <f t="shared" si="490"/>
        <v>F</v>
      </c>
      <c r="NJ81" s="151" t="str">
        <f>VLOOKUP(RANK(NH81,$NH$10:$NH$109),Sheet1!$A$381:$B$480,2,FALSE)</f>
        <v>26th</v>
      </c>
      <c r="NK81" s="186"/>
      <c r="NL81" s="186"/>
      <c r="NM81" s="186">
        <f t="shared" si="491"/>
        <v>0</v>
      </c>
      <c r="NN81" s="186" t="str">
        <f t="shared" si="492"/>
        <v>70</v>
      </c>
      <c r="NO81" s="186" t="str">
        <f t="shared" si="493"/>
        <v>82</v>
      </c>
      <c r="NP81" s="186">
        <f t="shared" si="548"/>
        <v>152</v>
      </c>
      <c r="NQ81" s="186">
        <f t="shared" si="494"/>
        <v>50.6666666666667</v>
      </c>
      <c r="NR81" s="135" t="str">
        <f t="shared" si="495"/>
        <v>C</v>
      </c>
      <c r="NS81" s="151" t="str">
        <f>VLOOKUP(RANK(NQ81,$NQ$10:$NQ$109),Sheet1!$A$381:$B$480,2,FALSE)</f>
        <v>11th</v>
      </c>
      <c r="NT81" s="186"/>
      <c r="NU81" s="186"/>
      <c r="NV81" s="186">
        <f t="shared" si="496"/>
        <v>0</v>
      </c>
      <c r="NW81" s="186" t="str">
        <f t="shared" si="497"/>
        <v>0</v>
      </c>
      <c r="NX81" s="186" t="str">
        <f t="shared" si="498"/>
        <v>0</v>
      </c>
      <c r="NY81" s="186">
        <f t="shared" si="549"/>
        <v>0</v>
      </c>
      <c r="NZ81" s="186">
        <f t="shared" si="499"/>
        <v>0</v>
      </c>
      <c r="OA81" s="135" t="str">
        <f t="shared" si="500"/>
        <v>F</v>
      </c>
      <c r="OB81" s="151" t="str">
        <f>VLOOKUP(RANK(NZ81,$NZ$10:$NZ$109),Sheet1!$A$381:$B$480,2,FALSE)</f>
        <v>1st</v>
      </c>
      <c r="OC81" s="186"/>
      <c r="OD81" s="186"/>
      <c r="OE81" s="186">
        <f t="shared" si="501"/>
        <v>0</v>
      </c>
      <c r="OF81" s="186" t="str">
        <f t="shared" si="502"/>
        <v>0</v>
      </c>
      <c r="OG81" s="186" t="str">
        <f t="shared" si="503"/>
        <v>0</v>
      </c>
      <c r="OH81" s="186">
        <f t="shared" si="550"/>
        <v>0</v>
      </c>
      <c r="OI81" s="186">
        <f t="shared" si="504"/>
        <v>0</v>
      </c>
      <c r="OJ81" s="135" t="str">
        <f t="shared" si="505"/>
        <v>F</v>
      </c>
      <c r="OK81" s="151" t="str">
        <f>VLOOKUP(RANK(OI81,$OI$10:$OI$109),Sheet1!$A$381:$B$480,2,FALSE)</f>
        <v>1st</v>
      </c>
      <c r="OL81" s="151"/>
      <c r="OM81" s="151"/>
      <c r="ON81" s="151">
        <f t="shared" si="551"/>
        <v>0</v>
      </c>
      <c r="OO81" s="151" t="str">
        <f t="shared" si="552"/>
        <v>0</v>
      </c>
      <c r="OP81" s="151" t="str">
        <f t="shared" si="553"/>
        <v>0</v>
      </c>
      <c r="OQ81" s="151">
        <f t="shared" si="554"/>
        <v>0</v>
      </c>
      <c r="OR81" s="151">
        <f t="shared" si="555"/>
        <v>0</v>
      </c>
      <c r="OS81" s="135" t="str">
        <f t="shared" si="506"/>
        <v>F</v>
      </c>
      <c r="OT81" s="151" t="str">
        <f>VLOOKUP(RANK(OR81,$OI$10:$OI$109),Sheet1!$A$381:$B$480,2,FALSE)</f>
        <v>1st</v>
      </c>
      <c r="OU81" s="151">
        <f t="shared" si="556"/>
        <v>470.66666666666703</v>
      </c>
      <c r="OV81" s="151">
        <f t="shared" si="557"/>
        <v>27.686274509803901</v>
      </c>
      <c r="OW81" s="151" t="str">
        <f>VLOOKUP(RANK(OV81,$OV$10:$OV$109),Sheet1!$A$381:$B$480,2,FALSE)</f>
        <v>18th</v>
      </c>
      <c r="OX81" s="151"/>
      <c r="OY81" s="186"/>
      <c r="OZ81" s="186"/>
      <c r="PA81" s="186"/>
      <c r="PB81" s="186"/>
    </row>
    <row r="82" spans="1:418" s="118" customFormat="1" ht="18.75">
      <c r="A82" s="131">
        <v>73</v>
      </c>
      <c r="B82" s="132" t="s">
        <v>172</v>
      </c>
      <c r="C82" s="133" t="s">
        <v>97</v>
      </c>
      <c r="D82" s="134">
        <v>31</v>
      </c>
      <c r="E82" s="134">
        <v>34</v>
      </c>
      <c r="F82" s="137">
        <f t="shared" si="315"/>
        <v>65</v>
      </c>
      <c r="G82" s="137">
        <f t="shared" si="316"/>
        <v>65</v>
      </c>
      <c r="H82" s="135" t="str">
        <f t="shared" si="507"/>
        <v>B</v>
      </c>
      <c r="I82" s="135" t="str">
        <f>VLOOKUP(RANK(G82,$G$10:$G$109),Sheet1!$A$381:$B$480,2,FALSE)</f>
        <v>56th</v>
      </c>
      <c r="J82" s="134">
        <v>30</v>
      </c>
      <c r="K82" s="134">
        <v>33</v>
      </c>
      <c r="L82" s="137">
        <f t="shared" si="317"/>
        <v>63</v>
      </c>
      <c r="M82" s="137">
        <f t="shared" si="318"/>
        <v>63</v>
      </c>
      <c r="N82" s="135" t="str">
        <f t="shared" si="319"/>
        <v>B</v>
      </c>
      <c r="O82" s="141" t="str">
        <f>VLOOKUP(RANK(M82,$M$10:$M$109),Sheet1!$A$381:$B$480,2,FALSE)</f>
        <v>19th</v>
      </c>
      <c r="P82" s="144">
        <v>25</v>
      </c>
      <c r="Q82" s="144">
        <v>8</v>
      </c>
      <c r="R82" s="147">
        <f t="shared" si="320"/>
        <v>33</v>
      </c>
      <c r="S82" s="137">
        <f t="shared" si="321"/>
        <v>33</v>
      </c>
      <c r="T82" s="135" t="str">
        <f t="shared" si="322"/>
        <v>F</v>
      </c>
      <c r="U82" s="135" t="str">
        <f>VLOOKUP(RANK(S82,$S$10:$S$109),Sheet1!$A$381:$B$480,2,FALSE)</f>
        <v>77th</v>
      </c>
      <c r="V82" s="134">
        <v>28</v>
      </c>
      <c r="W82" s="134">
        <v>43</v>
      </c>
      <c r="X82" s="137">
        <f t="shared" si="559"/>
        <v>71</v>
      </c>
      <c r="Y82" s="137">
        <f t="shared" si="558"/>
        <v>71</v>
      </c>
      <c r="Z82" s="135" t="str">
        <f t="shared" si="323"/>
        <v>B</v>
      </c>
      <c r="AA82" s="135" t="str">
        <f>VLOOKUP(RANK(Y82,$Y$10:$Y$109),Sheet1!$A$381:$B$480,2,FALSE)</f>
        <v>19th</v>
      </c>
      <c r="AB82" s="134">
        <v>30</v>
      </c>
      <c r="AC82" s="134">
        <v>38</v>
      </c>
      <c r="AD82" s="137">
        <f t="shared" si="324"/>
        <v>68</v>
      </c>
      <c r="AE82" s="137">
        <f t="shared" si="325"/>
        <v>68</v>
      </c>
      <c r="AF82" s="135" t="str">
        <f t="shared" si="326"/>
        <v>B</v>
      </c>
      <c r="AG82" s="135" t="str">
        <f>VLOOKUP(RANK(AE82,$AE$10:$AE$109),Sheet1!$A$381:$B$480,2,FALSE)</f>
        <v>35th</v>
      </c>
      <c r="AH82" s="137"/>
      <c r="AI82" s="137"/>
      <c r="AJ82" s="137">
        <f t="shared" si="327"/>
        <v>0</v>
      </c>
      <c r="AK82" s="137">
        <f t="shared" si="328"/>
        <v>0</v>
      </c>
      <c r="AL82" s="135" t="str">
        <f t="shared" si="329"/>
        <v>F</v>
      </c>
      <c r="AM82" s="135" t="str">
        <f>VLOOKUP(RANK(AK82,$AK$10:$AK$109),Sheet1!$A$381:$B$480,2,FALSE)</f>
        <v>1st</v>
      </c>
      <c r="AN82" s="134"/>
      <c r="AO82" s="134"/>
      <c r="AP82" s="137">
        <f t="shared" si="330"/>
        <v>0</v>
      </c>
      <c r="AQ82" s="137">
        <f t="shared" si="331"/>
        <v>0</v>
      </c>
      <c r="AR82" s="135" t="str">
        <f t="shared" si="332"/>
        <v>F</v>
      </c>
      <c r="AS82" s="135" t="str">
        <f>VLOOKUP(RANK(AQ82,$AQ$10:$AQ$109),Sheet1!$A$381:$B$480,2,FALSE)</f>
        <v>1st</v>
      </c>
      <c r="AT82" s="144">
        <v>26</v>
      </c>
      <c r="AU82" s="144">
        <v>29</v>
      </c>
      <c r="AV82" s="137">
        <f t="shared" si="333"/>
        <v>55</v>
      </c>
      <c r="AW82" s="137">
        <f t="shared" si="334"/>
        <v>55</v>
      </c>
      <c r="AX82" s="135" t="str">
        <f t="shared" si="335"/>
        <v>C</v>
      </c>
      <c r="AY82" s="141" t="str">
        <f>VLOOKUP(RANK(AW82,$AW$10:$AW$109),Sheet1!$A$381:$B$480,2,FALSE)</f>
        <v>21st</v>
      </c>
      <c r="AZ82" s="144">
        <v>33</v>
      </c>
      <c r="BA82" s="144">
        <v>22</v>
      </c>
      <c r="BB82" s="147">
        <f t="shared" si="336"/>
        <v>55</v>
      </c>
      <c r="BC82" s="137">
        <f t="shared" si="337"/>
        <v>55</v>
      </c>
      <c r="BD82" s="135" t="str">
        <f t="shared" si="338"/>
        <v>C</v>
      </c>
      <c r="BE82" s="135" t="str">
        <f>VLOOKUP(RANK(BC82,$BC$10:$BC$109),Sheet1!$A$381:$B$480,2,FALSE)</f>
        <v>43rd</v>
      </c>
      <c r="BF82" s="144">
        <v>11</v>
      </c>
      <c r="BG82" s="144">
        <v>25</v>
      </c>
      <c r="BH82" s="137">
        <f t="shared" si="339"/>
        <v>36</v>
      </c>
      <c r="BI82" s="137">
        <f t="shared" si="340"/>
        <v>36</v>
      </c>
      <c r="BJ82" s="135" t="str">
        <f t="shared" si="341"/>
        <v>E</v>
      </c>
      <c r="BK82" s="141" t="str">
        <f>VLOOKUP(RANK(BI82,$BI$10:$BI$109),Sheet1!$A$381:$B$480,2,FALSE)</f>
        <v>45th</v>
      </c>
      <c r="BL82" s="149">
        <v>26</v>
      </c>
      <c r="BM82" s="149">
        <v>27</v>
      </c>
      <c r="BN82" s="147">
        <f t="shared" si="342"/>
        <v>53</v>
      </c>
      <c r="BO82" s="137">
        <f t="shared" si="343"/>
        <v>53</v>
      </c>
      <c r="BP82" s="135" t="str">
        <f t="shared" si="344"/>
        <v>C</v>
      </c>
      <c r="BQ82" s="141" t="str">
        <f>VLOOKUP(RANK(BO82,$BO$10:$BO$109),Sheet1!$A$381:$B$480,2,FALSE)</f>
        <v>36th</v>
      </c>
      <c r="BR82" s="149">
        <v>30</v>
      </c>
      <c r="BS82" s="149">
        <v>39</v>
      </c>
      <c r="BT82" s="147">
        <f t="shared" si="345"/>
        <v>69</v>
      </c>
      <c r="BU82" s="137">
        <f t="shared" si="346"/>
        <v>69</v>
      </c>
      <c r="BV82" s="135" t="str">
        <f t="shared" si="347"/>
        <v>B</v>
      </c>
      <c r="BW82" s="135" t="str">
        <f>VLOOKUP(RANK(BU82,$BU$10:$BU$109),Sheet1!$A$381:$B$480,2,FALSE)</f>
        <v>14th</v>
      </c>
      <c r="BX82" s="149">
        <v>27</v>
      </c>
      <c r="BY82" s="149">
        <v>12</v>
      </c>
      <c r="BZ82" s="137">
        <f t="shared" si="348"/>
        <v>39</v>
      </c>
      <c r="CA82" s="137">
        <f t="shared" si="349"/>
        <v>39</v>
      </c>
      <c r="CB82" s="135" t="str">
        <f t="shared" si="350"/>
        <v>E</v>
      </c>
      <c r="CC82" s="135" t="str">
        <f>VLOOKUP(RANK(CA82,$CA$10:$CA$109),Sheet1!$A$381:$B$480,2,FALSE)</f>
        <v>53rd</v>
      </c>
      <c r="CD82" s="149">
        <v>30</v>
      </c>
      <c r="CE82" s="149">
        <v>40</v>
      </c>
      <c r="CF82" s="137">
        <f t="shared" si="351"/>
        <v>70</v>
      </c>
      <c r="CG82" s="137">
        <f t="shared" si="352"/>
        <v>70</v>
      </c>
      <c r="CH82" s="135" t="str">
        <f t="shared" si="353"/>
        <v>B</v>
      </c>
      <c r="CI82" s="135" t="str">
        <f>VLOOKUP(RANK(CG82,$CG$10:$CG$109),Sheet1!$A$381:$B$480,2,FALSE)</f>
        <v>17th</v>
      </c>
      <c r="CJ82" s="137"/>
      <c r="CK82" s="137"/>
      <c r="CL82" s="137">
        <f t="shared" si="354"/>
        <v>0</v>
      </c>
      <c r="CM82" s="137">
        <f t="shared" si="355"/>
        <v>0</v>
      </c>
      <c r="CN82" s="135" t="str">
        <f t="shared" si="356"/>
        <v>F</v>
      </c>
      <c r="CO82" s="135" t="str">
        <f>VLOOKUP(RANK(CM82,$CM$10:$CM$109),Sheet1!$A$381:$B$480,2,FALSE)</f>
        <v>1st</v>
      </c>
      <c r="CP82" s="137"/>
      <c r="CQ82" s="137"/>
      <c r="CR82" s="137">
        <f t="shared" si="357"/>
        <v>0</v>
      </c>
      <c r="CS82" s="137">
        <f t="shared" si="358"/>
        <v>0</v>
      </c>
      <c r="CT82" s="135" t="str">
        <f t="shared" si="359"/>
        <v>F</v>
      </c>
      <c r="CU82" s="135" t="str">
        <f>VLOOKUP(RANK(CS82,$CS$10:$CS$109),Sheet1!$A$381:$B$480,2,FALSE)</f>
        <v>1st</v>
      </c>
      <c r="CV82" s="151"/>
      <c r="CW82" s="135"/>
      <c r="CX82" s="151">
        <f t="shared" si="508"/>
        <v>0</v>
      </c>
      <c r="CY82" s="151">
        <f t="shared" si="509"/>
        <v>0</v>
      </c>
      <c r="CZ82" s="135" t="str">
        <f t="shared" si="360"/>
        <v>F</v>
      </c>
      <c r="DA82" s="135" t="str">
        <f>VLOOKUP(RANK(CY82,$CY$10:$CY$109),Sheet1!$A$381:$B$480,2,FALSE)</f>
        <v>1st</v>
      </c>
      <c r="DB82" s="135"/>
      <c r="DC82" s="151">
        <f t="shared" si="510"/>
        <v>677</v>
      </c>
      <c r="DD82" s="151">
        <f t="shared" si="511"/>
        <v>39.823529411764703</v>
      </c>
      <c r="DE82" s="135" t="str">
        <f>VLOOKUP(RANK(DD82,$DD$10:$DD$109),Sheet1!$A$381:$B$480,2,FALSE)</f>
        <v>28th</v>
      </c>
      <c r="DF82" s="137"/>
      <c r="DG82" s="160">
        <f t="shared" si="361"/>
        <v>716.82352941176498</v>
      </c>
      <c r="DH82" s="119"/>
      <c r="DI82" s="162">
        <v>29</v>
      </c>
      <c r="DJ82" s="162">
        <v>48</v>
      </c>
      <c r="DK82" s="137">
        <f t="shared" si="362"/>
        <v>77</v>
      </c>
      <c r="DL82" s="137" t="str">
        <f t="shared" si="363"/>
        <v>65</v>
      </c>
      <c r="DM82" s="137">
        <f t="shared" si="364"/>
        <v>142</v>
      </c>
      <c r="DN82" s="137">
        <f t="shared" si="365"/>
        <v>71</v>
      </c>
      <c r="DO82" s="135" t="str">
        <f t="shared" si="366"/>
        <v>B</v>
      </c>
      <c r="DP82" s="135" t="str">
        <f>VLOOKUP(RANK(DN82,$DN$10:$DN$109),Sheet1!$A$381:$B$480,2,FALSE)</f>
        <v>34th</v>
      </c>
      <c r="DQ82" s="166">
        <v>27</v>
      </c>
      <c r="DR82" s="166">
        <v>17</v>
      </c>
      <c r="DS82" s="137">
        <f t="shared" si="367"/>
        <v>44</v>
      </c>
      <c r="DT82" s="137" t="str">
        <f t="shared" si="368"/>
        <v>63</v>
      </c>
      <c r="DU82" s="137">
        <f t="shared" si="369"/>
        <v>107</v>
      </c>
      <c r="DV82" s="137">
        <f t="shared" si="370"/>
        <v>53.5</v>
      </c>
      <c r="DW82" s="135" t="str">
        <f t="shared" si="371"/>
        <v>C</v>
      </c>
      <c r="DX82" s="135" t="str">
        <f>VLOOKUP(RANK(DV82,$DV$10:$DV$109),Sheet1!$A$381:$B$480,2,FALSE)</f>
        <v>30th</v>
      </c>
      <c r="DY82" s="168">
        <v>33</v>
      </c>
      <c r="DZ82" s="168">
        <v>19</v>
      </c>
      <c r="EA82" s="137">
        <f t="shared" si="372"/>
        <v>52</v>
      </c>
      <c r="EB82" s="137" t="str">
        <f t="shared" si="373"/>
        <v>33</v>
      </c>
      <c r="EC82" s="137">
        <f t="shared" si="374"/>
        <v>85</v>
      </c>
      <c r="ED82" s="137">
        <f t="shared" si="375"/>
        <v>42.5</v>
      </c>
      <c r="EE82" s="135" t="str">
        <f t="shared" si="376"/>
        <v>D</v>
      </c>
      <c r="EF82" s="135" t="str">
        <f>VLOOKUP(RANK(ED82,$ED$10:$ED$109),Sheet1!$A$381:$B$480,2,FALSE)</f>
        <v>59th</v>
      </c>
      <c r="EG82" s="162">
        <v>31</v>
      </c>
      <c r="EH82" s="162">
        <v>36</v>
      </c>
      <c r="EI82" s="137">
        <f t="shared" si="377"/>
        <v>67</v>
      </c>
      <c r="EJ82" s="137" t="str">
        <f t="shared" si="378"/>
        <v>71</v>
      </c>
      <c r="EK82" s="137">
        <f t="shared" si="379"/>
        <v>138</v>
      </c>
      <c r="EL82" s="137">
        <f t="shared" si="380"/>
        <v>69</v>
      </c>
      <c r="EM82" s="135" t="str">
        <f t="shared" si="381"/>
        <v>B</v>
      </c>
      <c r="EN82" s="135" t="str">
        <f>VLOOKUP(RANK(EL82,$EL$10:$EL$109),Sheet1!$A$381:$B$480,2,FALSE)</f>
        <v>11th</v>
      </c>
      <c r="EO82" s="162">
        <v>30</v>
      </c>
      <c r="EP82" s="162">
        <v>32</v>
      </c>
      <c r="EQ82" s="137">
        <f t="shared" si="382"/>
        <v>62</v>
      </c>
      <c r="ER82" s="137" t="str">
        <f t="shared" si="383"/>
        <v>68</v>
      </c>
      <c r="ES82" s="137">
        <f t="shared" si="384"/>
        <v>130</v>
      </c>
      <c r="ET82" s="137">
        <f t="shared" si="385"/>
        <v>65</v>
      </c>
      <c r="EU82" s="135" t="str">
        <f t="shared" si="386"/>
        <v>B</v>
      </c>
      <c r="EV82" s="135" t="str">
        <f>VLOOKUP(RANK(ET82,$ET$10:$ET$109),Sheet1!$A$381:$B$480,2,FALSE)</f>
        <v>27th</v>
      </c>
      <c r="EW82" s="137"/>
      <c r="EX82" s="137"/>
      <c r="EY82" s="137">
        <f t="shared" si="387"/>
        <v>0</v>
      </c>
      <c r="EZ82" s="137" t="str">
        <f t="shared" si="388"/>
        <v>0</v>
      </c>
      <c r="FA82" s="137">
        <f t="shared" si="389"/>
        <v>0</v>
      </c>
      <c r="FB82" s="137">
        <f t="shared" si="390"/>
        <v>0</v>
      </c>
      <c r="FC82" s="135" t="str">
        <f t="shared" si="391"/>
        <v>F</v>
      </c>
      <c r="FD82" s="135" t="str">
        <f>VLOOKUP(RANK(FB82,$FB$10:$FB$109),Sheet1!$A$381:$B$480,2,FALSE)</f>
        <v>1st</v>
      </c>
      <c r="FE82" s="137"/>
      <c r="FF82" s="137"/>
      <c r="FG82" s="137">
        <f t="shared" si="392"/>
        <v>0</v>
      </c>
      <c r="FH82" s="137" t="str">
        <f t="shared" si="393"/>
        <v>0</v>
      </c>
      <c r="FI82" s="137">
        <f t="shared" si="394"/>
        <v>0</v>
      </c>
      <c r="FJ82" s="137">
        <f t="shared" si="395"/>
        <v>0</v>
      </c>
      <c r="FK82" s="135" t="str">
        <f t="shared" si="396"/>
        <v>F</v>
      </c>
      <c r="FL82" s="135" t="str">
        <f>VLOOKUP(RANK(FJ82,$FJ$10:$FJ$109),Sheet1!$A$381:$B$480,2,FALSE)</f>
        <v>1st</v>
      </c>
      <c r="FM82" s="166">
        <v>29</v>
      </c>
      <c r="FN82" s="166">
        <v>34</v>
      </c>
      <c r="FO82" s="137">
        <f t="shared" si="397"/>
        <v>63</v>
      </c>
      <c r="FP82" s="137" t="str">
        <f t="shared" si="398"/>
        <v>55</v>
      </c>
      <c r="FQ82" s="137">
        <f t="shared" si="399"/>
        <v>118</v>
      </c>
      <c r="FR82" s="137">
        <f t="shared" si="400"/>
        <v>59</v>
      </c>
      <c r="FS82" s="135" t="str">
        <f t="shared" si="401"/>
        <v>C</v>
      </c>
      <c r="FT82" s="135" t="str">
        <f>VLOOKUP(RANK(FR82,$FR$10:$FR$109),Sheet1!$A$381:$B$480,2,FALSE)</f>
        <v>9th</v>
      </c>
      <c r="FU82" s="149">
        <v>26</v>
      </c>
      <c r="FV82" s="149">
        <v>20</v>
      </c>
      <c r="FW82" s="137">
        <f t="shared" si="402"/>
        <v>46</v>
      </c>
      <c r="FX82" s="137" t="str">
        <f t="shared" si="403"/>
        <v>55</v>
      </c>
      <c r="FY82" s="137">
        <f t="shared" si="512"/>
        <v>46</v>
      </c>
      <c r="FZ82" s="137">
        <f t="shared" si="404"/>
        <v>23</v>
      </c>
      <c r="GA82" s="135" t="str">
        <f t="shared" si="405"/>
        <v>F</v>
      </c>
      <c r="GB82" s="135" t="str">
        <f>VLOOKUP(RANK(FZ82,$FZ$10:$FZ$109),Sheet1!$A$381:$B$480,2,FALSE)</f>
        <v>61st</v>
      </c>
      <c r="GC82" s="166">
        <v>15</v>
      </c>
      <c r="GD82" s="166">
        <v>28</v>
      </c>
      <c r="GE82" s="137">
        <f t="shared" si="406"/>
        <v>43</v>
      </c>
      <c r="GF82" s="137" t="str">
        <f t="shared" si="407"/>
        <v>36</v>
      </c>
      <c r="GG82" s="135">
        <f t="shared" si="513"/>
        <v>79</v>
      </c>
      <c r="GH82" s="137">
        <f t="shared" si="514"/>
        <v>39.5</v>
      </c>
      <c r="GI82" s="135" t="str">
        <f t="shared" si="408"/>
        <v>E</v>
      </c>
      <c r="GJ82" s="135" t="str">
        <f>VLOOKUP(RANK(GH82,$GH$10:$GH$109),Sheet1!$A$381:$B$480,2,FALSE)</f>
        <v>48th</v>
      </c>
      <c r="GK82" s="166">
        <v>28</v>
      </c>
      <c r="GL82" s="166">
        <v>15</v>
      </c>
      <c r="GM82" s="137">
        <f t="shared" si="409"/>
        <v>43</v>
      </c>
      <c r="GN82" s="137" t="str">
        <f t="shared" si="410"/>
        <v>53</v>
      </c>
      <c r="GO82" s="135">
        <f t="shared" si="515"/>
        <v>96</v>
      </c>
      <c r="GP82" s="137">
        <f t="shared" si="411"/>
        <v>48</v>
      </c>
      <c r="GQ82" s="135" t="str">
        <f t="shared" si="412"/>
        <v>D</v>
      </c>
      <c r="GR82" s="135" t="str">
        <f>VLOOKUP(RANK(GP82,$GP$10:$GP$109),Sheet1!$A$381:$B$480,2,FALSE)</f>
        <v>45th</v>
      </c>
      <c r="GS82" s="166">
        <v>35</v>
      </c>
      <c r="GT82" s="166">
        <v>23</v>
      </c>
      <c r="GU82" s="137">
        <f t="shared" si="413"/>
        <v>58</v>
      </c>
      <c r="GV82" s="137" t="str">
        <f t="shared" si="414"/>
        <v>69</v>
      </c>
      <c r="GW82" s="137">
        <f t="shared" si="415"/>
        <v>127</v>
      </c>
      <c r="GX82" s="137">
        <f t="shared" si="416"/>
        <v>63.5</v>
      </c>
      <c r="GY82" s="135" t="str">
        <f t="shared" si="417"/>
        <v>B</v>
      </c>
      <c r="GZ82" s="135" t="str">
        <f>VLOOKUP(RANK(GX82,$GX$10:$GX$109),Sheet1!$A$381:$B$480,2,FALSE)</f>
        <v>19th</v>
      </c>
      <c r="HA82" s="166">
        <v>30</v>
      </c>
      <c r="HB82" s="166">
        <v>21</v>
      </c>
      <c r="HC82" s="137">
        <f t="shared" si="418"/>
        <v>51</v>
      </c>
      <c r="HD82" s="137" t="str">
        <f t="shared" si="419"/>
        <v>39</v>
      </c>
      <c r="HE82" s="137">
        <f t="shared" si="420"/>
        <v>90</v>
      </c>
      <c r="HF82" s="137">
        <f t="shared" si="421"/>
        <v>45</v>
      </c>
      <c r="HG82" s="135" t="str">
        <f t="shared" si="422"/>
        <v>D</v>
      </c>
      <c r="HH82" s="135" t="str">
        <f>VLOOKUP(RANK(HF82,$HF$10:$HF$109),Sheet1!$A$381:$B$480,2,FALSE)</f>
        <v>23rd</v>
      </c>
      <c r="HI82" s="149">
        <v>27</v>
      </c>
      <c r="HJ82" s="149">
        <v>51</v>
      </c>
      <c r="HK82" s="137">
        <f t="shared" si="423"/>
        <v>78</v>
      </c>
      <c r="HL82" s="137" t="str">
        <f t="shared" si="424"/>
        <v>70</v>
      </c>
      <c r="HM82" s="137">
        <f t="shared" si="425"/>
        <v>148</v>
      </c>
      <c r="HN82" s="137">
        <f t="shared" si="426"/>
        <v>74</v>
      </c>
      <c r="HO82" s="135" t="str">
        <f t="shared" si="427"/>
        <v>B</v>
      </c>
      <c r="HP82" s="135" t="str">
        <f>VLOOKUP(RANK(HN82,$HN$10:$HN$109),Sheet1!$A$381:$B$480,2,FALSE)</f>
        <v>16th</v>
      </c>
      <c r="HQ82" s="137"/>
      <c r="HR82" s="137"/>
      <c r="HS82" s="137">
        <f t="shared" si="428"/>
        <v>0</v>
      </c>
      <c r="HT82" s="137" t="str">
        <f t="shared" si="429"/>
        <v>0</v>
      </c>
      <c r="HU82" s="137">
        <f t="shared" si="430"/>
        <v>0</v>
      </c>
      <c r="HV82" s="137">
        <f t="shared" si="431"/>
        <v>0</v>
      </c>
      <c r="HW82" s="135" t="str">
        <f t="shared" si="432"/>
        <v>F</v>
      </c>
      <c r="HX82" s="135" t="str">
        <f>VLOOKUP(RANK(HV82,$HV$10:$HV$109),Sheet1!$A$381:$B$480,2,FALSE)</f>
        <v>1st</v>
      </c>
      <c r="HY82" s="137"/>
      <c r="HZ82" s="137"/>
      <c r="IA82" s="137">
        <f t="shared" si="433"/>
        <v>0</v>
      </c>
      <c r="IB82" s="137" t="str">
        <f t="shared" si="434"/>
        <v>0</v>
      </c>
      <c r="IC82" s="137">
        <f t="shared" si="435"/>
        <v>0</v>
      </c>
      <c r="ID82" s="137">
        <f t="shared" si="436"/>
        <v>0</v>
      </c>
      <c r="IE82" s="135" t="str">
        <f t="shared" si="437"/>
        <v>F</v>
      </c>
      <c r="IF82" s="135" t="str">
        <f>VLOOKUP(RANK(ID82,$ID$10:$ID$109),Sheet1!$A$381:$B$480,2,FALSE)</f>
        <v>1st</v>
      </c>
      <c r="IG82" s="135"/>
      <c r="IH82" s="135"/>
      <c r="II82" s="135">
        <f t="shared" si="516"/>
        <v>0</v>
      </c>
      <c r="IJ82" s="135" t="str">
        <f t="shared" si="517"/>
        <v>0</v>
      </c>
      <c r="IK82" s="135">
        <f t="shared" si="518"/>
        <v>0</v>
      </c>
      <c r="IL82" s="135">
        <f t="shared" si="519"/>
        <v>0</v>
      </c>
      <c r="IM82" s="135" t="str">
        <f t="shared" si="438"/>
        <v>F</v>
      </c>
      <c r="IN82" s="135" t="str">
        <f>VLOOKUP(RANK(IL82,$IL$10:$IL$109),Sheet1!$A$381:$B$480,2,FALSE)</f>
        <v>1st</v>
      </c>
      <c r="IO82" s="135">
        <f t="shared" si="520"/>
        <v>653</v>
      </c>
      <c r="IP82" s="177">
        <f t="shared" si="521"/>
        <v>38.411764705882398</v>
      </c>
      <c r="IQ82" s="135" t="str">
        <f>VLOOKUP(RANK(IP82,$IP$10:$IP$109),Sheet1!$A$381:$B$480,2,FALSE)</f>
        <v>25th</v>
      </c>
      <c r="IR82" s="178"/>
      <c r="IS82" s="137"/>
      <c r="IT82" s="137"/>
      <c r="IU82" s="137"/>
      <c r="IV82" s="137"/>
      <c r="IW82" s="181"/>
      <c r="IX82" s="184"/>
      <c r="IY82" s="186"/>
      <c r="IZ82" s="186">
        <f t="shared" si="439"/>
        <v>0</v>
      </c>
      <c r="JA82" s="186" t="str">
        <f t="shared" si="440"/>
        <v>65</v>
      </c>
      <c r="JB82" s="186" t="str">
        <f t="shared" si="441"/>
        <v>77</v>
      </c>
      <c r="JC82" s="186">
        <f t="shared" si="522"/>
        <v>142</v>
      </c>
      <c r="JD82" s="186">
        <f t="shared" si="523"/>
        <v>47.3333333333333</v>
      </c>
      <c r="JE82" s="135" t="str">
        <f t="shared" si="442"/>
        <v>D</v>
      </c>
      <c r="JF82" s="151" t="str">
        <f>VLOOKUP(RANK(JD82,$JD$10:$JD$109),Sheet1!$A$381:$B$480,2,FALSE)</f>
        <v>34th</v>
      </c>
      <c r="JG82" s="186"/>
      <c r="JH82" s="186"/>
      <c r="JI82" s="186">
        <f t="shared" si="443"/>
        <v>0</v>
      </c>
      <c r="JJ82" s="186" t="str">
        <f t="shared" si="444"/>
        <v>63</v>
      </c>
      <c r="JK82" s="186" t="str">
        <f t="shared" si="445"/>
        <v>44</v>
      </c>
      <c r="JL82" s="186">
        <f t="shared" si="524"/>
        <v>107</v>
      </c>
      <c r="JM82" s="186">
        <f t="shared" si="525"/>
        <v>35.6666666666667</v>
      </c>
      <c r="JN82" s="135" t="str">
        <f t="shared" si="446"/>
        <v>E</v>
      </c>
      <c r="JO82" s="151" t="str">
        <f>VLOOKUP(RANK(JM82,$JM$10:$JM$109),Sheet1!$A$381:$B$480,2,FALSE)</f>
        <v>30th</v>
      </c>
      <c r="JP82" s="186"/>
      <c r="JQ82" s="186"/>
      <c r="JR82" s="186">
        <f t="shared" si="447"/>
        <v>0</v>
      </c>
      <c r="JS82" s="186" t="str">
        <f t="shared" si="448"/>
        <v>33</v>
      </c>
      <c r="JT82" s="186" t="str">
        <f t="shared" si="449"/>
        <v>52</v>
      </c>
      <c r="JU82" s="186">
        <f t="shared" si="526"/>
        <v>85</v>
      </c>
      <c r="JV82" s="186">
        <f t="shared" si="527"/>
        <v>28.3333333333333</v>
      </c>
      <c r="JW82" s="135" t="str">
        <f t="shared" si="450"/>
        <v>F</v>
      </c>
      <c r="JX82" s="151" t="str">
        <f>VLOOKUP(RANK(JV82,$JV$10:$JV$109),Sheet1!$A$381:$B$480,2,FALSE)</f>
        <v>59th</v>
      </c>
      <c r="JY82" s="186"/>
      <c r="JZ82" s="186"/>
      <c r="KA82" s="186">
        <f t="shared" si="451"/>
        <v>0</v>
      </c>
      <c r="KB82" s="186" t="str">
        <f t="shared" si="452"/>
        <v>71</v>
      </c>
      <c r="KC82" s="186" t="str">
        <f t="shared" si="453"/>
        <v>67</v>
      </c>
      <c r="KD82" s="186">
        <f t="shared" si="528"/>
        <v>138</v>
      </c>
      <c r="KE82" s="186">
        <f t="shared" si="529"/>
        <v>46</v>
      </c>
      <c r="KF82" s="135" t="str">
        <f t="shared" si="454"/>
        <v>D</v>
      </c>
      <c r="KG82" s="151" t="str">
        <f>VLOOKUP(RANK(KE82,$KE$10:$KE$109),Sheet1!$A$381:$B$480,2,FALSE)</f>
        <v>11th</v>
      </c>
      <c r="KH82" s="186"/>
      <c r="KI82" s="186"/>
      <c r="KJ82" s="186">
        <f t="shared" si="455"/>
        <v>0</v>
      </c>
      <c r="KK82" s="186" t="str">
        <f t="shared" si="456"/>
        <v>68</v>
      </c>
      <c r="KL82" s="186" t="str">
        <f t="shared" si="457"/>
        <v>62</v>
      </c>
      <c r="KM82" s="186">
        <f t="shared" si="530"/>
        <v>130</v>
      </c>
      <c r="KN82" s="186">
        <f t="shared" si="531"/>
        <v>43.3333333333333</v>
      </c>
      <c r="KO82" s="135" t="str">
        <f t="shared" si="458"/>
        <v>D</v>
      </c>
      <c r="KP82" s="151" t="str">
        <f>VLOOKUP(RANK(KN82,$KN$10:$KN$109),Sheet1!$A$381:$B$480,2,FALSE)</f>
        <v>27th</v>
      </c>
      <c r="KQ82" s="186"/>
      <c r="KR82" s="186"/>
      <c r="KS82" s="186">
        <f t="shared" si="459"/>
        <v>0</v>
      </c>
      <c r="KT82" s="186" t="str">
        <f t="shared" si="460"/>
        <v>0</v>
      </c>
      <c r="KU82" s="186" t="str">
        <f t="shared" si="461"/>
        <v>0</v>
      </c>
      <c r="KV82" s="186">
        <f t="shared" si="532"/>
        <v>0</v>
      </c>
      <c r="KW82" s="186">
        <f t="shared" si="533"/>
        <v>0</v>
      </c>
      <c r="KX82" s="135" t="str">
        <f t="shared" si="462"/>
        <v>F</v>
      </c>
      <c r="KY82" s="151" t="str">
        <f>VLOOKUP(RANK(KW82,$KW$10:$KW$109),Sheet1!$A$381:$B$480,2,FALSE)</f>
        <v>1st</v>
      </c>
      <c r="KZ82" s="186"/>
      <c r="LA82" s="186"/>
      <c r="LB82" s="186">
        <f t="shared" si="463"/>
        <v>0</v>
      </c>
      <c r="LC82" s="186" t="str">
        <f t="shared" si="464"/>
        <v>0</v>
      </c>
      <c r="LD82" s="186" t="str">
        <f t="shared" si="465"/>
        <v>0</v>
      </c>
      <c r="LE82" s="186">
        <f t="shared" si="534"/>
        <v>0</v>
      </c>
      <c r="LF82" s="186">
        <f t="shared" si="535"/>
        <v>0</v>
      </c>
      <c r="LG82" s="135" t="str">
        <f t="shared" si="466"/>
        <v>F</v>
      </c>
      <c r="LH82" s="151" t="str">
        <f>VLOOKUP(RANK(LF82,$LF$10:$LF$109),Sheet1!$A$381:$B$480,2,FALSE)</f>
        <v>1st</v>
      </c>
      <c r="LI82" s="186"/>
      <c r="LJ82" s="186"/>
      <c r="LK82" s="186">
        <f t="shared" si="467"/>
        <v>0</v>
      </c>
      <c r="LL82" s="186" t="str">
        <f t="shared" si="468"/>
        <v>55</v>
      </c>
      <c r="LM82" s="186" t="str">
        <f t="shared" si="469"/>
        <v>63</v>
      </c>
      <c r="LN82" s="186">
        <f t="shared" si="536"/>
        <v>118</v>
      </c>
      <c r="LO82" s="186">
        <f t="shared" si="537"/>
        <v>39.3333333333333</v>
      </c>
      <c r="LP82" s="135" t="str">
        <f t="shared" si="470"/>
        <v>E</v>
      </c>
      <c r="LQ82" s="151" t="str">
        <f>VLOOKUP(RANK(LO82,$LO$10:$LO$109),Sheet1!$A$381:$B$480,2,FALSE)</f>
        <v>9th</v>
      </c>
      <c r="LR82" s="186"/>
      <c r="LS82" s="186"/>
      <c r="LT82" s="186">
        <f t="shared" si="471"/>
        <v>0</v>
      </c>
      <c r="LU82" s="186" t="str">
        <f t="shared" si="472"/>
        <v>55</v>
      </c>
      <c r="LV82" s="186" t="str">
        <f t="shared" si="473"/>
        <v>46</v>
      </c>
      <c r="LW82" s="186">
        <f t="shared" si="538"/>
        <v>101</v>
      </c>
      <c r="LX82" s="186">
        <f t="shared" si="539"/>
        <v>33.6666666666667</v>
      </c>
      <c r="LY82" s="135" t="str">
        <f t="shared" si="474"/>
        <v>F</v>
      </c>
      <c r="LZ82" s="151" t="str">
        <f>VLOOKUP(RANK(LX82,$LX$10:$LX$109),Sheet1!$A$381:$B$480,2,FALSE)</f>
        <v>53rd</v>
      </c>
      <c r="MA82" s="186"/>
      <c r="MB82" s="186"/>
      <c r="MC82" s="186">
        <f t="shared" si="475"/>
        <v>0</v>
      </c>
      <c r="MD82" s="186" t="str">
        <f t="shared" si="476"/>
        <v>36</v>
      </c>
      <c r="ME82" s="186" t="str">
        <f t="shared" si="477"/>
        <v>43</v>
      </c>
      <c r="MF82" s="183">
        <f t="shared" si="540"/>
        <v>79</v>
      </c>
      <c r="MG82" s="151">
        <f t="shared" si="541"/>
        <v>26.3333333333333</v>
      </c>
      <c r="MH82" s="135" t="str">
        <f t="shared" si="478"/>
        <v>F</v>
      </c>
      <c r="MI82" s="151" t="str">
        <f>VLOOKUP(RANK(MG82,$MG$10:$MG$109),Sheet1!$A$381:$B$480,2,FALSE)</f>
        <v>48th</v>
      </c>
      <c r="MJ82" s="186"/>
      <c r="MK82" s="186"/>
      <c r="ML82" s="186">
        <f t="shared" si="479"/>
        <v>0</v>
      </c>
      <c r="MM82" s="186" t="str">
        <f t="shared" si="480"/>
        <v>53</v>
      </c>
      <c r="MN82" s="186" t="str">
        <f t="shared" si="481"/>
        <v>43</v>
      </c>
      <c r="MO82" s="186">
        <f t="shared" si="542"/>
        <v>96</v>
      </c>
      <c r="MP82" s="186">
        <f t="shared" si="543"/>
        <v>32</v>
      </c>
      <c r="MQ82" s="135" t="str">
        <f t="shared" si="482"/>
        <v>F</v>
      </c>
      <c r="MR82" s="151" t="str">
        <f>VLOOKUP(RANK(MP82,$MP$10:$MP$109),Sheet1!$A$381:$B$480,2,FALSE)</f>
        <v>45th</v>
      </c>
      <c r="MS82" s="186"/>
      <c r="MT82" s="186"/>
      <c r="MU82" s="186">
        <f t="shared" si="483"/>
        <v>0</v>
      </c>
      <c r="MV82" s="186" t="str">
        <f t="shared" si="484"/>
        <v>69</v>
      </c>
      <c r="MW82" s="186" t="str">
        <f t="shared" si="485"/>
        <v>58</v>
      </c>
      <c r="MX82" s="186">
        <f t="shared" si="544"/>
        <v>127</v>
      </c>
      <c r="MY82" s="186">
        <f t="shared" si="545"/>
        <v>42.3333333333333</v>
      </c>
      <c r="MZ82" s="135" t="str">
        <f t="shared" si="486"/>
        <v>D</v>
      </c>
      <c r="NA82" s="151" t="str">
        <f>VLOOKUP(RANK(MY82,$MY$10:$MY$109),Sheet1!$A$381:$B$480,2,FALSE)</f>
        <v>19th</v>
      </c>
      <c r="NB82" s="186"/>
      <c r="NC82" s="186"/>
      <c r="ND82" s="186">
        <f t="shared" si="487"/>
        <v>0</v>
      </c>
      <c r="NE82" s="186" t="str">
        <f t="shared" si="488"/>
        <v>39</v>
      </c>
      <c r="NF82" s="186" t="str">
        <f t="shared" si="489"/>
        <v>51</v>
      </c>
      <c r="NG82" s="186">
        <f t="shared" si="546"/>
        <v>90</v>
      </c>
      <c r="NH82" s="186">
        <f t="shared" si="547"/>
        <v>30</v>
      </c>
      <c r="NI82" s="135" t="str">
        <f t="shared" si="490"/>
        <v>F</v>
      </c>
      <c r="NJ82" s="151" t="str">
        <f>VLOOKUP(RANK(NH82,$NH$10:$NH$109),Sheet1!$A$381:$B$480,2,FALSE)</f>
        <v>23rd</v>
      </c>
      <c r="NK82" s="186"/>
      <c r="NL82" s="186"/>
      <c r="NM82" s="186">
        <f t="shared" si="491"/>
        <v>0</v>
      </c>
      <c r="NN82" s="186" t="str">
        <f t="shared" si="492"/>
        <v>70</v>
      </c>
      <c r="NO82" s="186" t="str">
        <f t="shared" si="493"/>
        <v>78</v>
      </c>
      <c r="NP82" s="186">
        <f t="shared" si="548"/>
        <v>148</v>
      </c>
      <c r="NQ82" s="186">
        <f t="shared" si="494"/>
        <v>49.3333333333333</v>
      </c>
      <c r="NR82" s="135" t="str">
        <f t="shared" si="495"/>
        <v>D</v>
      </c>
      <c r="NS82" s="151" t="str">
        <f>VLOOKUP(RANK(NQ82,$NQ$10:$NQ$109),Sheet1!$A$381:$B$480,2,FALSE)</f>
        <v>16th</v>
      </c>
      <c r="NT82" s="186"/>
      <c r="NU82" s="186"/>
      <c r="NV82" s="186">
        <f t="shared" si="496"/>
        <v>0</v>
      </c>
      <c r="NW82" s="186" t="str">
        <f t="shared" si="497"/>
        <v>0</v>
      </c>
      <c r="NX82" s="186" t="str">
        <f t="shared" si="498"/>
        <v>0</v>
      </c>
      <c r="NY82" s="186">
        <f t="shared" si="549"/>
        <v>0</v>
      </c>
      <c r="NZ82" s="186">
        <f t="shared" si="499"/>
        <v>0</v>
      </c>
      <c r="OA82" s="135" t="str">
        <f t="shared" si="500"/>
        <v>F</v>
      </c>
      <c r="OB82" s="151" t="str">
        <f>VLOOKUP(RANK(NZ82,$NZ$10:$NZ$109),Sheet1!$A$381:$B$480,2,FALSE)</f>
        <v>1st</v>
      </c>
      <c r="OC82" s="186"/>
      <c r="OD82" s="186"/>
      <c r="OE82" s="186">
        <f t="shared" si="501"/>
        <v>0</v>
      </c>
      <c r="OF82" s="186" t="str">
        <f t="shared" si="502"/>
        <v>0</v>
      </c>
      <c r="OG82" s="186" t="str">
        <f t="shared" si="503"/>
        <v>0</v>
      </c>
      <c r="OH82" s="186">
        <f t="shared" si="550"/>
        <v>0</v>
      </c>
      <c r="OI82" s="186">
        <f t="shared" si="504"/>
        <v>0</v>
      </c>
      <c r="OJ82" s="135" t="str">
        <f t="shared" si="505"/>
        <v>F</v>
      </c>
      <c r="OK82" s="151" t="str">
        <f>VLOOKUP(RANK(OI82,$OI$10:$OI$109),Sheet1!$A$381:$B$480,2,FALSE)</f>
        <v>1st</v>
      </c>
      <c r="OL82" s="151"/>
      <c r="OM82" s="151"/>
      <c r="ON82" s="151">
        <f t="shared" si="551"/>
        <v>0</v>
      </c>
      <c r="OO82" s="151" t="str">
        <f t="shared" si="552"/>
        <v>0</v>
      </c>
      <c r="OP82" s="151" t="str">
        <f t="shared" si="553"/>
        <v>0</v>
      </c>
      <c r="OQ82" s="151">
        <f t="shared" si="554"/>
        <v>0</v>
      </c>
      <c r="OR82" s="151">
        <f t="shared" si="555"/>
        <v>0</v>
      </c>
      <c r="OS82" s="135" t="str">
        <f t="shared" si="506"/>
        <v>F</v>
      </c>
      <c r="OT82" s="151" t="str">
        <f>VLOOKUP(RANK(OR82,$OI$10:$OI$109),Sheet1!$A$381:$B$480,2,FALSE)</f>
        <v>1st</v>
      </c>
      <c r="OU82" s="151">
        <f t="shared" si="556"/>
        <v>453.66666666666703</v>
      </c>
      <c r="OV82" s="151">
        <f t="shared" si="557"/>
        <v>26.686274509803901</v>
      </c>
      <c r="OW82" s="151" t="str">
        <f>VLOOKUP(RANK(OV82,$OV$10:$OV$109),Sheet1!$A$381:$B$480,2,FALSE)</f>
        <v>26th</v>
      </c>
      <c r="OX82" s="151"/>
      <c r="OY82" s="186"/>
      <c r="OZ82" s="186"/>
      <c r="PA82" s="186"/>
      <c r="PB82" s="186"/>
    </row>
    <row r="83" spans="1:418" s="118" customFormat="1" ht="18.75">
      <c r="A83" s="131">
        <v>74</v>
      </c>
      <c r="B83" s="132" t="s">
        <v>173</v>
      </c>
      <c r="C83" s="133" t="s">
        <v>97</v>
      </c>
      <c r="D83" s="134">
        <v>21</v>
      </c>
      <c r="E83" s="134">
        <v>40</v>
      </c>
      <c r="F83" s="137">
        <f t="shared" si="315"/>
        <v>61</v>
      </c>
      <c r="G83" s="137">
        <f t="shared" si="316"/>
        <v>61</v>
      </c>
      <c r="H83" s="135" t="str">
        <f t="shared" si="507"/>
        <v>B</v>
      </c>
      <c r="I83" s="135" t="str">
        <f>VLOOKUP(RANK(G83,$G$10:$G$109),Sheet1!$A$381:$B$480,2,FALSE)</f>
        <v>80th</v>
      </c>
      <c r="J83" s="134">
        <v>34</v>
      </c>
      <c r="K83" s="134">
        <v>38</v>
      </c>
      <c r="L83" s="137">
        <f t="shared" si="317"/>
        <v>72</v>
      </c>
      <c r="M83" s="137">
        <f t="shared" si="318"/>
        <v>72</v>
      </c>
      <c r="N83" s="135" t="str">
        <f t="shared" si="319"/>
        <v>B</v>
      </c>
      <c r="O83" s="141" t="str">
        <f>VLOOKUP(RANK(M83,$M$10:$M$109),Sheet1!$A$381:$B$480,2,FALSE)</f>
        <v>10th</v>
      </c>
      <c r="P83" s="144">
        <v>35</v>
      </c>
      <c r="Q83" s="144">
        <v>25</v>
      </c>
      <c r="R83" s="147">
        <f t="shared" si="320"/>
        <v>60</v>
      </c>
      <c r="S83" s="137">
        <f t="shared" si="321"/>
        <v>60</v>
      </c>
      <c r="T83" s="135" t="str">
        <f t="shared" si="322"/>
        <v>B</v>
      </c>
      <c r="U83" s="135" t="str">
        <f>VLOOKUP(RANK(S83,$S$10:$S$109),Sheet1!$A$381:$B$480,2,FALSE)</f>
        <v>13th</v>
      </c>
      <c r="V83" s="134">
        <v>30</v>
      </c>
      <c r="W83" s="134">
        <v>51</v>
      </c>
      <c r="X83" s="137">
        <f t="shared" si="559"/>
        <v>81</v>
      </c>
      <c r="Y83" s="137">
        <f t="shared" si="558"/>
        <v>81</v>
      </c>
      <c r="Z83" s="135" t="str">
        <f t="shared" si="323"/>
        <v>A</v>
      </c>
      <c r="AA83" s="135" t="str">
        <f>VLOOKUP(RANK(Y83,$Y$10:$Y$109),Sheet1!$A$381:$B$480,2,FALSE)</f>
        <v>9th</v>
      </c>
      <c r="AB83" s="134">
        <v>29</v>
      </c>
      <c r="AC83" s="134">
        <v>26</v>
      </c>
      <c r="AD83" s="137">
        <f t="shared" si="324"/>
        <v>55</v>
      </c>
      <c r="AE83" s="137">
        <f t="shared" si="325"/>
        <v>55</v>
      </c>
      <c r="AF83" s="135" t="str">
        <f t="shared" si="326"/>
        <v>C</v>
      </c>
      <c r="AG83" s="135" t="str">
        <f>VLOOKUP(RANK(AE83,$AE$10:$AE$109),Sheet1!$A$381:$B$480,2,FALSE)</f>
        <v>60th</v>
      </c>
      <c r="AH83" s="137"/>
      <c r="AI83" s="137"/>
      <c r="AJ83" s="137">
        <f t="shared" si="327"/>
        <v>0</v>
      </c>
      <c r="AK83" s="137">
        <f t="shared" si="328"/>
        <v>0</v>
      </c>
      <c r="AL83" s="135" t="str">
        <f t="shared" si="329"/>
        <v>F</v>
      </c>
      <c r="AM83" s="135" t="str">
        <f>VLOOKUP(RANK(AK83,$AK$10:$AK$109),Sheet1!$A$381:$B$480,2,FALSE)</f>
        <v>1st</v>
      </c>
      <c r="AN83" s="134"/>
      <c r="AO83" s="134"/>
      <c r="AP83" s="137">
        <f t="shared" si="330"/>
        <v>0</v>
      </c>
      <c r="AQ83" s="137">
        <f t="shared" si="331"/>
        <v>0</v>
      </c>
      <c r="AR83" s="135" t="str">
        <f t="shared" si="332"/>
        <v>F</v>
      </c>
      <c r="AS83" s="135" t="str">
        <f>VLOOKUP(RANK(AQ83,$AQ$10:$AQ$109),Sheet1!$A$381:$B$480,2,FALSE)</f>
        <v>1st</v>
      </c>
      <c r="AT83" s="144">
        <v>20</v>
      </c>
      <c r="AU83" s="144">
        <v>30</v>
      </c>
      <c r="AV83" s="137">
        <f t="shared" si="333"/>
        <v>50</v>
      </c>
      <c r="AW83" s="137">
        <f t="shared" si="334"/>
        <v>50</v>
      </c>
      <c r="AX83" s="135" t="str">
        <f t="shared" si="335"/>
        <v>C</v>
      </c>
      <c r="AY83" s="141" t="str">
        <f>VLOOKUP(RANK(AW83,$AW$10:$AW$109),Sheet1!$A$381:$B$480,2,FALSE)</f>
        <v>58th</v>
      </c>
      <c r="AZ83" s="144">
        <v>33</v>
      </c>
      <c r="BA83" s="144">
        <v>22</v>
      </c>
      <c r="BB83" s="147">
        <f t="shared" si="336"/>
        <v>55</v>
      </c>
      <c r="BC83" s="137">
        <f t="shared" si="337"/>
        <v>55</v>
      </c>
      <c r="BD83" s="135" t="str">
        <f t="shared" si="338"/>
        <v>C</v>
      </c>
      <c r="BE83" s="135" t="str">
        <f>VLOOKUP(RANK(BC83,$BC$10:$BC$109),Sheet1!$A$381:$B$480,2,FALSE)</f>
        <v>43rd</v>
      </c>
      <c r="BF83" s="144">
        <v>22</v>
      </c>
      <c r="BG83" s="144">
        <v>32</v>
      </c>
      <c r="BH83" s="137">
        <f t="shared" si="339"/>
        <v>54</v>
      </c>
      <c r="BI83" s="137">
        <f t="shared" si="340"/>
        <v>54</v>
      </c>
      <c r="BJ83" s="135" t="str">
        <f t="shared" si="341"/>
        <v>C</v>
      </c>
      <c r="BK83" s="141" t="str">
        <f>VLOOKUP(RANK(BI83,$BI$10:$BI$109),Sheet1!$A$381:$B$480,2,FALSE)</f>
        <v>9th</v>
      </c>
      <c r="BL83" s="149">
        <v>24</v>
      </c>
      <c r="BM83" s="149">
        <v>28</v>
      </c>
      <c r="BN83" s="147">
        <f t="shared" si="342"/>
        <v>52</v>
      </c>
      <c r="BO83" s="137">
        <f t="shared" si="343"/>
        <v>52</v>
      </c>
      <c r="BP83" s="135" t="str">
        <f t="shared" si="344"/>
        <v>C</v>
      </c>
      <c r="BQ83" s="141" t="str">
        <f>VLOOKUP(RANK(BO83,$BO$10:$BO$109),Sheet1!$A$381:$B$480,2,FALSE)</f>
        <v>56th</v>
      </c>
      <c r="BR83" s="149">
        <v>28</v>
      </c>
      <c r="BS83" s="149">
        <v>43</v>
      </c>
      <c r="BT83" s="147">
        <f t="shared" si="345"/>
        <v>71</v>
      </c>
      <c r="BU83" s="137">
        <f t="shared" si="346"/>
        <v>71</v>
      </c>
      <c r="BV83" s="135" t="str">
        <f t="shared" si="347"/>
        <v>B</v>
      </c>
      <c r="BW83" s="135" t="str">
        <f>VLOOKUP(RANK(BU83,$BU$10:$BU$109),Sheet1!$A$381:$B$480,2,FALSE)</f>
        <v>9th</v>
      </c>
      <c r="BX83" s="149">
        <v>33</v>
      </c>
      <c r="BY83" s="149">
        <v>18</v>
      </c>
      <c r="BZ83" s="137">
        <f t="shared" si="348"/>
        <v>51</v>
      </c>
      <c r="CA83" s="137">
        <f t="shared" si="349"/>
        <v>51</v>
      </c>
      <c r="CB83" s="135" t="str">
        <f t="shared" si="350"/>
        <v>C</v>
      </c>
      <c r="CC83" s="135" t="str">
        <f>VLOOKUP(RANK(CA83,$CA$10:$CA$109),Sheet1!$A$381:$B$480,2,FALSE)</f>
        <v>8th</v>
      </c>
      <c r="CD83" s="149">
        <v>30</v>
      </c>
      <c r="CE83" s="149">
        <v>50</v>
      </c>
      <c r="CF83" s="137">
        <f t="shared" si="351"/>
        <v>80</v>
      </c>
      <c r="CG83" s="137">
        <f t="shared" si="352"/>
        <v>80</v>
      </c>
      <c r="CH83" s="135" t="str">
        <f t="shared" si="353"/>
        <v>A</v>
      </c>
      <c r="CI83" s="135" t="str">
        <f>VLOOKUP(RANK(CG83,$CG$10:$CG$109),Sheet1!$A$381:$B$480,2,FALSE)</f>
        <v>6th</v>
      </c>
      <c r="CJ83" s="137"/>
      <c r="CK83" s="137"/>
      <c r="CL83" s="137">
        <f t="shared" si="354"/>
        <v>0</v>
      </c>
      <c r="CM83" s="137">
        <f t="shared" si="355"/>
        <v>0</v>
      </c>
      <c r="CN83" s="135" t="str">
        <f t="shared" si="356"/>
        <v>F</v>
      </c>
      <c r="CO83" s="135" t="str">
        <f>VLOOKUP(RANK(CM83,$CM$10:$CM$109),Sheet1!$A$381:$B$480,2,FALSE)</f>
        <v>1st</v>
      </c>
      <c r="CP83" s="137"/>
      <c r="CQ83" s="137"/>
      <c r="CR83" s="137">
        <f t="shared" si="357"/>
        <v>0</v>
      </c>
      <c r="CS83" s="137">
        <f t="shared" si="358"/>
        <v>0</v>
      </c>
      <c r="CT83" s="135" t="str">
        <f t="shared" si="359"/>
        <v>F</v>
      </c>
      <c r="CU83" s="135" t="str">
        <f>VLOOKUP(RANK(CS83,$CS$10:$CS$109),Sheet1!$A$381:$B$480,2,FALSE)</f>
        <v>1st</v>
      </c>
      <c r="CV83" s="151"/>
      <c r="CW83" s="135"/>
      <c r="CX83" s="151">
        <f t="shared" si="508"/>
        <v>0</v>
      </c>
      <c r="CY83" s="151">
        <f t="shared" si="509"/>
        <v>0</v>
      </c>
      <c r="CZ83" s="135" t="str">
        <f t="shared" si="360"/>
        <v>F</v>
      </c>
      <c r="DA83" s="135" t="str">
        <f>VLOOKUP(RANK(CY83,$CY$10:$CY$109),Sheet1!$A$381:$B$480,2,FALSE)</f>
        <v>1st</v>
      </c>
      <c r="DB83" s="135"/>
      <c r="DC83" s="151">
        <f t="shared" si="510"/>
        <v>742</v>
      </c>
      <c r="DD83" s="151">
        <f t="shared" si="511"/>
        <v>43.647058823529399</v>
      </c>
      <c r="DE83" s="135" t="str">
        <f>VLOOKUP(RANK(DD83,$DD$10:$DD$109),Sheet1!$A$381:$B$480,2,FALSE)</f>
        <v>13th</v>
      </c>
      <c r="DF83" s="137"/>
      <c r="DG83" s="160">
        <f t="shared" si="361"/>
        <v>785.64705882352905</v>
      </c>
      <c r="DH83" s="119"/>
      <c r="DI83" s="162">
        <v>16</v>
      </c>
      <c r="DJ83" s="162">
        <v>49</v>
      </c>
      <c r="DK83" s="137">
        <f t="shared" si="362"/>
        <v>65</v>
      </c>
      <c r="DL83" s="137" t="str">
        <f t="shared" si="363"/>
        <v>61</v>
      </c>
      <c r="DM83" s="137">
        <f t="shared" si="364"/>
        <v>126</v>
      </c>
      <c r="DN83" s="137">
        <f t="shared" si="365"/>
        <v>63</v>
      </c>
      <c r="DO83" s="135" t="str">
        <f t="shared" si="366"/>
        <v>B</v>
      </c>
      <c r="DP83" s="135" t="str">
        <f>VLOOKUP(RANK(DN83,$DN$10:$DN$109),Sheet1!$A$381:$B$480,2,FALSE)</f>
        <v>68th</v>
      </c>
      <c r="DQ83" s="166">
        <v>29</v>
      </c>
      <c r="DR83" s="166">
        <v>22</v>
      </c>
      <c r="DS83" s="137">
        <f t="shared" si="367"/>
        <v>51</v>
      </c>
      <c r="DT83" s="137" t="str">
        <f t="shared" si="368"/>
        <v>72</v>
      </c>
      <c r="DU83" s="137">
        <f t="shared" si="369"/>
        <v>123</v>
      </c>
      <c r="DV83" s="137">
        <f t="shared" si="370"/>
        <v>61.5</v>
      </c>
      <c r="DW83" s="135" t="str">
        <f t="shared" si="371"/>
        <v>B</v>
      </c>
      <c r="DX83" s="135" t="str">
        <f>VLOOKUP(RANK(DV83,$DV$10:$DV$109),Sheet1!$A$381:$B$480,2,FALSE)</f>
        <v>12th</v>
      </c>
      <c r="DY83" s="168">
        <v>27</v>
      </c>
      <c r="DZ83" s="168">
        <v>29</v>
      </c>
      <c r="EA83" s="137">
        <f t="shared" si="372"/>
        <v>56</v>
      </c>
      <c r="EB83" s="137" t="str">
        <f t="shared" si="373"/>
        <v>60</v>
      </c>
      <c r="EC83" s="137">
        <f t="shared" si="374"/>
        <v>116</v>
      </c>
      <c r="ED83" s="137">
        <f t="shared" si="375"/>
        <v>58</v>
      </c>
      <c r="EE83" s="135" t="str">
        <f t="shared" si="376"/>
        <v>C</v>
      </c>
      <c r="EF83" s="135" t="str">
        <f>VLOOKUP(RANK(ED83,$ED$10:$ED$109),Sheet1!$A$381:$B$480,2,FALSE)</f>
        <v>12th</v>
      </c>
      <c r="EG83" s="162">
        <v>18</v>
      </c>
      <c r="EH83" s="162">
        <v>39</v>
      </c>
      <c r="EI83" s="137">
        <f t="shared" si="377"/>
        <v>57</v>
      </c>
      <c r="EJ83" s="137" t="str">
        <f t="shared" si="378"/>
        <v>81</v>
      </c>
      <c r="EK83" s="137">
        <f t="shared" si="379"/>
        <v>138</v>
      </c>
      <c r="EL83" s="137">
        <f t="shared" si="380"/>
        <v>69</v>
      </c>
      <c r="EM83" s="135" t="str">
        <f t="shared" si="381"/>
        <v>B</v>
      </c>
      <c r="EN83" s="135" t="str">
        <f>VLOOKUP(RANK(EL83,$EL$10:$EL$109),Sheet1!$A$381:$B$480,2,FALSE)</f>
        <v>11th</v>
      </c>
      <c r="EO83" s="162">
        <v>26</v>
      </c>
      <c r="EP83" s="162">
        <v>32</v>
      </c>
      <c r="EQ83" s="137">
        <f t="shared" si="382"/>
        <v>58</v>
      </c>
      <c r="ER83" s="137" t="str">
        <f t="shared" si="383"/>
        <v>55</v>
      </c>
      <c r="ES83" s="137">
        <f t="shared" si="384"/>
        <v>113</v>
      </c>
      <c r="ET83" s="137">
        <f t="shared" si="385"/>
        <v>56.5</v>
      </c>
      <c r="EU83" s="135" t="str">
        <f t="shared" si="386"/>
        <v>C</v>
      </c>
      <c r="EV83" s="135" t="str">
        <f>VLOOKUP(RANK(ET83,$ET$10:$ET$109),Sheet1!$A$381:$B$480,2,FALSE)</f>
        <v>44th</v>
      </c>
      <c r="EW83" s="137"/>
      <c r="EX83" s="137"/>
      <c r="EY83" s="137">
        <f t="shared" si="387"/>
        <v>0</v>
      </c>
      <c r="EZ83" s="137" t="str">
        <f t="shared" si="388"/>
        <v>0</v>
      </c>
      <c r="FA83" s="137">
        <f t="shared" si="389"/>
        <v>0</v>
      </c>
      <c r="FB83" s="137">
        <f t="shared" si="390"/>
        <v>0</v>
      </c>
      <c r="FC83" s="135" t="str">
        <f t="shared" si="391"/>
        <v>F</v>
      </c>
      <c r="FD83" s="135" t="str">
        <f>VLOOKUP(RANK(FB83,$FB$10:$FB$109),Sheet1!$A$381:$B$480,2,FALSE)</f>
        <v>1st</v>
      </c>
      <c r="FE83" s="137"/>
      <c r="FF83" s="137"/>
      <c r="FG83" s="137">
        <f t="shared" si="392"/>
        <v>0</v>
      </c>
      <c r="FH83" s="137" t="str">
        <f t="shared" si="393"/>
        <v>0</v>
      </c>
      <c r="FI83" s="137">
        <f t="shared" si="394"/>
        <v>0</v>
      </c>
      <c r="FJ83" s="137">
        <f t="shared" si="395"/>
        <v>0</v>
      </c>
      <c r="FK83" s="135" t="str">
        <f t="shared" si="396"/>
        <v>F</v>
      </c>
      <c r="FL83" s="135" t="str">
        <f>VLOOKUP(RANK(FJ83,$FJ$10:$FJ$109),Sheet1!$A$381:$B$480,2,FALSE)</f>
        <v>1st</v>
      </c>
      <c r="FM83" s="166">
        <v>25</v>
      </c>
      <c r="FN83" s="166">
        <v>26</v>
      </c>
      <c r="FO83" s="137">
        <f t="shared" si="397"/>
        <v>51</v>
      </c>
      <c r="FP83" s="137" t="str">
        <f t="shared" si="398"/>
        <v>50</v>
      </c>
      <c r="FQ83" s="137">
        <f t="shared" si="399"/>
        <v>101</v>
      </c>
      <c r="FR83" s="137">
        <f t="shared" si="400"/>
        <v>50.5</v>
      </c>
      <c r="FS83" s="135" t="str">
        <f t="shared" si="401"/>
        <v>C</v>
      </c>
      <c r="FT83" s="135" t="str">
        <f>VLOOKUP(RANK(FR83,$FR$10:$FR$109),Sheet1!$A$381:$B$480,2,FALSE)</f>
        <v>65th</v>
      </c>
      <c r="FU83" s="149">
        <v>31</v>
      </c>
      <c r="FV83" s="149">
        <v>28</v>
      </c>
      <c r="FW83" s="137">
        <f t="shared" si="402"/>
        <v>59</v>
      </c>
      <c r="FX83" s="137" t="str">
        <f t="shared" si="403"/>
        <v>55</v>
      </c>
      <c r="FY83" s="137">
        <f t="shared" si="512"/>
        <v>59</v>
      </c>
      <c r="FZ83" s="137">
        <f t="shared" si="404"/>
        <v>29.5</v>
      </c>
      <c r="GA83" s="135" t="str">
        <f t="shared" si="405"/>
        <v>F</v>
      </c>
      <c r="GB83" s="135" t="str">
        <f>VLOOKUP(RANK(FZ83,$FZ$10:$FZ$109),Sheet1!$A$381:$B$480,2,FALSE)</f>
        <v>25th</v>
      </c>
      <c r="GC83" s="166">
        <v>6</v>
      </c>
      <c r="GD83" s="166">
        <v>30</v>
      </c>
      <c r="GE83" s="137">
        <f t="shared" si="406"/>
        <v>36</v>
      </c>
      <c r="GF83" s="137" t="str">
        <f t="shared" si="407"/>
        <v>54</v>
      </c>
      <c r="GG83" s="135">
        <f t="shared" si="513"/>
        <v>90</v>
      </c>
      <c r="GH83" s="137">
        <f t="shared" si="514"/>
        <v>45</v>
      </c>
      <c r="GI83" s="135" t="str">
        <f t="shared" si="408"/>
        <v>D</v>
      </c>
      <c r="GJ83" s="135" t="str">
        <f>VLOOKUP(RANK(GH83,$GH$10:$GH$109),Sheet1!$A$381:$B$480,2,FALSE)</f>
        <v>28th</v>
      </c>
      <c r="GK83" s="166">
        <v>27</v>
      </c>
      <c r="GL83" s="166">
        <v>23</v>
      </c>
      <c r="GM83" s="137">
        <f t="shared" si="409"/>
        <v>50</v>
      </c>
      <c r="GN83" s="137" t="str">
        <f t="shared" si="410"/>
        <v>52</v>
      </c>
      <c r="GO83" s="135">
        <f t="shared" si="515"/>
        <v>102</v>
      </c>
      <c r="GP83" s="137">
        <f t="shared" si="411"/>
        <v>51</v>
      </c>
      <c r="GQ83" s="135" t="str">
        <f t="shared" si="412"/>
        <v>C</v>
      </c>
      <c r="GR83" s="135" t="str">
        <f>VLOOKUP(RANK(GP83,$GP$10:$GP$109),Sheet1!$A$381:$B$480,2,FALSE)</f>
        <v>16th</v>
      </c>
      <c r="GS83" s="166">
        <v>20</v>
      </c>
      <c r="GT83" s="166">
        <v>27</v>
      </c>
      <c r="GU83" s="137">
        <f t="shared" si="413"/>
        <v>47</v>
      </c>
      <c r="GV83" s="137" t="str">
        <f t="shared" si="414"/>
        <v>71</v>
      </c>
      <c r="GW83" s="137">
        <f t="shared" si="415"/>
        <v>118</v>
      </c>
      <c r="GX83" s="137">
        <f t="shared" si="416"/>
        <v>59</v>
      </c>
      <c r="GY83" s="135" t="str">
        <f t="shared" si="417"/>
        <v>C</v>
      </c>
      <c r="GZ83" s="135" t="str">
        <f>VLOOKUP(RANK(GX83,$GX$10:$GX$109),Sheet1!$A$381:$B$480,2,FALSE)</f>
        <v>25th</v>
      </c>
      <c r="HA83" s="166">
        <v>29</v>
      </c>
      <c r="HB83" s="166">
        <v>31</v>
      </c>
      <c r="HC83" s="137">
        <f t="shared" si="418"/>
        <v>60</v>
      </c>
      <c r="HD83" s="137" t="str">
        <f t="shared" si="419"/>
        <v>51</v>
      </c>
      <c r="HE83" s="137">
        <f t="shared" si="420"/>
        <v>111</v>
      </c>
      <c r="HF83" s="137">
        <f t="shared" si="421"/>
        <v>55.5</v>
      </c>
      <c r="HG83" s="135" t="str">
        <f t="shared" si="422"/>
        <v>C</v>
      </c>
      <c r="HH83" s="135" t="str">
        <f>VLOOKUP(RANK(HF83,$HF$10:$HF$109),Sheet1!$A$381:$B$480,2,FALSE)</f>
        <v>4th</v>
      </c>
      <c r="HI83" s="149">
        <v>26</v>
      </c>
      <c r="HJ83" s="149">
        <v>53</v>
      </c>
      <c r="HK83" s="137">
        <f t="shared" si="423"/>
        <v>79</v>
      </c>
      <c r="HL83" s="137" t="str">
        <f t="shared" si="424"/>
        <v>80</v>
      </c>
      <c r="HM83" s="137">
        <f t="shared" si="425"/>
        <v>159</v>
      </c>
      <c r="HN83" s="137">
        <f t="shared" si="426"/>
        <v>79.5</v>
      </c>
      <c r="HO83" s="135" t="str">
        <f t="shared" si="427"/>
        <v>A</v>
      </c>
      <c r="HP83" s="135" t="str">
        <f>VLOOKUP(RANK(HN83,$HN$10:$HN$109),Sheet1!$A$381:$B$480,2,FALSE)</f>
        <v>4th</v>
      </c>
      <c r="HQ83" s="137"/>
      <c r="HR83" s="137"/>
      <c r="HS83" s="137">
        <f t="shared" si="428"/>
        <v>0</v>
      </c>
      <c r="HT83" s="137" t="str">
        <f t="shared" si="429"/>
        <v>0</v>
      </c>
      <c r="HU83" s="137">
        <f t="shared" si="430"/>
        <v>0</v>
      </c>
      <c r="HV83" s="137">
        <f t="shared" si="431"/>
        <v>0</v>
      </c>
      <c r="HW83" s="135" t="str">
        <f t="shared" si="432"/>
        <v>F</v>
      </c>
      <c r="HX83" s="135" t="str">
        <f>VLOOKUP(RANK(HV83,$HV$10:$HV$109),Sheet1!$A$381:$B$480,2,FALSE)</f>
        <v>1st</v>
      </c>
      <c r="HY83" s="137"/>
      <c r="HZ83" s="137"/>
      <c r="IA83" s="137">
        <f t="shared" si="433"/>
        <v>0</v>
      </c>
      <c r="IB83" s="137" t="str">
        <f t="shared" si="434"/>
        <v>0</v>
      </c>
      <c r="IC83" s="137">
        <f t="shared" si="435"/>
        <v>0</v>
      </c>
      <c r="ID83" s="137">
        <f t="shared" si="436"/>
        <v>0</v>
      </c>
      <c r="IE83" s="135" t="str">
        <f t="shared" si="437"/>
        <v>F</v>
      </c>
      <c r="IF83" s="135" t="str">
        <f>VLOOKUP(RANK(ID83,$ID$10:$ID$109),Sheet1!$A$381:$B$480,2,FALSE)</f>
        <v>1st</v>
      </c>
      <c r="IG83" s="135"/>
      <c r="IH83" s="135"/>
      <c r="II83" s="135">
        <f t="shared" si="516"/>
        <v>0</v>
      </c>
      <c r="IJ83" s="135" t="str">
        <f t="shared" si="517"/>
        <v>0</v>
      </c>
      <c r="IK83" s="135">
        <f t="shared" si="518"/>
        <v>0</v>
      </c>
      <c r="IL83" s="135">
        <f t="shared" si="519"/>
        <v>0</v>
      </c>
      <c r="IM83" s="135" t="str">
        <f t="shared" si="438"/>
        <v>F</v>
      </c>
      <c r="IN83" s="135" t="str">
        <f>VLOOKUP(RANK(IL83,$IL$10:$IL$109),Sheet1!$A$381:$B$480,2,FALSE)</f>
        <v>1st</v>
      </c>
      <c r="IO83" s="135">
        <f t="shared" si="520"/>
        <v>678</v>
      </c>
      <c r="IP83" s="177">
        <f t="shared" si="521"/>
        <v>39.882352941176499</v>
      </c>
      <c r="IQ83" s="135" t="str">
        <f>VLOOKUP(RANK(IP83,$IP$10:$IP$109),Sheet1!$A$381:$B$480,2,FALSE)</f>
        <v>17th</v>
      </c>
      <c r="IR83" s="178"/>
      <c r="IS83" s="137"/>
      <c r="IT83" s="137"/>
      <c r="IU83" s="137"/>
      <c r="IV83" s="137"/>
      <c r="IW83" s="181"/>
      <c r="IX83" s="184"/>
      <c r="IY83" s="186"/>
      <c r="IZ83" s="186">
        <f t="shared" si="439"/>
        <v>0</v>
      </c>
      <c r="JA83" s="186" t="str">
        <f t="shared" si="440"/>
        <v>61</v>
      </c>
      <c r="JB83" s="186" t="str">
        <f t="shared" si="441"/>
        <v>65</v>
      </c>
      <c r="JC83" s="186">
        <f t="shared" si="522"/>
        <v>126</v>
      </c>
      <c r="JD83" s="186">
        <f t="shared" si="523"/>
        <v>42</v>
      </c>
      <c r="JE83" s="135" t="str">
        <f t="shared" si="442"/>
        <v>D</v>
      </c>
      <c r="JF83" s="151" t="str">
        <f>VLOOKUP(RANK(JD83,$JD$10:$JD$109),Sheet1!$A$381:$B$480,2,FALSE)</f>
        <v>68th</v>
      </c>
      <c r="JG83" s="186"/>
      <c r="JH83" s="186"/>
      <c r="JI83" s="186">
        <f t="shared" si="443"/>
        <v>0</v>
      </c>
      <c r="JJ83" s="186" t="str">
        <f t="shared" si="444"/>
        <v>72</v>
      </c>
      <c r="JK83" s="186" t="str">
        <f t="shared" si="445"/>
        <v>51</v>
      </c>
      <c r="JL83" s="186">
        <f t="shared" si="524"/>
        <v>123</v>
      </c>
      <c r="JM83" s="186">
        <f t="shared" si="525"/>
        <v>41</v>
      </c>
      <c r="JN83" s="135" t="str">
        <f t="shared" si="446"/>
        <v>D</v>
      </c>
      <c r="JO83" s="151" t="str">
        <f>VLOOKUP(RANK(JM83,$JM$10:$JM$109),Sheet1!$A$381:$B$480,2,FALSE)</f>
        <v>12th</v>
      </c>
      <c r="JP83" s="186"/>
      <c r="JQ83" s="186"/>
      <c r="JR83" s="186">
        <f t="shared" si="447"/>
        <v>0</v>
      </c>
      <c r="JS83" s="186" t="str">
        <f t="shared" si="448"/>
        <v>60</v>
      </c>
      <c r="JT83" s="186" t="str">
        <f t="shared" si="449"/>
        <v>56</v>
      </c>
      <c r="JU83" s="186">
        <f t="shared" si="526"/>
        <v>116</v>
      </c>
      <c r="JV83" s="186">
        <f t="shared" si="527"/>
        <v>38.6666666666667</v>
      </c>
      <c r="JW83" s="135" t="str">
        <f t="shared" si="450"/>
        <v>E</v>
      </c>
      <c r="JX83" s="151" t="str">
        <f>VLOOKUP(RANK(JV83,$JV$10:$JV$109),Sheet1!$A$381:$B$480,2,FALSE)</f>
        <v>12th</v>
      </c>
      <c r="JY83" s="186"/>
      <c r="JZ83" s="186"/>
      <c r="KA83" s="186">
        <f t="shared" si="451"/>
        <v>0</v>
      </c>
      <c r="KB83" s="186" t="str">
        <f t="shared" si="452"/>
        <v>81</v>
      </c>
      <c r="KC83" s="186" t="str">
        <f t="shared" si="453"/>
        <v>57</v>
      </c>
      <c r="KD83" s="186">
        <f t="shared" si="528"/>
        <v>138</v>
      </c>
      <c r="KE83" s="186">
        <f t="shared" si="529"/>
        <v>46</v>
      </c>
      <c r="KF83" s="135" t="str">
        <f t="shared" si="454"/>
        <v>D</v>
      </c>
      <c r="KG83" s="151" t="str">
        <f>VLOOKUP(RANK(KE83,$KE$10:$KE$109),Sheet1!$A$381:$B$480,2,FALSE)</f>
        <v>11th</v>
      </c>
      <c r="KH83" s="186"/>
      <c r="KI83" s="186"/>
      <c r="KJ83" s="186">
        <f t="shared" si="455"/>
        <v>0</v>
      </c>
      <c r="KK83" s="186" t="str">
        <f t="shared" si="456"/>
        <v>55</v>
      </c>
      <c r="KL83" s="186" t="str">
        <f t="shared" si="457"/>
        <v>58</v>
      </c>
      <c r="KM83" s="186">
        <f t="shared" si="530"/>
        <v>113</v>
      </c>
      <c r="KN83" s="186">
        <f t="shared" si="531"/>
        <v>37.6666666666667</v>
      </c>
      <c r="KO83" s="135" t="str">
        <f t="shared" si="458"/>
        <v>E</v>
      </c>
      <c r="KP83" s="151" t="str">
        <f>VLOOKUP(RANK(KN83,$KN$10:$KN$109),Sheet1!$A$381:$B$480,2,FALSE)</f>
        <v>44th</v>
      </c>
      <c r="KQ83" s="186"/>
      <c r="KR83" s="186"/>
      <c r="KS83" s="186">
        <f t="shared" si="459"/>
        <v>0</v>
      </c>
      <c r="KT83" s="186" t="str">
        <f t="shared" si="460"/>
        <v>0</v>
      </c>
      <c r="KU83" s="186" t="str">
        <f t="shared" si="461"/>
        <v>0</v>
      </c>
      <c r="KV83" s="186">
        <f t="shared" si="532"/>
        <v>0</v>
      </c>
      <c r="KW83" s="186">
        <f t="shared" si="533"/>
        <v>0</v>
      </c>
      <c r="KX83" s="135" t="str">
        <f t="shared" si="462"/>
        <v>F</v>
      </c>
      <c r="KY83" s="151" t="str">
        <f>VLOOKUP(RANK(KW83,$KW$10:$KW$109),Sheet1!$A$381:$B$480,2,FALSE)</f>
        <v>1st</v>
      </c>
      <c r="KZ83" s="186"/>
      <c r="LA83" s="186"/>
      <c r="LB83" s="186">
        <f t="shared" si="463"/>
        <v>0</v>
      </c>
      <c r="LC83" s="186" t="str">
        <f t="shared" si="464"/>
        <v>0</v>
      </c>
      <c r="LD83" s="186" t="str">
        <f t="shared" si="465"/>
        <v>0</v>
      </c>
      <c r="LE83" s="186">
        <f t="shared" si="534"/>
        <v>0</v>
      </c>
      <c r="LF83" s="186">
        <f t="shared" si="535"/>
        <v>0</v>
      </c>
      <c r="LG83" s="135" t="str">
        <f t="shared" si="466"/>
        <v>F</v>
      </c>
      <c r="LH83" s="151" t="str">
        <f>VLOOKUP(RANK(LF83,$LF$10:$LF$109),Sheet1!$A$381:$B$480,2,FALSE)</f>
        <v>1st</v>
      </c>
      <c r="LI83" s="186"/>
      <c r="LJ83" s="186"/>
      <c r="LK83" s="186">
        <f t="shared" si="467"/>
        <v>0</v>
      </c>
      <c r="LL83" s="186" t="str">
        <f t="shared" si="468"/>
        <v>50</v>
      </c>
      <c r="LM83" s="186" t="str">
        <f t="shared" si="469"/>
        <v>51</v>
      </c>
      <c r="LN83" s="186">
        <f t="shared" si="536"/>
        <v>101</v>
      </c>
      <c r="LO83" s="186">
        <f t="shared" si="537"/>
        <v>33.6666666666667</v>
      </c>
      <c r="LP83" s="135" t="str">
        <f t="shared" si="470"/>
        <v>F</v>
      </c>
      <c r="LQ83" s="151" t="str">
        <f>VLOOKUP(RANK(LO83,$LO$10:$LO$109),Sheet1!$A$381:$B$480,2,FALSE)</f>
        <v>65th</v>
      </c>
      <c r="LR83" s="186"/>
      <c r="LS83" s="186"/>
      <c r="LT83" s="186">
        <f t="shared" si="471"/>
        <v>0</v>
      </c>
      <c r="LU83" s="186" t="str">
        <f t="shared" si="472"/>
        <v>55</v>
      </c>
      <c r="LV83" s="186" t="str">
        <f t="shared" si="473"/>
        <v>59</v>
      </c>
      <c r="LW83" s="186">
        <f t="shared" si="538"/>
        <v>114</v>
      </c>
      <c r="LX83" s="186">
        <f t="shared" si="539"/>
        <v>38</v>
      </c>
      <c r="LY83" s="135" t="str">
        <f t="shared" si="474"/>
        <v>E</v>
      </c>
      <c r="LZ83" s="151" t="str">
        <f>VLOOKUP(RANK(LX83,$LX$10:$LX$109),Sheet1!$A$381:$B$480,2,FALSE)</f>
        <v>31st</v>
      </c>
      <c r="MA83" s="186"/>
      <c r="MB83" s="186"/>
      <c r="MC83" s="186">
        <f t="shared" si="475"/>
        <v>0</v>
      </c>
      <c r="MD83" s="186" t="str">
        <f t="shared" si="476"/>
        <v>54</v>
      </c>
      <c r="ME83" s="186" t="str">
        <f t="shared" si="477"/>
        <v>36</v>
      </c>
      <c r="MF83" s="183">
        <f t="shared" si="540"/>
        <v>90</v>
      </c>
      <c r="MG83" s="151">
        <f t="shared" si="541"/>
        <v>30</v>
      </c>
      <c r="MH83" s="135" t="str">
        <f t="shared" si="478"/>
        <v>F</v>
      </c>
      <c r="MI83" s="151" t="str">
        <f>VLOOKUP(RANK(MG83,$MG$10:$MG$109),Sheet1!$A$381:$B$480,2,FALSE)</f>
        <v>28th</v>
      </c>
      <c r="MJ83" s="186"/>
      <c r="MK83" s="186"/>
      <c r="ML83" s="186">
        <f t="shared" si="479"/>
        <v>0</v>
      </c>
      <c r="MM83" s="186" t="str">
        <f t="shared" si="480"/>
        <v>52</v>
      </c>
      <c r="MN83" s="186" t="str">
        <f t="shared" si="481"/>
        <v>50</v>
      </c>
      <c r="MO83" s="186">
        <f t="shared" si="542"/>
        <v>102</v>
      </c>
      <c r="MP83" s="186">
        <f t="shared" si="543"/>
        <v>34</v>
      </c>
      <c r="MQ83" s="135" t="str">
        <f t="shared" si="482"/>
        <v>F</v>
      </c>
      <c r="MR83" s="151" t="str">
        <f>VLOOKUP(RANK(MP83,$MP$10:$MP$109),Sheet1!$A$381:$B$480,2,FALSE)</f>
        <v>16th</v>
      </c>
      <c r="MS83" s="186"/>
      <c r="MT83" s="186"/>
      <c r="MU83" s="186">
        <f t="shared" si="483"/>
        <v>0</v>
      </c>
      <c r="MV83" s="186" t="str">
        <f t="shared" si="484"/>
        <v>71</v>
      </c>
      <c r="MW83" s="186" t="str">
        <f t="shared" si="485"/>
        <v>47</v>
      </c>
      <c r="MX83" s="186">
        <f t="shared" si="544"/>
        <v>118</v>
      </c>
      <c r="MY83" s="186">
        <f t="shared" si="545"/>
        <v>39.3333333333333</v>
      </c>
      <c r="MZ83" s="135" t="str">
        <f t="shared" si="486"/>
        <v>E</v>
      </c>
      <c r="NA83" s="151" t="str">
        <f>VLOOKUP(RANK(MY83,$MY$10:$MY$109),Sheet1!$A$381:$B$480,2,FALSE)</f>
        <v>25th</v>
      </c>
      <c r="NB83" s="186"/>
      <c r="NC83" s="186"/>
      <c r="ND83" s="186">
        <f t="shared" si="487"/>
        <v>0</v>
      </c>
      <c r="NE83" s="186" t="str">
        <f t="shared" si="488"/>
        <v>51</v>
      </c>
      <c r="NF83" s="186" t="str">
        <f t="shared" si="489"/>
        <v>60</v>
      </c>
      <c r="NG83" s="186">
        <f t="shared" si="546"/>
        <v>111</v>
      </c>
      <c r="NH83" s="186">
        <f t="shared" si="547"/>
        <v>37</v>
      </c>
      <c r="NI83" s="135" t="str">
        <f t="shared" si="490"/>
        <v>E</v>
      </c>
      <c r="NJ83" s="151" t="str">
        <f>VLOOKUP(RANK(NH83,$NH$10:$NH$109),Sheet1!$A$381:$B$480,2,FALSE)</f>
        <v>4th</v>
      </c>
      <c r="NK83" s="186"/>
      <c r="NL83" s="186"/>
      <c r="NM83" s="186">
        <f t="shared" si="491"/>
        <v>0</v>
      </c>
      <c r="NN83" s="186" t="str">
        <f t="shared" si="492"/>
        <v>80</v>
      </c>
      <c r="NO83" s="186" t="str">
        <f t="shared" si="493"/>
        <v>79</v>
      </c>
      <c r="NP83" s="186">
        <f t="shared" si="548"/>
        <v>159</v>
      </c>
      <c r="NQ83" s="186">
        <f t="shared" si="494"/>
        <v>53</v>
      </c>
      <c r="NR83" s="135" t="str">
        <f t="shared" si="495"/>
        <v>C</v>
      </c>
      <c r="NS83" s="151" t="str">
        <f>VLOOKUP(RANK(NQ83,$NQ$10:$NQ$109),Sheet1!$A$381:$B$480,2,FALSE)</f>
        <v>4th</v>
      </c>
      <c r="NT83" s="186"/>
      <c r="NU83" s="186"/>
      <c r="NV83" s="186">
        <f t="shared" si="496"/>
        <v>0</v>
      </c>
      <c r="NW83" s="186" t="str">
        <f t="shared" si="497"/>
        <v>0</v>
      </c>
      <c r="NX83" s="186" t="str">
        <f t="shared" si="498"/>
        <v>0</v>
      </c>
      <c r="NY83" s="186">
        <f t="shared" si="549"/>
        <v>0</v>
      </c>
      <c r="NZ83" s="186">
        <f t="shared" si="499"/>
        <v>0</v>
      </c>
      <c r="OA83" s="135" t="str">
        <f t="shared" si="500"/>
        <v>F</v>
      </c>
      <c r="OB83" s="151" t="str">
        <f>VLOOKUP(RANK(NZ83,$NZ$10:$NZ$109),Sheet1!$A$381:$B$480,2,FALSE)</f>
        <v>1st</v>
      </c>
      <c r="OC83" s="186"/>
      <c r="OD83" s="186"/>
      <c r="OE83" s="186">
        <f t="shared" si="501"/>
        <v>0</v>
      </c>
      <c r="OF83" s="186" t="str">
        <f t="shared" si="502"/>
        <v>0</v>
      </c>
      <c r="OG83" s="186" t="str">
        <f t="shared" si="503"/>
        <v>0</v>
      </c>
      <c r="OH83" s="186">
        <f t="shared" si="550"/>
        <v>0</v>
      </c>
      <c r="OI83" s="186">
        <f t="shared" si="504"/>
        <v>0</v>
      </c>
      <c r="OJ83" s="135" t="str">
        <f t="shared" si="505"/>
        <v>F</v>
      </c>
      <c r="OK83" s="151" t="str">
        <f>VLOOKUP(RANK(OI83,$OI$10:$OI$109),Sheet1!$A$381:$B$480,2,FALSE)</f>
        <v>1st</v>
      </c>
      <c r="OL83" s="151"/>
      <c r="OM83" s="151"/>
      <c r="ON83" s="151">
        <f t="shared" si="551"/>
        <v>0</v>
      </c>
      <c r="OO83" s="151" t="str">
        <f t="shared" si="552"/>
        <v>0</v>
      </c>
      <c r="OP83" s="151" t="str">
        <f t="shared" si="553"/>
        <v>0</v>
      </c>
      <c r="OQ83" s="151">
        <f t="shared" si="554"/>
        <v>0</v>
      </c>
      <c r="OR83" s="151">
        <f t="shared" si="555"/>
        <v>0</v>
      </c>
      <c r="OS83" s="135" t="str">
        <f t="shared" si="506"/>
        <v>F</v>
      </c>
      <c r="OT83" s="151" t="str">
        <f>VLOOKUP(RANK(OR83,$OI$10:$OI$109),Sheet1!$A$381:$B$480,2,FALSE)</f>
        <v>1st</v>
      </c>
      <c r="OU83" s="151">
        <f t="shared" si="556"/>
        <v>470.33333333333297</v>
      </c>
      <c r="OV83" s="151">
        <f t="shared" si="557"/>
        <v>27.6666666666667</v>
      </c>
      <c r="OW83" s="151" t="str">
        <f>VLOOKUP(RANK(OV83,$OV$10:$OV$109),Sheet1!$A$381:$B$480,2,FALSE)</f>
        <v>19th</v>
      </c>
      <c r="OX83" s="151"/>
      <c r="OY83" s="186"/>
      <c r="OZ83" s="186"/>
      <c r="PA83" s="186"/>
      <c r="PB83" s="186"/>
    </row>
    <row r="84" spans="1:418" s="118" customFormat="1" ht="18.75">
      <c r="A84" s="131">
        <v>75</v>
      </c>
      <c r="B84" s="132" t="s">
        <v>174</v>
      </c>
      <c r="C84" s="133" t="s">
        <v>97</v>
      </c>
      <c r="D84" s="134">
        <v>25</v>
      </c>
      <c r="E84" s="134">
        <v>49</v>
      </c>
      <c r="F84" s="137">
        <f t="shared" si="315"/>
        <v>74</v>
      </c>
      <c r="G84" s="137">
        <f t="shared" si="316"/>
        <v>74</v>
      </c>
      <c r="H84" s="135" t="str">
        <f t="shared" si="507"/>
        <v>B</v>
      </c>
      <c r="I84" s="135" t="str">
        <f>VLOOKUP(RANK(G84,$G$10:$G$109),Sheet1!$A$381:$B$480,2,FALSE)</f>
        <v>22nd</v>
      </c>
      <c r="J84" s="134">
        <v>28</v>
      </c>
      <c r="K84" s="134">
        <v>25</v>
      </c>
      <c r="L84" s="137">
        <f t="shared" si="317"/>
        <v>53</v>
      </c>
      <c r="M84" s="137">
        <f t="shared" si="318"/>
        <v>53</v>
      </c>
      <c r="N84" s="135" t="str">
        <f t="shared" si="319"/>
        <v>C</v>
      </c>
      <c r="O84" s="141" t="str">
        <f>VLOOKUP(RANK(M84,$M$10:$M$109),Sheet1!$A$381:$B$480,2,FALSE)</f>
        <v>45th</v>
      </c>
      <c r="P84" s="144">
        <v>25</v>
      </c>
      <c r="Q84" s="144">
        <v>5</v>
      </c>
      <c r="R84" s="147">
        <f t="shared" si="320"/>
        <v>30</v>
      </c>
      <c r="S84" s="137">
        <f t="shared" si="321"/>
        <v>30</v>
      </c>
      <c r="T84" s="135" t="str">
        <f t="shared" si="322"/>
        <v>F</v>
      </c>
      <c r="U84" s="135" t="str">
        <f>VLOOKUP(RANK(S84,$S$10:$S$109),Sheet1!$A$381:$B$480,2,FALSE)</f>
        <v>80th</v>
      </c>
      <c r="V84" s="134">
        <v>31</v>
      </c>
      <c r="W84" s="134">
        <v>20</v>
      </c>
      <c r="X84" s="137">
        <f t="shared" si="559"/>
        <v>51</v>
      </c>
      <c r="Y84" s="137">
        <f t="shared" si="558"/>
        <v>51</v>
      </c>
      <c r="Z84" s="135" t="str">
        <f t="shared" si="323"/>
        <v>C</v>
      </c>
      <c r="AA84" s="135" t="str">
        <f>VLOOKUP(RANK(Y84,$Y$10:$Y$109),Sheet1!$A$381:$B$480,2,FALSE)</f>
        <v>54th</v>
      </c>
      <c r="AB84" s="134">
        <v>29</v>
      </c>
      <c r="AC84" s="134">
        <v>5</v>
      </c>
      <c r="AD84" s="137">
        <f t="shared" si="324"/>
        <v>34</v>
      </c>
      <c r="AE84" s="137">
        <f t="shared" si="325"/>
        <v>34</v>
      </c>
      <c r="AF84" s="135" t="str">
        <f t="shared" si="326"/>
        <v>F</v>
      </c>
      <c r="AG84" s="135" t="str">
        <f>VLOOKUP(RANK(AE84,$AE$10:$AE$109),Sheet1!$A$381:$B$480,2,FALSE)</f>
        <v>85th</v>
      </c>
      <c r="AH84" s="137"/>
      <c r="AI84" s="137"/>
      <c r="AJ84" s="137">
        <f t="shared" si="327"/>
        <v>0</v>
      </c>
      <c r="AK84" s="137">
        <f t="shared" si="328"/>
        <v>0</v>
      </c>
      <c r="AL84" s="135" t="str">
        <f t="shared" si="329"/>
        <v>F</v>
      </c>
      <c r="AM84" s="135" t="str">
        <f>VLOOKUP(RANK(AK84,$AK$10:$AK$109),Sheet1!$A$381:$B$480,2,FALSE)</f>
        <v>1st</v>
      </c>
      <c r="AN84" s="134"/>
      <c r="AO84" s="134"/>
      <c r="AP84" s="137">
        <f t="shared" si="330"/>
        <v>0</v>
      </c>
      <c r="AQ84" s="137">
        <f t="shared" si="331"/>
        <v>0</v>
      </c>
      <c r="AR84" s="135" t="str">
        <f t="shared" si="332"/>
        <v>F</v>
      </c>
      <c r="AS84" s="135" t="str">
        <f>VLOOKUP(RANK(AQ84,$AQ$10:$AQ$109),Sheet1!$A$381:$B$480,2,FALSE)</f>
        <v>1st</v>
      </c>
      <c r="AT84" s="144">
        <v>24</v>
      </c>
      <c r="AU84" s="144">
        <v>28</v>
      </c>
      <c r="AV84" s="137">
        <f t="shared" si="333"/>
        <v>52</v>
      </c>
      <c r="AW84" s="137">
        <f t="shared" si="334"/>
        <v>52</v>
      </c>
      <c r="AX84" s="135" t="str">
        <f t="shared" si="335"/>
        <v>C</v>
      </c>
      <c r="AY84" s="141" t="str">
        <f>VLOOKUP(RANK(AW84,$AW$10:$AW$109),Sheet1!$A$381:$B$480,2,FALSE)</f>
        <v>34th</v>
      </c>
      <c r="AZ84" s="144">
        <v>33</v>
      </c>
      <c r="BA84" s="144">
        <v>24</v>
      </c>
      <c r="BB84" s="147">
        <f t="shared" si="336"/>
        <v>57</v>
      </c>
      <c r="BC84" s="137">
        <f t="shared" si="337"/>
        <v>57</v>
      </c>
      <c r="BD84" s="135" t="str">
        <f t="shared" si="338"/>
        <v>C</v>
      </c>
      <c r="BE84" s="135" t="str">
        <f>VLOOKUP(RANK(BC84,$BC$10:$BC$109),Sheet1!$A$381:$B$480,2,FALSE)</f>
        <v>40th</v>
      </c>
      <c r="BF84" s="144">
        <v>18</v>
      </c>
      <c r="BG84" s="144">
        <v>13</v>
      </c>
      <c r="BH84" s="137">
        <f t="shared" si="339"/>
        <v>31</v>
      </c>
      <c r="BI84" s="137">
        <f t="shared" si="340"/>
        <v>31</v>
      </c>
      <c r="BJ84" s="135" t="str">
        <f t="shared" si="341"/>
        <v>F</v>
      </c>
      <c r="BK84" s="141" t="str">
        <f>VLOOKUP(RANK(BI84,$BI$10:$BI$109),Sheet1!$A$381:$B$480,2,FALSE)</f>
        <v>62nd</v>
      </c>
      <c r="BL84" s="149">
        <v>26</v>
      </c>
      <c r="BM84" s="149">
        <v>26</v>
      </c>
      <c r="BN84" s="147">
        <f t="shared" si="342"/>
        <v>52</v>
      </c>
      <c r="BO84" s="137">
        <f t="shared" si="343"/>
        <v>52</v>
      </c>
      <c r="BP84" s="135" t="str">
        <f t="shared" si="344"/>
        <v>C</v>
      </c>
      <c r="BQ84" s="141" t="str">
        <f>VLOOKUP(RANK(BO84,$BO$10:$BO$109),Sheet1!$A$381:$B$480,2,FALSE)</f>
        <v>56th</v>
      </c>
      <c r="BR84" s="149">
        <v>31</v>
      </c>
      <c r="BS84" s="149">
        <v>10</v>
      </c>
      <c r="BT84" s="147">
        <f t="shared" si="345"/>
        <v>41</v>
      </c>
      <c r="BU84" s="137">
        <f t="shared" si="346"/>
        <v>41</v>
      </c>
      <c r="BV84" s="135" t="str">
        <f t="shared" si="347"/>
        <v>D</v>
      </c>
      <c r="BW84" s="135" t="str">
        <f>VLOOKUP(RANK(BU84,$BU$10:$BU$109),Sheet1!$A$381:$B$480,2,FALSE)</f>
        <v>60th</v>
      </c>
      <c r="BX84" s="149">
        <v>32</v>
      </c>
      <c r="BY84" s="149">
        <v>10</v>
      </c>
      <c r="BZ84" s="137">
        <f t="shared" si="348"/>
        <v>42</v>
      </c>
      <c r="CA84" s="137">
        <f t="shared" si="349"/>
        <v>42</v>
      </c>
      <c r="CB84" s="135" t="str">
        <f t="shared" si="350"/>
        <v>D</v>
      </c>
      <c r="CC84" s="135" t="str">
        <f>VLOOKUP(RANK(CA84,$CA$10:$CA$109),Sheet1!$A$381:$B$480,2,FALSE)</f>
        <v>32nd</v>
      </c>
      <c r="CD84" s="149">
        <v>25</v>
      </c>
      <c r="CE84" s="149">
        <v>30</v>
      </c>
      <c r="CF84" s="137">
        <f t="shared" si="351"/>
        <v>55</v>
      </c>
      <c r="CG84" s="137">
        <f t="shared" si="352"/>
        <v>55</v>
      </c>
      <c r="CH84" s="135" t="str">
        <f t="shared" si="353"/>
        <v>C</v>
      </c>
      <c r="CI84" s="135" t="str">
        <f>VLOOKUP(RANK(CG84,$CG$10:$CG$109),Sheet1!$A$381:$B$480,2,FALSE)</f>
        <v>46th</v>
      </c>
      <c r="CJ84" s="137"/>
      <c r="CK84" s="137"/>
      <c r="CL84" s="137">
        <f t="shared" si="354"/>
        <v>0</v>
      </c>
      <c r="CM84" s="137">
        <f t="shared" si="355"/>
        <v>0</v>
      </c>
      <c r="CN84" s="135" t="str">
        <f t="shared" si="356"/>
        <v>F</v>
      </c>
      <c r="CO84" s="135" t="str">
        <f>VLOOKUP(RANK(CM84,$CM$10:$CM$109),Sheet1!$A$381:$B$480,2,FALSE)</f>
        <v>1st</v>
      </c>
      <c r="CP84" s="137"/>
      <c r="CQ84" s="137"/>
      <c r="CR84" s="137">
        <f t="shared" si="357"/>
        <v>0</v>
      </c>
      <c r="CS84" s="137">
        <f t="shared" si="358"/>
        <v>0</v>
      </c>
      <c r="CT84" s="135" t="str">
        <f t="shared" si="359"/>
        <v>F</v>
      </c>
      <c r="CU84" s="135" t="str">
        <f>VLOOKUP(RANK(CS84,$CS$10:$CS$109),Sheet1!$A$381:$B$480,2,FALSE)</f>
        <v>1st</v>
      </c>
      <c r="CV84" s="151"/>
      <c r="CW84" s="135"/>
      <c r="CX84" s="151">
        <f t="shared" si="508"/>
        <v>0</v>
      </c>
      <c r="CY84" s="151">
        <f t="shared" si="509"/>
        <v>0</v>
      </c>
      <c r="CZ84" s="135" t="str">
        <f t="shared" si="360"/>
        <v>F</v>
      </c>
      <c r="DA84" s="135" t="str">
        <f>VLOOKUP(RANK(CY84,$CY$10:$CY$109),Sheet1!$A$381:$B$480,2,FALSE)</f>
        <v>1st</v>
      </c>
      <c r="DB84" s="135"/>
      <c r="DC84" s="151">
        <f t="shared" si="510"/>
        <v>572</v>
      </c>
      <c r="DD84" s="151">
        <f t="shared" si="511"/>
        <v>33.647058823529399</v>
      </c>
      <c r="DE84" s="135" t="str">
        <f>VLOOKUP(RANK(DD84,$DD$10:$DD$109),Sheet1!$A$381:$B$480,2,FALSE)</f>
        <v>66th</v>
      </c>
      <c r="DF84" s="137"/>
      <c r="DG84" s="160">
        <f t="shared" si="361"/>
        <v>605.64705882352905</v>
      </c>
      <c r="DH84" s="119"/>
      <c r="DI84" s="162">
        <v>23</v>
      </c>
      <c r="DJ84" s="162">
        <v>30</v>
      </c>
      <c r="DK84" s="137">
        <f t="shared" si="362"/>
        <v>53</v>
      </c>
      <c r="DL84" s="137" t="str">
        <f t="shared" si="363"/>
        <v>74</v>
      </c>
      <c r="DM84" s="137">
        <f t="shared" si="364"/>
        <v>127</v>
      </c>
      <c r="DN84" s="137">
        <f t="shared" si="365"/>
        <v>63.5</v>
      </c>
      <c r="DO84" s="135" t="str">
        <f t="shared" si="366"/>
        <v>B</v>
      </c>
      <c r="DP84" s="135" t="str">
        <f>VLOOKUP(RANK(DN84,$DN$10:$DN$109),Sheet1!$A$381:$B$480,2,FALSE)</f>
        <v>63rd</v>
      </c>
      <c r="DQ84" s="166">
        <v>26</v>
      </c>
      <c r="DR84" s="166">
        <v>18</v>
      </c>
      <c r="DS84" s="137">
        <f t="shared" si="367"/>
        <v>44</v>
      </c>
      <c r="DT84" s="137" t="str">
        <f t="shared" si="368"/>
        <v>53</v>
      </c>
      <c r="DU84" s="137">
        <f t="shared" si="369"/>
        <v>97</v>
      </c>
      <c r="DV84" s="137">
        <f t="shared" si="370"/>
        <v>48.5</v>
      </c>
      <c r="DW84" s="135" t="str">
        <f t="shared" si="371"/>
        <v>D</v>
      </c>
      <c r="DX84" s="135" t="str">
        <f>VLOOKUP(RANK(DV84,$DV$10:$DV$109),Sheet1!$A$381:$B$480,2,FALSE)</f>
        <v>51st</v>
      </c>
      <c r="DY84" s="168">
        <v>20</v>
      </c>
      <c r="DZ84" s="168">
        <v>14</v>
      </c>
      <c r="EA84" s="137">
        <f t="shared" si="372"/>
        <v>34</v>
      </c>
      <c r="EB84" s="137" t="str">
        <f t="shared" si="373"/>
        <v>30</v>
      </c>
      <c r="EC84" s="137">
        <f t="shared" si="374"/>
        <v>64</v>
      </c>
      <c r="ED84" s="137">
        <f t="shared" si="375"/>
        <v>32</v>
      </c>
      <c r="EE84" s="135" t="str">
        <f t="shared" si="376"/>
        <v>F</v>
      </c>
      <c r="EF84" s="135" t="str">
        <f>VLOOKUP(RANK(ED84,$ED$10:$ED$109),Sheet1!$A$381:$B$480,2,FALSE)</f>
        <v>91st</v>
      </c>
      <c r="EG84" s="162">
        <v>30</v>
      </c>
      <c r="EH84" s="162">
        <v>26</v>
      </c>
      <c r="EI84" s="137">
        <f t="shared" si="377"/>
        <v>56</v>
      </c>
      <c r="EJ84" s="137" t="str">
        <f t="shared" si="378"/>
        <v>51</v>
      </c>
      <c r="EK84" s="137">
        <f t="shared" si="379"/>
        <v>107</v>
      </c>
      <c r="EL84" s="137">
        <f t="shared" si="380"/>
        <v>53.5</v>
      </c>
      <c r="EM84" s="135" t="str">
        <f t="shared" si="381"/>
        <v>C</v>
      </c>
      <c r="EN84" s="135" t="str">
        <f>VLOOKUP(RANK(EL84,$EL$10:$EL$109),Sheet1!$A$381:$B$480,2,FALSE)</f>
        <v>51st</v>
      </c>
      <c r="EO84" s="162">
        <v>28</v>
      </c>
      <c r="EP84" s="162">
        <v>9</v>
      </c>
      <c r="EQ84" s="137">
        <f t="shared" si="382"/>
        <v>37</v>
      </c>
      <c r="ER84" s="137" t="str">
        <f t="shared" si="383"/>
        <v>34</v>
      </c>
      <c r="ES84" s="137">
        <f t="shared" si="384"/>
        <v>71</v>
      </c>
      <c r="ET84" s="137">
        <f t="shared" si="385"/>
        <v>35.5</v>
      </c>
      <c r="EU84" s="135" t="str">
        <f t="shared" si="386"/>
        <v>E</v>
      </c>
      <c r="EV84" s="135" t="str">
        <f>VLOOKUP(RANK(ET84,$ET$10:$ET$109),Sheet1!$A$381:$B$480,2,FALSE)</f>
        <v>83rd</v>
      </c>
      <c r="EW84" s="137"/>
      <c r="EX84" s="137"/>
      <c r="EY84" s="137">
        <f t="shared" si="387"/>
        <v>0</v>
      </c>
      <c r="EZ84" s="137" t="str">
        <f t="shared" si="388"/>
        <v>0</v>
      </c>
      <c r="FA84" s="137">
        <f t="shared" si="389"/>
        <v>0</v>
      </c>
      <c r="FB84" s="137">
        <f t="shared" si="390"/>
        <v>0</v>
      </c>
      <c r="FC84" s="135" t="str">
        <f t="shared" si="391"/>
        <v>F</v>
      </c>
      <c r="FD84" s="135" t="str">
        <f>VLOOKUP(RANK(FB84,$FB$10:$FB$109),Sheet1!$A$381:$B$480,2,FALSE)</f>
        <v>1st</v>
      </c>
      <c r="FE84" s="137"/>
      <c r="FF84" s="137"/>
      <c r="FG84" s="137">
        <f t="shared" si="392"/>
        <v>0</v>
      </c>
      <c r="FH84" s="137" t="str">
        <f t="shared" si="393"/>
        <v>0</v>
      </c>
      <c r="FI84" s="137">
        <f t="shared" si="394"/>
        <v>0</v>
      </c>
      <c r="FJ84" s="137">
        <f t="shared" si="395"/>
        <v>0</v>
      </c>
      <c r="FK84" s="135" t="str">
        <f t="shared" si="396"/>
        <v>F</v>
      </c>
      <c r="FL84" s="135" t="str">
        <f>VLOOKUP(RANK(FJ84,$FJ$10:$FJ$109),Sheet1!$A$381:$B$480,2,FALSE)</f>
        <v>1st</v>
      </c>
      <c r="FM84" s="166">
        <v>28</v>
      </c>
      <c r="FN84" s="166">
        <v>22</v>
      </c>
      <c r="FO84" s="137">
        <f t="shared" si="397"/>
        <v>50</v>
      </c>
      <c r="FP84" s="137" t="str">
        <f t="shared" si="398"/>
        <v>52</v>
      </c>
      <c r="FQ84" s="137">
        <f t="shared" si="399"/>
        <v>102</v>
      </c>
      <c r="FR84" s="137">
        <f t="shared" si="400"/>
        <v>51</v>
      </c>
      <c r="FS84" s="135" t="str">
        <f t="shared" si="401"/>
        <v>C</v>
      </c>
      <c r="FT84" s="135" t="str">
        <f>VLOOKUP(RANK(FR84,$FR$10:$FR$109),Sheet1!$A$381:$B$480,2,FALSE)</f>
        <v>56th</v>
      </c>
      <c r="FU84" s="149">
        <v>27</v>
      </c>
      <c r="FV84" s="149">
        <v>15</v>
      </c>
      <c r="FW84" s="137">
        <f t="shared" si="402"/>
        <v>42</v>
      </c>
      <c r="FX84" s="137" t="str">
        <f t="shared" si="403"/>
        <v>57</v>
      </c>
      <c r="FY84" s="137">
        <f t="shared" si="512"/>
        <v>42</v>
      </c>
      <c r="FZ84" s="137">
        <f t="shared" si="404"/>
        <v>21</v>
      </c>
      <c r="GA84" s="135" t="str">
        <f t="shared" si="405"/>
        <v>F</v>
      </c>
      <c r="GB84" s="135" t="str">
        <f>VLOOKUP(RANK(FZ84,$FZ$10:$FZ$109),Sheet1!$A$381:$B$480,2,FALSE)</f>
        <v>70th</v>
      </c>
      <c r="GC84" s="166">
        <v>17</v>
      </c>
      <c r="GD84" s="166">
        <v>28</v>
      </c>
      <c r="GE84" s="137">
        <f t="shared" si="406"/>
        <v>45</v>
      </c>
      <c r="GF84" s="137" t="str">
        <f t="shared" si="407"/>
        <v>31</v>
      </c>
      <c r="GG84" s="135">
        <f t="shared" si="513"/>
        <v>76</v>
      </c>
      <c r="GH84" s="137">
        <f t="shared" si="514"/>
        <v>38</v>
      </c>
      <c r="GI84" s="135" t="str">
        <f t="shared" si="408"/>
        <v>E</v>
      </c>
      <c r="GJ84" s="135" t="str">
        <f>VLOOKUP(RANK(GH84,$GH$10:$GH$109),Sheet1!$A$381:$B$480,2,FALSE)</f>
        <v>50th</v>
      </c>
      <c r="GK84" s="166">
        <v>28</v>
      </c>
      <c r="GL84" s="166">
        <v>17</v>
      </c>
      <c r="GM84" s="137">
        <f t="shared" si="409"/>
        <v>45</v>
      </c>
      <c r="GN84" s="137" t="str">
        <f t="shared" si="410"/>
        <v>52</v>
      </c>
      <c r="GO84" s="135">
        <f t="shared" si="515"/>
        <v>97</v>
      </c>
      <c r="GP84" s="137">
        <f t="shared" si="411"/>
        <v>48.5</v>
      </c>
      <c r="GQ84" s="135" t="str">
        <f t="shared" si="412"/>
        <v>D</v>
      </c>
      <c r="GR84" s="135" t="str">
        <f>VLOOKUP(RANK(GP84,$GP$10:$GP$109),Sheet1!$A$381:$B$480,2,FALSE)</f>
        <v>38th</v>
      </c>
      <c r="GS84" s="166">
        <v>29</v>
      </c>
      <c r="GT84" s="166">
        <v>18</v>
      </c>
      <c r="GU84" s="137">
        <f t="shared" si="413"/>
        <v>47</v>
      </c>
      <c r="GV84" s="137" t="str">
        <f t="shared" si="414"/>
        <v>41</v>
      </c>
      <c r="GW84" s="137">
        <f t="shared" si="415"/>
        <v>88</v>
      </c>
      <c r="GX84" s="137">
        <f t="shared" si="416"/>
        <v>44</v>
      </c>
      <c r="GY84" s="135" t="str">
        <f t="shared" si="417"/>
        <v>D</v>
      </c>
      <c r="GZ84" s="135" t="str">
        <f>VLOOKUP(RANK(GX84,$GX$10:$GX$109),Sheet1!$A$381:$B$480,2,FALSE)</f>
        <v>64th</v>
      </c>
      <c r="HA84" s="166">
        <v>30</v>
      </c>
      <c r="HB84" s="166">
        <v>9</v>
      </c>
      <c r="HC84" s="137">
        <f t="shared" si="418"/>
        <v>39</v>
      </c>
      <c r="HD84" s="137" t="str">
        <f t="shared" si="419"/>
        <v>42</v>
      </c>
      <c r="HE84" s="137">
        <f t="shared" si="420"/>
        <v>81</v>
      </c>
      <c r="HF84" s="137">
        <f t="shared" si="421"/>
        <v>40.5</v>
      </c>
      <c r="HG84" s="135" t="str">
        <f t="shared" si="422"/>
        <v>D</v>
      </c>
      <c r="HH84" s="135" t="str">
        <f>VLOOKUP(RANK(HF84,$HF$10:$HF$109),Sheet1!$A$381:$B$480,2,FALSE)</f>
        <v>57th</v>
      </c>
      <c r="HI84" s="149">
        <v>27</v>
      </c>
      <c r="HJ84" s="149">
        <v>54</v>
      </c>
      <c r="HK84" s="137">
        <f t="shared" si="423"/>
        <v>81</v>
      </c>
      <c r="HL84" s="137" t="str">
        <f t="shared" si="424"/>
        <v>55</v>
      </c>
      <c r="HM84" s="137">
        <f t="shared" si="425"/>
        <v>136</v>
      </c>
      <c r="HN84" s="137">
        <f t="shared" si="426"/>
        <v>68</v>
      </c>
      <c r="HO84" s="135" t="str">
        <f t="shared" si="427"/>
        <v>B</v>
      </c>
      <c r="HP84" s="135" t="str">
        <f>VLOOKUP(RANK(HN84,$HN$10:$HN$109),Sheet1!$A$381:$B$480,2,FALSE)</f>
        <v>30th</v>
      </c>
      <c r="HQ84" s="137"/>
      <c r="HR84" s="137"/>
      <c r="HS84" s="137">
        <f t="shared" si="428"/>
        <v>0</v>
      </c>
      <c r="HT84" s="137" t="str">
        <f t="shared" si="429"/>
        <v>0</v>
      </c>
      <c r="HU84" s="137">
        <f t="shared" si="430"/>
        <v>0</v>
      </c>
      <c r="HV84" s="137">
        <f t="shared" si="431"/>
        <v>0</v>
      </c>
      <c r="HW84" s="135" t="str">
        <f t="shared" si="432"/>
        <v>F</v>
      </c>
      <c r="HX84" s="135" t="str">
        <f>VLOOKUP(RANK(HV84,$HV$10:$HV$109),Sheet1!$A$381:$B$480,2,FALSE)</f>
        <v>1st</v>
      </c>
      <c r="HY84" s="137"/>
      <c r="HZ84" s="137"/>
      <c r="IA84" s="137">
        <f t="shared" si="433"/>
        <v>0</v>
      </c>
      <c r="IB84" s="137" t="str">
        <f t="shared" si="434"/>
        <v>0</v>
      </c>
      <c r="IC84" s="137">
        <f t="shared" si="435"/>
        <v>0</v>
      </c>
      <c r="ID84" s="137">
        <f t="shared" si="436"/>
        <v>0</v>
      </c>
      <c r="IE84" s="135" t="str">
        <f t="shared" si="437"/>
        <v>F</v>
      </c>
      <c r="IF84" s="135" t="str">
        <f>VLOOKUP(RANK(ID84,$ID$10:$ID$109),Sheet1!$A$381:$B$480,2,FALSE)</f>
        <v>1st</v>
      </c>
      <c r="IG84" s="135"/>
      <c r="IH84" s="135"/>
      <c r="II84" s="135">
        <f t="shared" si="516"/>
        <v>0</v>
      </c>
      <c r="IJ84" s="135" t="str">
        <f t="shared" si="517"/>
        <v>0</v>
      </c>
      <c r="IK84" s="135">
        <f t="shared" si="518"/>
        <v>0</v>
      </c>
      <c r="IL84" s="135">
        <f t="shared" si="519"/>
        <v>0</v>
      </c>
      <c r="IM84" s="135" t="str">
        <f t="shared" si="438"/>
        <v>F</v>
      </c>
      <c r="IN84" s="135" t="str">
        <f>VLOOKUP(RANK(IL84,$IL$10:$IL$109),Sheet1!$A$381:$B$480,2,FALSE)</f>
        <v>1st</v>
      </c>
      <c r="IO84" s="135">
        <f t="shared" si="520"/>
        <v>544</v>
      </c>
      <c r="IP84" s="177">
        <f t="shared" si="521"/>
        <v>32</v>
      </c>
      <c r="IQ84" s="135" t="str">
        <f>VLOOKUP(RANK(IP84,$IP$10:$IP$109),Sheet1!$A$381:$B$480,2,FALSE)</f>
        <v>69th</v>
      </c>
      <c r="IR84" s="178"/>
      <c r="IS84" s="137"/>
      <c r="IT84" s="137"/>
      <c r="IU84" s="137"/>
      <c r="IV84" s="137"/>
      <c r="IW84" s="181"/>
      <c r="IX84" s="184"/>
      <c r="IY84" s="186"/>
      <c r="IZ84" s="186">
        <f t="shared" si="439"/>
        <v>0</v>
      </c>
      <c r="JA84" s="186" t="str">
        <f t="shared" si="440"/>
        <v>74</v>
      </c>
      <c r="JB84" s="186" t="str">
        <f t="shared" si="441"/>
        <v>53</v>
      </c>
      <c r="JC84" s="186">
        <f t="shared" si="522"/>
        <v>127</v>
      </c>
      <c r="JD84" s="186">
        <f t="shared" si="523"/>
        <v>42.3333333333333</v>
      </c>
      <c r="JE84" s="135" t="str">
        <f t="shared" si="442"/>
        <v>D</v>
      </c>
      <c r="JF84" s="151" t="str">
        <f>VLOOKUP(RANK(JD84,$JD$10:$JD$109),Sheet1!$A$381:$B$480,2,FALSE)</f>
        <v>63rd</v>
      </c>
      <c r="JG84" s="186"/>
      <c r="JH84" s="186"/>
      <c r="JI84" s="186">
        <f t="shared" si="443"/>
        <v>0</v>
      </c>
      <c r="JJ84" s="186" t="str">
        <f t="shared" si="444"/>
        <v>53</v>
      </c>
      <c r="JK84" s="186" t="str">
        <f t="shared" si="445"/>
        <v>44</v>
      </c>
      <c r="JL84" s="186">
        <f t="shared" si="524"/>
        <v>97</v>
      </c>
      <c r="JM84" s="186">
        <f t="shared" si="525"/>
        <v>32.3333333333333</v>
      </c>
      <c r="JN84" s="135" t="str">
        <f t="shared" si="446"/>
        <v>F</v>
      </c>
      <c r="JO84" s="151" t="str">
        <f>VLOOKUP(RANK(JM84,$JM$10:$JM$109),Sheet1!$A$381:$B$480,2,FALSE)</f>
        <v>51st</v>
      </c>
      <c r="JP84" s="186"/>
      <c r="JQ84" s="186"/>
      <c r="JR84" s="186">
        <f t="shared" si="447"/>
        <v>0</v>
      </c>
      <c r="JS84" s="186" t="str">
        <f t="shared" si="448"/>
        <v>30</v>
      </c>
      <c r="JT84" s="186" t="str">
        <f t="shared" si="449"/>
        <v>34</v>
      </c>
      <c r="JU84" s="186">
        <f t="shared" si="526"/>
        <v>64</v>
      </c>
      <c r="JV84" s="186">
        <f t="shared" si="527"/>
        <v>21.3333333333333</v>
      </c>
      <c r="JW84" s="135" t="str">
        <f t="shared" si="450"/>
        <v>F</v>
      </c>
      <c r="JX84" s="151" t="str">
        <f>VLOOKUP(RANK(JV84,$JV$10:$JV$109),Sheet1!$A$381:$B$480,2,FALSE)</f>
        <v>91st</v>
      </c>
      <c r="JY84" s="186"/>
      <c r="JZ84" s="186"/>
      <c r="KA84" s="186">
        <f t="shared" si="451"/>
        <v>0</v>
      </c>
      <c r="KB84" s="186" t="str">
        <f t="shared" si="452"/>
        <v>51</v>
      </c>
      <c r="KC84" s="186" t="str">
        <f t="shared" si="453"/>
        <v>56</v>
      </c>
      <c r="KD84" s="186">
        <f t="shared" si="528"/>
        <v>107</v>
      </c>
      <c r="KE84" s="186">
        <f t="shared" si="529"/>
        <v>35.6666666666667</v>
      </c>
      <c r="KF84" s="135" t="str">
        <f t="shared" si="454"/>
        <v>E</v>
      </c>
      <c r="KG84" s="151" t="str">
        <f>VLOOKUP(RANK(KE84,$KE$10:$KE$109),Sheet1!$A$381:$B$480,2,FALSE)</f>
        <v>51st</v>
      </c>
      <c r="KH84" s="186"/>
      <c r="KI84" s="186"/>
      <c r="KJ84" s="186">
        <f t="shared" si="455"/>
        <v>0</v>
      </c>
      <c r="KK84" s="186" t="str">
        <f t="shared" si="456"/>
        <v>34</v>
      </c>
      <c r="KL84" s="186" t="str">
        <f t="shared" si="457"/>
        <v>37</v>
      </c>
      <c r="KM84" s="186">
        <f t="shared" si="530"/>
        <v>71</v>
      </c>
      <c r="KN84" s="186">
        <f t="shared" si="531"/>
        <v>23.6666666666667</v>
      </c>
      <c r="KO84" s="135" t="str">
        <f t="shared" si="458"/>
        <v>F</v>
      </c>
      <c r="KP84" s="151" t="str">
        <f>VLOOKUP(RANK(KN84,$KN$10:$KN$109),Sheet1!$A$381:$B$480,2,FALSE)</f>
        <v>83rd</v>
      </c>
      <c r="KQ84" s="186"/>
      <c r="KR84" s="186"/>
      <c r="KS84" s="186">
        <f t="shared" si="459"/>
        <v>0</v>
      </c>
      <c r="KT84" s="186" t="str">
        <f t="shared" si="460"/>
        <v>0</v>
      </c>
      <c r="KU84" s="186" t="str">
        <f t="shared" si="461"/>
        <v>0</v>
      </c>
      <c r="KV84" s="186">
        <f t="shared" si="532"/>
        <v>0</v>
      </c>
      <c r="KW84" s="186">
        <f t="shared" si="533"/>
        <v>0</v>
      </c>
      <c r="KX84" s="135" t="str">
        <f t="shared" si="462"/>
        <v>F</v>
      </c>
      <c r="KY84" s="151" t="str">
        <f>VLOOKUP(RANK(KW84,$KW$10:$KW$109),Sheet1!$A$381:$B$480,2,FALSE)</f>
        <v>1st</v>
      </c>
      <c r="KZ84" s="186"/>
      <c r="LA84" s="186"/>
      <c r="LB84" s="186">
        <f t="shared" si="463"/>
        <v>0</v>
      </c>
      <c r="LC84" s="186" t="str">
        <f t="shared" si="464"/>
        <v>0</v>
      </c>
      <c r="LD84" s="186" t="str">
        <f t="shared" si="465"/>
        <v>0</v>
      </c>
      <c r="LE84" s="186">
        <f t="shared" si="534"/>
        <v>0</v>
      </c>
      <c r="LF84" s="186">
        <f t="shared" si="535"/>
        <v>0</v>
      </c>
      <c r="LG84" s="135" t="str">
        <f t="shared" si="466"/>
        <v>F</v>
      </c>
      <c r="LH84" s="151" t="str">
        <f>VLOOKUP(RANK(LF84,$LF$10:$LF$109),Sheet1!$A$381:$B$480,2,FALSE)</f>
        <v>1st</v>
      </c>
      <c r="LI84" s="186"/>
      <c r="LJ84" s="186"/>
      <c r="LK84" s="186">
        <f t="shared" si="467"/>
        <v>0</v>
      </c>
      <c r="LL84" s="186" t="str">
        <f t="shared" si="468"/>
        <v>52</v>
      </c>
      <c r="LM84" s="186" t="str">
        <f t="shared" si="469"/>
        <v>50</v>
      </c>
      <c r="LN84" s="186">
        <f t="shared" si="536"/>
        <v>102</v>
      </c>
      <c r="LO84" s="186">
        <f t="shared" si="537"/>
        <v>34</v>
      </c>
      <c r="LP84" s="135" t="str">
        <f t="shared" si="470"/>
        <v>F</v>
      </c>
      <c r="LQ84" s="151" t="str">
        <f>VLOOKUP(RANK(LO84,$LO$10:$LO$109),Sheet1!$A$381:$B$480,2,FALSE)</f>
        <v>56th</v>
      </c>
      <c r="LR84" s="186"/>
      <c r="LS84" s="186"/>
      <c r="LT84" s="186">
        <f t="shared" si="471"/>
        <v>0</v>
      </c>
      <c r="LU84" s="186" t="str">
        <f t="shared" si="472"/>
        <v>57</v>
      </c>
      <c r="LV84" s="186" t="str">
        <f t="shared" si="473"/>
        <v>42</v>
      </c>
      <c r="LW84" s="186">
        <f t="shared" si="538"/>
        <v>99</v>
      </c>
      <c r="LX84" s="186">
        <f t="shared" si="539"/>
        <v>33</v>
      </c>
      <c r="LY84" s="135" t="str">
        <f t="shared" si="474"/>
        <v>F</v>
      </c>
      <c r="LZ84" s="151" t="str">
        <f>VLOOKUP(RANK(LX84,$LX$10:$LX$109),Sheet1!$A$381:$B$480,2,FALSE)</f>
        <v>58th</v>
      </c>
      <c r="MA84" s="186"/>
      <c r="MB84" s="186"/>
      <c r="MC84" s="186">
        <f t="shared" si="475"/>
        <v>0</v>
      </c>
      <c r="MD84" s="186" t="str">
        <f t="shared" si="476"/>
        <v>31</v>
      </c>
      <c r="ME84" s="186" t="str">
        <f t="shared" si="477"/>
        <v>45</v>
      </c>
      <c r="MF84" s="183">
        <f t="shared" si="540"/>
        <v>76</v>
      </c>
      <c r="MG84" s="151">
        <f t="shared" si="541"/>
        <v>25.3333333333333</v>
      </c>
      <c r="MH84" s="135" t="str">
        <f t="shared" si="478"/>
        <v>F</v>
      </c>
      <c r="MI84" s="151" t="str">
        <f>VLOOKUP(RANK(MG84,$MG$10:$MG$109),Sheet1!$A$381:$B$480,2,FALSE)</f>
        <v>50th</v>
      </c>
      <c r="MJ84" s="186"/>
      <c r="MK84" s="186"/>
      <c r="ML84" s="186">
        <f t="shared" si="479"/>
        <v>0</v>
      </c>
      <c r="MM84" s="186" t="str">
        <f t="shared" si="480"/>
        <v>52</v>
      </c>
      <c r="MN84" s="186" t="str">
        <f t="shared" si="481"/>
        <v>45</v>
      </c>
      <c r="MO84" s="186">
        <f t="shared" si="542"/>
        <v>97</v>
      </c>
      <c r="MP84" s="186">
        <f t="shared" si="543"/>
        <v>32.3333333333333</v>
      </c>
      <c r="MQ84" s="135" t="str">
        <f t="shared" si="482"/>
        <v>F</v>
      </c>
      <c r="MR84" s="151" t="str">
        <f>VLOOKUP(RANK(MP84,$MP$10:$MP$109),Sheet1!$A$381:$B$480,2,FALSE)</f>
        <v>38th</v>
      </c>
      <c r="MS84" s="186"/>
      <c r="MT84" s="186"/>
      <c r="MU84" s="186">
        <f t="shared" si="483"/>
        <v>0</v>
      </c>
      <c r="MV84" s="186" t="str">
        <f t="shared" si="484"/>
        <v>41</v>
      </c>
      <c r="MW84" s="186" t="str">
        <f t="shared" si="485"/>
        <v>47</v>
      </c>
      <c r="MX84" s="186">
        <f t="shared" si="544"/>
        <v>88</v>
      </c>
      <c r="MY84" s="186">
        <f t="shared" si="545"/>
        <v>29.3333333333333</v>
      </c>
      <c r="MZ84" s="135" t="str">
        <f t="shared" si="486"/>
        <v>F</v>
      </c>
      <c r="NA84" s="151" t="str">
        <f>VLOOKUP(RANK(MY84,$MY$10:$MY$109),Sheet1!$A$381:$B$480,2,FALSE)</f>
        <v>64th</v>
      </c>
      <c r="NB84" s="186"/>
      <c r="NC84" s="186"/>
      <c r="ND84" s="186">
        <f t="shared" si="487"/>
        <v>0</v>
      </c>
      <c r="NE84" s="186" t="str">
        <f t="shared" si="488"/>
        <v>42</v>
      </c>
      <c r="NF84" s="186" t="str">
        <f t="shared" si="489"/>
        <v>39</v>
      </c>
      <c r="NG84" s="186">
        <f t="shared" si="546"/>
        <v>81</v>
      </c>
      <c r="NH84" s="186">
        <f t="shared" si="547"/>
        <v>27</v>
      </c>
      <c r="NI84" s="135" t="str">
        <f t="shared" si="490"/>
        <v>F</v>
      </c>
      <c r="NJ84" s="151" t="str">
        <f>VLOOKUP(RANK(NH84,$NH$10:$NH$109),Sheet1!$A$381:$B$480,2,FALSE)</f>
        <v>57th</v>
      </c>
      <c r="NK84" s="186"/>
      <c r="NL84" s="186"/>
      <c r="NM84" s="186">
        <f t="shared" si="491"/>
        <v>0</v>
      </c>
      <c r="NN84" s="186" t="str">
        <f t="shared" si="492"/>
        <v>55</v>
      </c>
      <c r="NO84" s="186" t="str">
        <f t="shared" si="493"/>
        <v>81</v>
      </c>
      <c r="NP84" s="186">
        <f t="shared" si="548"/>
        <v>136</v>
      </c>
      <c r="NQ84" s="186">
        <f t="shared" si="494"/>
        <v>45.3333333333333</v>
      </c>
      <c r="NR84" s="135" t="str">
        <f t="shared" si="495"/>
        <v>D</v>
      </c>
      <c r="NS84" s="151" t="str">
        <f>VLOOKUP(RANK(NQ84,$NQ$10:$NQ$109),Sheet1!$A$381:$B$480,2,FALSE)</f>
        <v>30th</v>
      </c>
      <c r="NT84" s="186"/>
      <c r="NU84" s="186"/>
      <c r="NV84" s="186">
        <f t="shared" si="496"/>
        <v>0</v>
      </c>
      <c r="NW84" s="186" t="str">
        <f t="shared" si="497"/>
        <v>0</v>
      </c>
      <c r="NX84" s="186" t="str">
        <f t="shared" si="498"/>
        <v>0</v>
      </c>
      <c r="NY84" s="186">
        <f t="shared" si="549"/>
        <v>0</v>
      </c>
      <c r="NZ84" s="186">
        <f t="shared" si="499"/>
        <v>0</v>
      </c>
      <c r="OA84" s="135" t="str">
        <f t="shared" si="500"/>
        <v>F</v>
      </c>
      <c r="OB84" s="151" t="str">
        <f>VLOOKUP(RANK(NZ84,$NZ$10:$NZ$109),Sheet1!$A$381:$B$480,2,FALSE)</f>
        <v>1st</v>
      </c>
      <c r="OC84" s="186"/>
      <c r="OD84" s="186"/>
      <c r="OE84" s="186">
        <f t="shared" si="501"/>
        <v>0</v>
      </c>
      <c r="OF84" s="186" t="str">
        <f t="shared" si="502"/>
        <v>0</v>
      </c>
      <c r="OG84" s="186" t="str">
        <f t="shared" si="503"/>
        <v>0</v>
      </c>
      <c r="OH84" s="186">
        <f t="shared" si="550"/>
        <v>0</v>
      </c>
      <c r="OI84" s="186">
        <f t="shared" si="504"/>
        <v>0</v>
      </c>
      <c r="OJ84" s="135" t="str">
        <f t="shared" si="505"/>
        <v>F</v>
      </c>
      <c r="OK84" s="151" t="str">
        <f>VLOOKUP(RANK(OI84,$OI$10:$OI$109),Sheet1!$A$381:$B$480,2,FALSE)</f>
        <v>1st</v>
      </c>
      <c r="OL84" s="151"/>
      <c r="OM84" s="151"/>
      <c r="ON84" s="151">
        <f t="shared" si="551"/>
        <v>0</v>
      </c>
      <c r="OO84" s="151" t="str">
        <f t="shared" si="552"/>
        <v>0</v>
      </c>
      <c r="OP84" s="151" t="str">
        <f t="shared" si="553"/>
        <v>0</v>
      </c>
      <c r="OQ84" s="151">
        <f t="shared" si="554"/>
        <v>0</v>
      </c>
      <c r="OR84" s="151">
        <f t="shared" si="555"/>
        <v>0</v>
      </c>
      <c r="OS84" s="135" t="str">
        <f t="shared" si="506"/>
        <v>F</v>
      </c>
      <c r="OT84" s="151" t="str">
        <f>VLOOKUP(RANK(OR84,$OI$10:$OI$109),Sheet1!$A$381:$B$480,2,FALSE)</f>
        <v>1st</v>
      </c>
      <c r="OU84" s="151">
        <f t="shared" si="556"/>
        <v>381.66666666666703</v>
      </c>
      <c r="OV84" s="151">
        <f t="shared" si="557"/>
        <v>22.4509803921569</v>
      </c>
      <c r="OW84" s="151" t="str">
        <f>VLOOKUP(RANK(OV84,$OV$10:$OV$109),Sheet1!$A$381:$B$480,2,FALSE)</f>
        <v>64th</v>
      </c>
      <c r="OX84" s="151"/>
      <c r="OY84" s="186"/>
      <c r="OZ84" s="186"/>
      <c r="PA84" s="186"/>
      <c r="PB84" s="186"/>
    </row>
    <row r="85" spans="1:418" s="118" customFormat="1" ht="18.75">
      <c r="A85" s="131">
        <v>76</v>
      </c>
      <c r="B85" s="132" t="s">
        <v>175</v>
      </c>
      <c r="C85" s="133" t="s">
        <v>97</v>
      </c>
      <c r="D85" s="134">
        <v>26</v>
      </c>
      <c r="E85" s="134">
        <v>31</v>
      </c>
      <c r="F85" s="137">
        <f t="shared" si="315"/>
        <v>57</v>
      </c>
      <c r="G85" s="137">
        <f t="shared" si="316"/>
        <v>57</v>
      </c>
      <c r="H85" s="135" t="str">
        <f t="shared" si="507"/>
        <v>C</v>
      </c>
      <c r="I85" s="135" t="str">
        <f>VLOOKUP(RANK(G85,$G$10:$G$109),Sheet1!$A$381:$B$480,2,FALSE)</f>
        <v>87th</v>
      </c>
      <c r="J85" s="134">
        <v>32</v>
      </c>
      <c r="K85" s="134">
        <v>22</v>
      </c>
      <c r="L85" s="137">
        <f t="shared" si="317"/>
        <v>54</v>
      </c>
      <c r="M85" s="137">
        <f t="shared" si="318"/>
        <v>54</v>
      </c>
      <c r="N85" s="135" t="str">
        <f t="shared" si="319"/>
        <v>C</v>
      </c>
      <c r="O85" s="141" t="str">
        <f>VLOOKUP(RANK(M85,$M$10:$M$109),Sheet1!$A$381:$B$480,2,FALSE)</f>
        <v>42nd</v>
      </c>
      <c r="P85" s="144">
        <v>30</v>
      </c>
      <c r="Q85" s="144">
        <v>15</v>
      </c>
      <c r="R85" s="147">
        <f t="shared" si="320"/>
        <v>45</v>
      </c>
      <c r="S85" s="137">
        <f t="shared" si="321"/>
        <v>45</v>
      </c>
      <c r="T85" s="135" t="str">
        <f t="shared" si="322"/>
        <v>D</v>
      </c>
      <c r="U85" s="135" t="str">
        <f>VLOOKUP(RANK(S85,$S$10:$S$109),Sheet1!$A$381:$B$480,2,FALSE)</f>
        <v>49th</v>
      </c>
      <c r="V85" s="134">
        <v>25</v>
      </c>
      <c r="W85" s="134">
        <v>26</v>
      </c>
      <c r="X85" s="137">
        <f t="shared" si="559"/>
        <v>51</v>
      </c>
      <c r="Y85" s="137">
        <f t="shared" si="558"/>
        <v>51</v>
      </c>
      <c r="Z85" s="135" t="str">
        <f t="shared" si="323"/>
        <v>C</v>
      </c>
      <c r="AA85" s="135" t="str">
        <f>VLOOKUP(RANK(Y85,$Y$10:$Y$109),Sheet1!$A$381:$B$480,2,FALSE)</f>
        <v>54th</v>
      </c>
      <c r="AB85" s="134">
        <v>30</v>
      </c>
      <c r="AC85" s="134">
        <v>38</v>
      </c>
      <c r="AD85" s="137">
        <f t="shared" si="324"/>
        <v>68</v>
      </c>
      <c r="AE85" s="137">
        <f t="shared" si="325"/>
        <v>68</v>
      </c>
      <c r="AF85" s="135" t="str">
        <f t="shared" si="326"/>
        <v>B</v>
      </c>
      <c r="AG85" s="135" t="str">
        <f>VLOOKUP(RANK(AE85,$AE$10:$AE$109),Sheet1!$A$381:$B$480,2,FALSE)</f>
        <v>35th</v>
      </c>
      <c r="AH85" s="137"/>
      <c r="AI85" s="137"/>
      <c r="AJ85" s="137">
        <f t="shared" si="327"/>
        <v>0</v>
      </c>
      <c r="AK85" s="137">
        <f t="shared" si="328"/>
        <v>0</v>
      </c>
      <c r="AL85" s="135" t="str">
        <f t="shared" si="329"/>
        <v>F</v>
      </c>
      <c r="AM85" s="135" t="str">
        <f>VLOOKUP(RANK(AK85,$AK$10:$AK$109),Sheet1!$A$381:$B$480,2,FALSE)</f>
        <v>1st</v>
      </c>
      <c r="AN85" s="134"/>
      <c r="AO85" s="134"/>
      <c r="AP85" s="137">
        <f t="shared" si="330"/>
        <v>0</v>
      </c>
      <c r="AQ85" s="137">
        <f t="shared" si="331"/>
        <v>0</v>
      </c>
      <c r="AR85" s="135" t="str">
        <f t="shared" si="332"/>
        <v>F</v>
      </c>
      <c r="AS85" s="135" t="str">
        <f>VLOOKUP(RANK(AQ85,$AQ$10:$AQ$109),Sheet1!$A$381:$B$480,2,FALSE)</f>
        <v>1st</v>
      </c>
      <c r="AT85" s="144">
        <v>24</v>
      </c>
      <c r="AU85" s="144">
        <v>28</v>
      </c>
      <c r="AV85" s="137">
        <f t="shared" si="333"/>
        <v>52</v>
      </c>
      <c r="AW85" s="137">
        <f t="shared" si="334"/>
        <v>52</v>
      </c>
      <c r="AX85" s="135" t="str">
        <f t="shared" si="335"/>
        <v>C</v>
      </c>
      <c r="AY85" s="141" t="str">
        <f>VLOOKUP(RANK(AW85,$AW$10:$AW$109),Sheet1!$A$381:$B$480,2,FALSE)</f>
        <v>34th</v>
      </c>
      <c r="AZ85" s="144">
        <v>34</v>
      </c>
      <c r="BA85" s="144">
        <v>28</v>
      </c>
      <c r="BB85" s="147">
        <f t="shared" si="336"/>
        <v>62</v>
      </c>
      <c r="BC85" s="137">
        <f t="shared" si="337"/>
        <v>62</v>
      </c>
      <c r="BD85" s="135" t="str">
        <f t="shared" si="338"/>
        <v>B</v>
      </c>
      <c r="BE85" s="135" t="str">
        <f>VLOOKUP(RANK(BC85,$BC$10:$BC$109),Sheet1!$A$381:$B$480,2,FALSE)</f>
        <v>25th</v>
      </c>
      <c r="BF85" s="144">
        <v>24</v>
      </c>
      <c r="BG85" s="144">
        <v>30</v>
      </c>
      <c r="BH85" s="137">
        <f t="shared" si="339"/>
        <v>54</v>
      </c>
      <c r="BI85" s="137">
        <f t="shared" si="340"/>
        <v>54</v>
      </c>
      <c r="BJ85" s="135" t="str">
        <f t="shared" si="341"/>
        <v>C</v>
      </c>
      <c r="BK85" s="141" t="str">
        <f>VLOOKUP(RANK(BI85,$BI$10:$BI$109),Sheet1!$A$381:$B$480,2,FALSE)</f>
        <v>9th</v>
      </c>
      <c r="BL85" s="149">
        <v>28</v>
      </c>
      <c r="BM85" s="149">
        <v>26</v>
      </c>
      <c r="BN85" s="147">
        <f t="shared" si="342"/>
        <v>54</v>
      </c>
      <c r="BO85" s="137">
        <f t="shared" si="343"/>
        <v>54</v>
      </c>
      <c r="BP85" s="135" t="str">
        <f t="shared" si="344"/>
        <v>C</v>
      </c>
      <c r="BQ85" s="141" t="str">
        <f>VLOOKUP(RANK(BO85,$BO$10:$BO$109),Sheet1!$A$381:$B$480,2,FALSE)</f>
        <v>23rd</v>
      </c>
      <c r="BR85" s="149">
        <v>28</v>
      </c>
      <c r="BS85" s="149">
        <v>22</v>
      </c>
      <c r="BT85" s="147">
        <f t="shared" si="345"/>
        <v>50</v>
      </c>
      <c r="BU85" s="137">
        <f t="shared" si="346"/>
        <v>50</v>
      </c>
      <c r="BV85" s="135" t="str">
        <f t="shared" si="347"/>
        <v>C</v>
      </c>
      <c r="BW85" s="135" t="str">
        <f>VLOOKUP(RANK(BU85,$BU$10:$BU$109),Sheet1!$A$381:$B$480,2,FALSE)</f>
        <v>42nd</v>
      </c>
      <c r="BX85" s="149">
        <v>27</v>
      </c>
      <c r="BY85" s="149">
        <v>10</v>
      </c>
      <c r="BZ85" s="137">
        <f t="shared" si="348"/>
        <v>37</v>
      </c>
      <c r="CA85" s="137">
        <f t="shared" si="349"/>
        <v>37</v>
      </c>
      <c r="CB85" s="135" t="str">
        <f t="shared" si="350"/>
        <v>E</v>
      </c>
      <c r="CC85" s="135" t="str">
        <f>VLOOKUP(RANK(CA85,$CA$10:$CA$109),Sheet1!$A$381:$B$480,2,FALSE)</f>
        <v>70th</v>
      </c>
      <c r="CD85" s="149">
        <v>25</v>
      </c>
      <c r="CE85" s="149">
        <v>30</v>
      </c>
      <c r="CF85" s="137">
        <f t="shared" si="351"/>
        <v>55</v>
      </c>
      <c r="CG85" s="137">
        <f t="shared" si="352"/>
        <v>55</v>
      </c>
      <c r="CH85" s="135" t="str">
        <f t="shared" si="353"/>
        <v>C</v>
      </c>
      <c r="CI85" s="135" t="str">
        <f>VLOOKUP(RANK(CG85,$CG$10:$CG$109),Sheet1!$A$381:$B$480,2,FALSE)</f>
        <v>46th</v>
      </c>
      <c r="CJ85" s="137"/>
      <c r="CK85" s="137"/>
      <c r="CL85" s="137">
        <f t="shared" si="354"/>
        <v>0</v>
      </c>
      <c r="CM85" s="137">
        <f t="shared" si="355"/>
        <v>0</v>
      </c>
      <c r="CN85" s="135" t="str">
        <f t="shared" si="356"/>
        <v>F</v>
      </c>
      <c r="CO85" s="135" t="str">
        <f>VLOOKUP(RANK(CM85,$CM$10:$CM$109),Sheet1!$A$381:$B$480,2,FALSE)</f>
        <v>1st</v>
      </c>
      <c r="CP85" s="137"/>
      <c r="CQ85" s="137"/>
      <c r="CR85" s="137">
        <f t="shared" si="357"/>
        <v>0</v>
      </c>
      <c r="CS85" s="137">
        <f t="shared" si="358"/>
        <v>0</v>
      </c>
      <c r="CT85" s="135" t="str">
        <f t="shared" si="359"/>
        <v>F</v>
      </c>
      <c r="CU85" s="135" t="str">
        <f>VLOOKUP(RANK(CS85,$CS$10:$CS$109),Sheet1!$A$381:$B$480,2,FALSE)</f>
        <v>1st</v>
      </c>
      <c r="CV85" s="151"/>
      <c r="CW85" s="135"/>
      <c r="CX85" s="151">
        <f t="shared" si="508"/>
        <v>0</v>
      </c>
      <c r="CY85" s="151">
        <f t="shared" si="509"/>
        <v>0</v>
      </c>
      <c r="CZ85" s="135" t="str">
        <f t="shared" si="360"/>
        <v>F</v>
      </c>
      <c r="DA85" s="135" t="str">
        <f>VLOOKUP(RANK(CY85,$CY$10:$CY$109),Sheet1!$A$381:$B$480,2,FALSE)</f>
        <v>1st</v>
      </c>
      <c r="DB85" s="135"/>
      <c r="DC85" s="151">
        <f t="shared" si="510"/>
        <v>639</v>
      </c>
      <c r="DD85" s="151">
        <f t="shared" si="511"/>
        <v>37.588235294117602</v>
      </c>
      <c r="DE85" s="135" t="str">
        <f>VLOOKUP(RANK(DD85,$DD$10:$DD$109),Sheet1!$A$381:$B$480,2,FALSE)</f>
        <v>41st</v>
      </c>
      <c r="DF85" s="137"/>
      <c r="DG85" s="160">
        <f t="shared" si="361"/>
        <v>676.58823529411802</v>
      </c>
      <c r="DH85" s="119"/>
      <c r="DI85" s="162">
        <v>19</v>
      </c>
      <c r="DJ85" s="162">
        <v>41</v>
      </c>
      <c r="DK85" s="137">
        <f t="shared" si="362"/>
        <v>60</v>
      </c>
      <c r="DL85" s="137" t="str">
        <f t="shared" si="363"/>
        <v>57</v>
      </c>
      <c r="DM85" s="137">
        <f t="shared" si="364"/>
        <v>117</v>
      </c>
      <c r="DN85" s="137">
        <f t="shared" si="365"/>
        <v>58.5</v>
      </c>
      <c r="DO85" s="135" t="str">
        <f t="shared" si="366"/>
        <v>C</v>
      </c>
      <c r="DP85" s="135" t="str">
        <f>VLOOKUP(RANK(DN85,$DN$10:$DN$109),Sheet1!$A$381:$B$480,2,FALSE)</f>
        <v>77th</v>
      </c>
      <c r="DQ85" s="166">
        <v>29</v>
      </c>
      <c r="DR85" s="166">
        <v>30</v>
      </c>
      <c r="DS85" s="137">
        <f t="shared" si="367"/>
        <v>59</v>
      </c>
      <c r="DT85" s="137" t="str">
        <f t="shared" si="368"/>
        <v>54</v>
      </c>
      <c r="DU85" s="137">
        <f t="shared" si="369"/>
        <v>113</v>
      </c>
      <c r="DV85" s="137">
        <f t="shared" si="370"/>
        <v>56.5</v>
      </c>
      <c r="DW85" s="135" t="str">
        <f t="shared" si="371"/>
        <v>C</v>
      </c>
      <c r="DX85" s="135" t="str">
        <f>VLOOKUP(RANK(DV85,$DV$10:$DV$109),Sheet1!$A$381:$B$480,2,FALSE)</f>
        <v>21st</v>
      </c>
      <c r="DY85" s="168">
        <v>29</v>
      </c>
      <c r="DZ85" s="168">
        <v>17</v>
      </c>
      <c r="EA85" s="137">
        <f t="shared" si="372"/>
        <v>46</v>
      </c>
      <c r="EB85" s="137" t="str">
        <f t="shared" si="373"/>
        <v>45</v>
      </c>
      <c r="EC85" s="137">
        <f t="shared" si="374"/>
        <v>91</v>
      </c>
      <c r="ED85" s="137">
        <f t="shared" si="375"/>
        <v>45.5</v>
      </c>
      <c r="EE85" s="135" t="str">
        <f t="shared" si="376"/>
        <v>D</v>
      </c>
      <c r="EF85" s="135" t="str">
        <f>VLOOKUP(RANK(ED85,$ED$10:$ED$109),Sheet1!$A$381:$B$480,2,FALSE)</f>
        <v>50th</v>
      </c>
      <c r="EG85" s="162">
        <v>31</v>
      </c>
      <c r="EH85" s="162">
        <v>36</v>
      </c>
      <c r="EI85" s="137">
        <f t="shared" si="377"/>
        <v>67</v>
      </c>
      <c r="EJ85" s="137" t="str">
        <f t="shared" si="378"/>
        <v>51</v>
      </c>
      <c r="EK85" s="137">
        <f t="shared" si="379"/>
        <v>118</v>
      </c>
      <c r="EL85" s="137">
        <f t="shared" si="380"/>
        <v>59</v>
      </c>
      <c r="EM85" s="135" t="str">
        <f t="shared" si="381"/>
        <v>C</v>
      </c>
      <c r="EN85" s="135" t="str">
        <f>VLOOKUP(RANK(EL85,$EL$10:$EL$109),Sheet1!$A$381:$B$480,2,FALSE)</f>
        <v>39th</v>
      </c>
      <c r="EO85" s="162">
        <v>23</v>
      </c>
      <c r="EP85" s="162">
        <v>21</v>
      </c>
      <c r="EQ85" s="137">
        <f t="shared" si="382"/>
        <v>44</v>
      </c>
      <c r="ER85" s="137" t="str">
        <f t="shared" si="383"/>
        <v>68</v>
      </c>
      <c r="ES85" s="137">
        <f t="shared" si="384"/>
        <v>112</v>
      </c>
      <c r="ET85" s="137">
        <f t="shared" si="385"/>
        <v>56</v>
      </c>
      <c r="EU85" s="135" t="str">
        <f t="shared" si="386"/>
        <v>C</v>
      </c>
      <c r="EV85" s="135" t="str">
        <f>VLOOKUP(RANK(ET85,$ET$10:$ET$109),Sheet1!$A$381:$B$480,2,FALSE)</f>
        <v>45th</v>
      </c>
      <c r="EW85" s="137"/>
      <c r="EX85" s="137"/>
      <c r="EY85" s="137">
        <f t="shared" si="387"/>
        <v>0</v>
      </c>
      <c r="EZ85" s="137" t="str">
        <f t="shared" si="388"/>
        <v>0</v>
      </c>
      <c r="FA85" s="137">
        <f t="shared" si="389"/>
        <v>0</v>
      </c>
      <c r="FB85" s="137">
        <f t="shared" si="390"/>
        <v>0</v>
      </c>
      <c r="FC85" s="135" t="str">
        <f t="shared" si="391"/>
        <v>F</v>
      </c>
      <c r="FD85" s="135" t="str">
        <f>VLOOKUP(RANK(FB85,$FB$10:$FB$109),Sheet1!$A$381:$B$480,2,FALSE)</f>
        <v>1st</v>
      </c>
      <c r="FE85" s="137"/>
      <c r="FF85" s="137"/>
      <c r="FG85" s="137">
        <f t="shared" si="392"/>
        <v>0</v>
      </c>
      <c r="FH85" s="137" t="str">
        <f t="shared" si="393"/>
        <v>0</v>
      </c>
      <c r="FI85" s="137">
        <f t="shared" si="394"/>
        <v>0</v>
      </c>
      <c r="FJ85" s="137">
        <f t="shared" si="395"/>
        <v>0</v>
      </c>
      <c r="FK85" s="135" t="str">
        <f t="shared" si="396"/>
        <v>F</v>
      </c>
      <c r="FL85" s="135" t="str">
        <f>VLOOKUP(RANK(FJ85,$FJ$10:$FJ$109),Sheet1!$A$381:$B$480,2,FALSE)</f>
        <v>1st</v>
      </c>
      <c r="FM85" s="166">
        <v>27</v>
      </c>
      <c r="FN85" s="166">
        <v>23</v>
      </c>
      <c r="FO85" s="137">
        <f t="shared" si="397"/>
        <v>50</v>
      </c>
      <c r="FP85" s="137" t="str">
        <f t="shared" si="398"/>
        <v>52</v>
      </c>
      <c r="FQ85" s="137">
        <f t="shared" si="399"/>
        <v>102</v>
      </c>
      <c r="FR85" s="137">
        <f t="shared" si="400"/>
        <v>51</v>
      </c>
      <c r="FS85" s="135" t="str">
        <f t="shared" si="401"/>
        <v>C</v>
      </c>
      <c r="FT85" s="135" t="str">
        <f>VLOOKUP(RANK(FR85,$FR$10:$FR$109),Sheet1!$A$381:$B$480,2,FALSE)</f>
        <v>56th</v>
      </c>
      <c r="FU85" s="149">
        <v>36</v>
      </c>
      <c r="FV85" s="149">
        <v>15</v>
      </c>
      <c r="FW85" s="137">
        <f t="shared" si="402"/>
        <v>51</v>
      </c>
      <c r="FX85" s="137" t="str">
        <f t="shared" si="403"/>
        <v>62</v>
      </c>
      <c r="FY85" s="137">
        <f t="shared" si="512"/>
        <v>51</v>
      </c>
      <c r="FZ85" s="137">
        <f t="shared" si="404"/>
        <v>25.5</v>
      </c>
      <c r="GA85" s="135" t="str">
        <f t="shared" si="405"/>
        <v>F</v>
      </c>
      <c r="GB85" s="135" t="str">
        <f>VLOOKUP(RANK(FZ85,$FZ$10:$FZ$109),Sheet1!$A$381:$B$480,2,FALSE)</f>
        <v>51st</v>
      </c>
      <c r="GC85" s="166">
        <v>15</v>
      </c>
      <c r="GD85" s="166">
        <v>25</v>
      </c>
      <c r="GE85" s="137">
        <f t="shared" si="406"/>
        <v>40</v>
      </c>
      <c r="GF85" s="137" t="str">
        <f t="shared" si="407"/>
        <v>54</v>
      </c>
      <c r="GG85" s="135">
        <f t="shared" si="513"/>
        <v>94</v>
      </c>
      <c r="GH85" s="137">
        <f t="shared" si="514"/>
        <v>47</v>
      </c>
      <c r="GI85" s="135" t="str">
        <f t="shared" si="408"/>
        <v>D</v>
      </c>
      <c r="GJ85" s="135" t="str">
        <f>VLOOKUP(RANK(GH85,$GH$10:$GH$109),Sheet1!$A$381:$B$480,2,FALSE)</f>
        <v>21st</v>
      </c>
      <c r="GK85" s="166">
        <v>28</v>
      </c>
      <c r="GL85" s="166">
        <v>18</v>
      </c>
      <c r="GM85" s="137">
        <f t="shared" si="409"/>
        <v>46</v>
      </c>
      <c r="GN85" s="137" t="str">
        <f t="shared" si="410"/>
        <v>54</v>
      </c>
      <c r="GO85" s="135">
        <f t="shared" si="515"/>
        <v>100</v>
      </c>
      <c r="GP85" s="137">
        <f t="shared" si="411"/>
        <v>50</v>
      </c>
      <c r="GQ85" s="135" t="str">
        <f t="shared" si="412"/>
        <v>C</v>
      </c>
      <c r="GR85" s="135" t="str">
        <f>VLOOKUP(RANK(GP85,$GP$10:$GP$109),Sheet1!$A$381:$B$480,2,FALSE)</f>
        <v>22nd</v>
      </c>
      <c r="GS85" s="166">
        <v>33</v>
      </c>
      <c r="GT85" s="166">
        <v>23</v>
      </c>
      <c r="GU85" s="137">
        <f t="shared" si="413"/>
        <v>56</v>
      </c>
      <c r="GV85" s="137" t="str">
        <f t="shared" si="414"/>
        <v>50</v>
      </c>
      <c r="GW85" s="137">
        <f t="shared" si="415"/>
        <v>106</v>
      </c>
      <c r="GX85" s="137">
        <f t="shared" si="416"/>
        <v>53</v>
      </c>
      <c r="GY85" s="135" t="str">
        <f t="shared" si="417"/>
        <v>C</v>
      </c>
      <c r="GZ85" s="135" t="str">
        <f>VLOOKUP(RANK(GX85,$GX$10:$GX$109),Sheet1!$A$381:$B$480,2,FALSE)</f>
        <v>44th</v>
      </c>
      <c r="HA85" s="166">
        <v>29</v>
      </c>
      <c r="HB85" s="166">
        <v>9</v>
      </c>
      <c r="HC85" s="137">
        <f t="shared" si="418"/>
        <v>38</v>
      </c>
      <c r="HD85" s="137" t="str">
        <f t="shared" si="419"/>
        <v>37</v>
      </c>
      <c r="HE85" s="137">
        <f t="shared" si="420"/>
        <v>75</v>
      </c>
      <c r="HF85" s="137">
        <f t="shared" si="421"/>
        <v>37.5</v>
      </c>
      <c r="HG85" s="135" t="str">
        <f t="shared" si="422"/>
        <v>E</v>
      </c>
      <c r="HH85" s="135" t="str">
        <f>VLOOKUP(RANK(HF85,$HF$10:$HF$109),Sheet1!$A$381:$B$480,2,FALSE)</f>
        <v>86th</v>
      </c>
      <c r="HI85" s="149">
        <v>25</v>
      </c>
      <c r="HJ85" s="149">
        <v>54</v>
      </c>
      <c r="HK85" s="137">
        <f t="shared" si="423"/>
        <v>79</v>
      </c>
      <c r="HL85" s="137" t="str">
        <f t="shared" si="424"/>
        <v>55</v>
      </c>
      <c r="HM85" s="137">
        <f t="shared" si="425"/>
        <v>134</v>
      </c>
      <c r="HN85" s="137">
        <f t="shared" si="426"/>
        <v>67</v>
      </c>
      <c r="HO85" s="135" t="str">
        <f t="shared" si="427"/>
        <v>B</v>
      </c>
      <c r="HP85" s="135" t="str">
        <f>VLOOKUP(RANK(HN85,$HN$10:$HN$109),Sheet1!$A$381:$B$480,2,FALSE)</f>
        <v>35th</v>
      </c>
      <c r="HQ85" s="137"/>
      <c r="HR85" s="137"/>
      <c r="HS85" s="137">
        <f t="shared" si="428"/>
        <v>0</v>
      </c>
      <c r="HT85" s="137" t="str">
        <f t="shared" si="429"/>
        <v>0</v>
      </c>
      <c r="HU85" s="137">
        <f t="shared" si="430"/>
        <v>0</v>
      </c>
      <c r="HV85" s="137">
        <f t="shared" si="431"/>
        <v>0</v>
      </c>
      <c r="HW85" s="135" t="str">
        <f t="shared" si="432"/>
        <v>F</v>
      </c>
      <c r="HX85" s="135" t="str">
        <f>VLOOKUP(RANK(HV85,$HV$10:$HV$109),Sheet1!$A$381:$B$480,2,FALSE)</f>
        <v>1st</v>
      </c>
      <c r="HY85" s="137"/>
      <c r="HZ85" s="137"/>
      <c r="IA85" s="137">
        <f t="shared" si="433"/>
        <v>0</v>
      </c>
      <c r="IB85" s="137" t="str">
        <f t="shared" si="434"/>
        <v>0</v>
      </c>
      <c r="IC85" s="137">
        <f t="shared" si="435"/>
        <v>0</v>
      </c>
      <c r="ID85" s="137">
        <f t="shared" si="436"/>
        <v>0</v>
      </c>
      <c r="IE85" s="135" t="str">
        <f t="shared" si="437"/>
        <v>F</v>
      </c>
      <c r="IF85" s="135" t="str">
        <f>VLOOKUP(RANK(ID85,$ID$10:$ID$109),Sheet1!$A$381:$B$480,2,FALSE)</f>
        <v>1st</v>
      </c>
      <c r="IG85" s="135"/>
      <c r="IH85" s="135"/>
      <c r="II85" s="135">
        <f t="shared" si="516"/>
        <v>0</v>
      </c>
      <c r="IJ85" s="135" t="str">
        <f t="shared" si="517"/>
        <v>0</v>
      </c>
      <c r="IK85" s="135">
        <f t="shared" si="518"/>
        <v>0</v>
      </c>
      <c r="IL85" s="135">
        <f t="shared" si="519"/>
        <v>0</v>
      </c>
      <c r="IM85" s="135" t="str">
        <f t="shared" si="438"/>
        <v>F</v>
      </c>
      <c r="IN85" s="135" t="str">
        <f>VLOOKUP(RANK(IL85,$IL$10:$IL$109),Sheet1!$A$381:$B$480,2,FALSE)</f>
        <v>1st</v>
      </c>
      <c r="IO85" s="135">
        <f t="shared" si="520"/>
        <v>606.5</v>
      </c>
      <c r="IP85" s="177">
        <f t="shared" si="521"/>
        <v>35.676470588235297</v>
      </c>
      <c r="IQ85" s="135" t="str">
        <f>VLOOKUP(RANK(IP85,$IP$10:$IP$109),Sheet1!$A$381:$B$480,2,FALSE)</f>
        <v>45th</v>
      </c>
      <c r="IR85" s="178"/>
      <c r="IS85" s="137"/>
      <c r="IT85" s="137"/>
      <c r="IU85" s="137"/>
      <c r="IV85" s="137"/>
      <c r="IW85" s="181"/>
      <c r="IX85" s="184"/>
      <c r="IY85" s="186"/>
      <c r="IZ85" s="186">
        <f t="shared" si="439"/>
        <v>0</v>
      </c>
      <c r="JA85" s="186" t="str">
        <f t="shared" si="440"/>
        <v>57</v>
      </c>
      <c r="JB85" s="186" t="str">
        <f t="shared" si="441"/>
        <v>60</v>
      </c>
      <c r="JC85" s="186">
        <f t="shared" si="522"/>
        <v>117</v>
      </c>
      <c r="JD85" s="186">
        <f t="shared" si="523"/>
        <v>39</v>
      </c>
      <c r="JE85" s="135" t="str">
        <f t="shared" si="442"/>
        <v>E</v>
      </c>
      <c r="JF85" s="151" t="str">
        <f>VLOOKUP(RANK(JD85,$JD$10:$JD$109),Sheet1!$A$381:$B$480,2,FALSE)</f>
        <v>77th</v>
      </c>
      <c r="JG85" s="186"/>
      <c r="JH85" s="186"/>
      <c r="JI85" s="186">
        <f t="shared" si="443"/>
        <v>0</v>
      </c>
      <c r="JJ85" s="186" t="str">
        <f t="shared" si="444"/>
        <v>54</v>
      </c>
      <c r="JK85" s="186" t="str">
        <f t="shared" si="445"/>
        <v>59</v>
      </c>
      <c r="JL85" s="186">
        <f t="shared" si="524"/>
        <v>113</v>
      </c>
      <c r="JM85" s="186">
        <f t="shared" si="525"/>
        <v>37.6666666666667</v>
      </c>
      <c r="JN85" s="135" t="str">
        <f t="shared" si="446"/>
        <v>E</v>
      </c>
      <c r="JO85" s="151" t="str">
        <f>VLOOKUP(RANK(JM85,$JM$10:$JM$109),Sheet1!$A$381:$B$480,2,FALSE)</f>
        <v>21st</v>
      </c>
      <c r="JP85" s="186"/>
      <c r="JQ85" s="186"/>
      <c r="JR85" s="186">
        <f t="shared" si="447"/>
        <v>0</v>
      </c>
      <c r="JS85" s="186" t="str">
        <f t="shared" si="448"/>
        <v>45</v>
      </c>
      <c r="JT85" s="186" t="str">
        <f t="shared" si="449"/>
        <v>46</v>
      </c>
      <c r="JU85" s="186">
        <f t="shared" si="526"/>
        <v>91</v>
      </c>
      <c r="JV85" s="186">
        <f t="shared" si="527"/>
        <v>30.3333333333333</v>
      </c>
      <c r="JW85" s="135" t="str">
        <f t="shared" si="450"/>
        <v>F</v>
      </c>
      <c r="JX85" s="151" t="str">
        <f>VLOOKUP(RANK(JV85,$JV$10:$JV$109),Sheet1!$A$381:$B$480,2,FALSE)</f>
        <v>50th</v>
      </c>
      <c r="JY85" s="186"/>
      <c r="JZ85" s="186"/>
      <c r="KA85" s="186">
        <f t="shared" si="451"/>
        <v>0</v>
      </c>
      <c r="KB85" s="186" t="str">
        <f t="shared" si="452"/>
        <v>51</v>
      </c>
      <c r="KC85" s="186" t="str">
        <f t="shared" si="453"/>
        <v>67</v>
      </c>
      <c r="KD85" s="186">
        <f t="shared" si="528"/>
        <v>118</v>
      </c>
      <c r="KE85" s="186">
        <f t="shared" si="529"/>
        <v>39.3333333333333</v>
      </c>
      <c r="KF85" s="135" t="str">
        <f t="shared" si="454"/>
        <v>E</v>
      </c>
      <c r="KG85" s="151" t="str">
        <f>VLOOKUP(RANK(KE85,$KE$10:$KE$109),Sheet1!$A$381:$B$480,2,FALSE)</f>
        <v>39th</v>
      </c>
      <c r="KH85" s="186"/>
      <c r="KI85" s="186"/>
      <c r="KJ85" s="186">
        <f t="shared" si="455"/>
        <v>0</v>
      </c>
      <c r="KK85" s="186" t="str">
        <f t="shared" si="456"/>
        <v>68</v>
      </c>
      <c r="KL85" s="186" t="str">
        <f t="shared" si="457"/>
        <v>44</v>
      </c>
      <c r="KM85" s="186">
        <f t="shared" si="530"/>
        <v>112</v>
      </c>
      <c r="KN85" s="186">
        <f t="shared" si="531"/>
        <v>37.3333333333333</v>
      </c>
      <c r="KO85" s="135" t="str">
        <f t="shared" si="458"/>
        <v>E</v>
      </c>
      <c r="KP85" s="151" t="str">
        <f>VLOOKUP(RANK(KN85,$KN$10:$KN$109),Sheet1!$A$381:$B$480,2,FALSE)</f>
        <v>45th</v>
      </c>
      <c r="KQ85" s="186"/>
      <c r="KR85" s="186"/>
      <c r="KS85" s="186">
        <f t="shared" si="459"/>
        <v>0</v>
      </c>
      <c r="KT85" s="186" t="str">
        <f t="shared" si="460"/>
        <v>0</v>
      </c>
      <c r="KU85" s="186" t="str">
        <f t="shared" si="461"/>
        <v>0</v>
      </c>
      <c r="KV85" s="186">
        <f t="shared" si="532"/>
        <v>0</v>
      </c>
      <c r="KW85" s="186">
        <f t="shared" si="533"/>
        <v>0</v>
      </c>
      <c r="KX85" s="135" t="str">
        <f t="shared" si="462"/>
        <v>F</v>
      </c>
      <c r="KY85" s="151" t="str">
        <f>VLOOKUP(RANK(KW85,$KW$10:$KW$109),Sheet1!$A$381:$B$480,2,FALSE)</f>
        <v>1st</v>
      </c>
      <c r="KZ85" s="186"/>
      <c r="LA85" s="186"/>
      <c r="LB85" s="186">
        <f t="shared" si="463"/>
        <v>0</v>
      </c>
      <c r="LC85" s="186" t="str">
        <f t="shared" si="464"/>
        <v>0</v>
      </c>
      <c r="LD85" s="186" t="str">
        <f t="shared" si="465"/>
        <v>0</v>
      </c>
      <c r="LE85" s="186">
        <f t="shared" si="534"/>
        <v>0</v>
      </c>
      <c r="LF85" s="186">
        <f t="shared" si="535"/>
        <v>0</v>
      </c>
      <c r="LG85" s="135" t="str">
        <f t="shared" si="466"/>
        <v>F</v>
      </c>
      <c r="LH85" s="151" t="str">
        <f>VLOOKUP(RANK(LF85,$LF$10:$LF$109),Sheet1!$A$381:$B$480,2,FALSE)</f>
        <v>1st</v>
      </c>
      <c r="LI85" s="186"/>
      <c r="LJ85" s="186"/>
      <c r="LK85" s="186">
        <f t="shared" si="467"/>
        <v>0</v>
      </c>
      <c r="LL85" s="186" t="str">
        <f t="shared" si="468"/>
        <v>52</v>
      </c>
      <c r="LM85" s="186" t="str">
        <f t="shared" si="469"/>
        <v>50</v>
      </c>
      <c r="LN85" s="186">
        <f t="shared" si="536"/>
        <v>102</v>
      </c>
      <c r="LO85" s="186">
        <f t="shared" si="537"/>
        <v>34</v>
      </c>
      <c r="LP85" s="135" t="str">
        <f t="shared" si="470"/>
        <v>F</v>
      </c>
      <c r="LQ85" s="151" t="str">
        <f>VLOOKUP(RANK(LO85,$LO$10:$LO$109),Sheet1!$A$381:$B$480,2,FALSE)</f>
        <v>56th</v>
      </c>
      <c r="LR85" s="186"/>
      <c r="LS85" s="186"/>
      <c r="LT85" s="186">
        <f t="shared" si="471"/>
        <v>0</v>
      </c>
      <c r="LU85" s="186" t="str">
        <f t="shared" si="472"/>
        <v>62</v>
      </c>
      <c r="LV85" s="186" t="str">
        <f t="shared" si="473"/>
        <v>51</v>
      </c>
      <c r="LW85" s="186">
        <f t="shared" si="538"/>
        <v>113</v>
      </c>
      <c r="LX85" s="186">
        <f t="shared" si="539"/>
        <v>37.6666666666667</v>
      </c>
      <c r="LY85" s="135" t="str">
        <f t="shared" si="474"/>
        <v>E</v>
      </c>
      <c r="LZ85" s="151" t="str">
        <f>VLOOKUP(RANK(LX85,$LX$10:$LX$109),Sheet1!$A$381:$B$480,2,FALSE)</f>
        <v>33rd</v>
      </c>
      <c r="MA85" s="186"/>
      <c r="MB85" s="186"/>
      <c r="MC85" s="186">
        <f t="shared" si="475"/>
        <v>0</v>
      </c>
      <c r="MD85" s="186" t="str">
        <f t="shared" si="476"/>
        <v>54</v>
      </c>
      <c r="ME85" s="186" t="str">
        <f t="shared" si="477"/>
        <v>40</v>
      </c>
      <c r="MF85" s="183">
        <f t="shared" si="540"/>
        <v>94</v>
      </c>
      <c r="MG85" s="151">
        <f t="shared" si="541"/>
        <v>31.3333333333333</v>
      </c>
      <c r="MH85" s="135" t="str">
        <f t="shared" si="478"/>
        <v>F</v>
      </c>
      <c r="MI85" s="151" t="str">
        <f>VLOOKUP(RANK(MG85,$MG$10:$MG$109),Sheet1!$A$381:$B$480,2,FALSE)</f>
        <v>21st</v>
      </c>
      <c r="MJ85" s="186"/>
      <c r="MK85" s="186"/>
      <c r="ML85" s="186">
        <f t="shared" si="479"/>
        <v>0</v>
      </c>
      <c r="MM85" s="186" t="str">
        <f t="shared" si="480"/>
        <v>54</v>
      </c>
      <c r="MN85" s="186" t="str">
        <f t="shared" si="481"/>
        <v>46</v>
      </c>
      <c r="MO85" s="186">
        <f t="shared" si="542"/>
        <v>100</v>
      </c>
      <c r="MP85" s="186">
        <f t="shared" si="543"/>
        <v>33.3333333333333</v>
      </c>
      <c r="MQ85" s="135" t="str">
        <f t="shared" si="482"/>
        <v>F</v>
      </c>
      <c r="MR85" s="151" t="str">
        <f>VLOOKUP(RANK(MP85,$MP$10:$MP$109),Sheet1!$A$381:$B$480,2,FALSE)</f>
        <v>22nd</v>
      </c>
      <c r="MS85" s="186"/>
      <c r="MT85" s="186"/>
      <c r="MU85" s="186">
        <f t="shared" si="483"/>
        <v>0</v>
      </c>
      <c r="MV85" s="186" t="str">
        <f t="shared" si="484"/>
        <v>50</v>
      </c>
      <c r="MW85" s="186" t="str">
        <f t="shared" si="485"/>
        <v>56</v>
      </c>
      <c r="MX85" s="186">
        <f t="shared" si="544"/>
        <v>106</v>
      </c>
      <c r="MY85" s="186">
        <f t="shared" si="545"/>
        <v>35.3333333333333</v>
      </c>
      <c r="MZ85" s="135" t="str">
        <f t="shared" si="486"/>
        <v>E</v>
      </c>
      <c r="NA85" s="151" t="str">
        <f>VLOOKUP(RANK(MY85,$MY$10:$MY$109),Sheet1!$A$381:$B$480,2,FALSE)</f>
        <v>44th</v>
      </c>
      <c r="NB85" s="186"/>
      <c r="NC85" s="186"/>
      <c r="ND85" s="186">
        <f t="shared" si="487"/>
        <v>0</v>
      </c>
      <c r="NE85" s="186" t="str">
        <f t="shared" si="488"/>
        <v>37</v>
      </c>
      <c r="NF85" s="186" t="str">
        <f t="shared" si="489"/>
        <v>38</v>
      </c>
      <c r="NG85" s="186">
        <f t="shared" si="546"/>
        <v>75</v>
      </c>
      <c r="NH85" s="186">
        <f t="shared" si="547"/>
        <v>25</v>
      </c>
      <c r="NI85" s="135" t="str">
        <f t="shared" si="490"/>
        <v>F</v>
      </c>
      <c r="NJ85" s="151" t="str">
        <f>VLOOKUP(RANK(NH85,$NH$10:$NH$109),Sheet1!$A$381:$B$480,2,FALSE)</f>
        <v>86th</v>
      </c>
      <c r="NK85" s="186"/>
      <c r="NL85" s="186"/>
      <c r="NM85" s="186">
        <f t="shared" si="491"/>
        <v>0</v>
      </c>
      <c r="NN85" s="186" t="str">
        <f t="shared" si="492"/>
        <v>55</v>
      </c>
      <c r="NO85" s="186" t="str">
        <f t="shared" si="493"/>
        <v>79</v>
      </c>
      <c r="NP85" s="186">
        <f t="shared" si="548"/>
        <v>134</v>
      </c>
      <c r="NQ85" s="186">
        <f t="shared" si="494"/>
        <v>44.6666666666667</v>
      </c>
      <c r="NR85" s="135" t="str">
        <f t="shared" si="495"/>
        <v>D</v>
      </c>
      <c r="NS85" s="151" t="str">
        <f>VLOOKUP(RANK(NQ85,$NQ$10:$NQ$109),Sheet1!$A$381:$B$480,2,FALSE)</f>
        <v>35th</v>
      </c>
      <c r="NT85" s="186"/>
      <c r="NU85" s="186"/>
      <c r="NV85" s="186">
        <f t="shared" si="496"/>
        <v>0</v>
      </c>
      <c r="NW85" s="186" t="str">
        <f t="shared" si="497"/>
        <v>0</v>
      </c>
      <c r="NX85" s="186" t="str">
        <f t="shared" si="498"/>
        <v>0</v>
      </c>
      <c r="NY85" s="186">
        <f t="shared" si="549"/>
        <v>0</v>
      </c>
      <c r="NZ85" s="186">
        <f t="shared" si="499"/>
        <v>0</v>
      </c>
      <c r="OA85" s="135" t="str">
        <f t="shared" si="500"/>
        <v>F</v>
      </c>
      <c r="OB85" s="151" t="str">
        <f>VLOOKUP(RANK(NZ85,$NZ$10:$NZ$109),Sheet1!$A$381:$B$480,2,FALSE)</f>
        <v>1st</v>
      </c>
      <c r="OC85" s="186"/>
      <c r="OD85" s="186"/>
      <c r="OE85" s="186">
        <f t="shared" si="501"/>
        <v>0</v>
      </c>
      <c r="OF85" s="186" t="str">
        <f t="shared" si="502"/>
        <v>0</v>
      </c>
      <c r="OG85" s="186" t="str">
        <f t="shared" si="503"/>
        <v>0</v>
      </c>
      <c r="OH85" s="186">
        <f t="shared" si="550"/>
        <v>0</v>
      </c>
      <c r="OI85" s="186">
        <f t="shared" si="504"/>
        <v>0</v>
      </c>
      <c r="OJ85" s="135" t="str">
        <f t="shared" si="505"/>
        <v>F</v>
      </c>
      <c r="OK85" s="151" t="str">
        <f>VLOOKUP(RANK(OI85,$OI$10:$OI$109),Sheet1!$A$381:$B$480,2,FALSE)</f>
        <v>1st</v>
      </c>
      <c r="OL85" s="151"/>
      <c r="OM85" s="151"/>
      <c r="ON85" s="151">
        <f t="shared" si="551"/>
        <v>0</v>
      </c>
      <c r="OO85" s="151" t="str">
        <f t="shared" si="552"/>
        <v>0</v>
      </c>
      <c r="OP85" s="151" t="str">
        <f t="shared" si="553"/>
        <v>0</v>
      </c>
      <c r="OQ85" s="151">
        <f t="shared" si="554"/>
        <v>0</v>
      </c>
      <c r="OR85" s="151">
        <f t="shared" si="555"/>
        <v>0</v>
      </c>
      <c r="OS85" s="135" t="str">
        <f t="shared" si="506"/>
        <v>F</v>
      </c>
      <c r="OT85" s="151" t="str">
        <f>VLOOKUP(RANK(OR85,$OI$10:$OI$109),Sheet1!$A$381:$B$480,2,FALSE)</f>
        <v>1st</v>
      </c>
      <c r="OU85" s="151">
        <f t="shared" si="556"/>
        <v>425</v>
      </c>
      <c r="OV85" s="151">
        <f t="shared" si="557"/>
        <v>25</v>
      </c>
      <c r="OW85" s="151" t="str">
        <f>VLOOKUP(RANK(OV85,$OV$10:$OV$109),Sheet1!$A$381:$B$480,2,FALSE)</f>
        <v>42nd</v>
      </c>
      <c r="OX85" s="151"/>
      <c r="OY85" s="186"/>
      <c r="OZ85" s="186"/>
      <c r="PA85" s="186"/>
      <c r="PB85" s="186"/>
    </row>
    <row r="86" spans="1:418" s="118" customFormat="1" ht="18.75">
      <c r="A86" s="131">
        <v>77</v>
      </c>
      <c r="B86" s="132" t="s">
        <v>176</v>
      </c>
      <c r="C86" s="133" t="s">
        <v>97</v>
      </c>
      <c r="D86" s="134">
        <v>23</v>
      </c>
      <c r="E86" s="134">
        <v>57</v>
      </c>
      <c r="F86" s="137">
        <f t="shared" si="315"/>
        <v>80</v>
      </c>
      <c r="G86" s="137">
        <f t="shared" si="316"/>
        <v>80</v>
      </c>
      <c r="H86" s="135" t="str">
        <f t="shared" si="507"/>
        <v>A</v>
      </c>
      <c r="I86" s="135" t="str">
        <f>VLOOKUP(RANK(G86,$G$10:$G$109),Sheet1!$A$381:$B$480,2,FALSE)</f>
        <v>7th</v>
      </c>
      <c r="J86" s="134">
        <v>30</v>
      </c>
      <c r="K86" s="134">
        <v>33</v>
      </c>
      <c r="L86" s="137">
        <f t="shared" si="317"/>
        <v>63</v>
      </c>
      <c r="M86" s="137">
        <f t="shared" si="318"/>
        <v>63</v>
      </c>
      <c r="N86" s="135" t="str">
        <f t="shared" si="319"/>
        <v>B</v>
      </c>
      <c r="O86" s="141" t="str">
        <f>VLOOKUP(RANK(M86,$M$10:$M$109),Sheet1!$A$381:$B$480,2,FALSE)</f>
        <v>19th</v>
      </c>
      <c r="P86" s="144">
        <v>38</v>
      </c>
      <c r="Q86" s="144">
        <v>56</v>
      </c>
      <c r="R86" s="147">
        <f t="shared" si="320"/>
        <v>94</v>
      </c>
      <c r="S86" s="137">
        <f t="shared" si="321"/>
        <v>94</v>
      </c>
      <c r="T86" s="135" t="str">
        <f t="shared" si="322"/>
        <v>A</v>
      </c>
      <c r="U86" s="135" t="str">
        <f>VLOOKUP(RANK(S86,$S$10:$S$109),Sheet1!$A$381:$B$480,2,FALSE)</f>
        <v>1st</v>
      </c>
      <c r="V86" s="134">
        <v>21</v>
      </c>
      <c r="W86" s="134">
        <v>51</v>
      </c>
      <c r="X86" s="137">
        <f t="shared" si="559"/>
        <v>72</v>
      </c>
      <c r="Y86" s="137">
        <f t="shared" si="558"/>
        <v>72</v>
      </c>
      <c r="Z86" s="135" t="str">
        <f t="shared" si="323"/>
        <v>B</v>
      </c>
      <c r="AA86" s="135" t="str">
        <f>VLOOKUP(RANK(Y86,$Y$10:$Y$109),Sheet1!$A$381:$B$480,2,FALSE)</f>
        <v>17th</v>
      </c>
      <c r="AB86" s="134">
        <v>38</v>
      </c>
      <c r="AC86" s="134">
        <v>57</v>
      </c>
      <c r="AD86" s="137">
        <f t="shared" si="324"/>
        <v>95</v>
      </c>
      <c r="AE86" s="137">
        <f t="shared" si="325"/>
        <v>95</v>
      </c>
      <c r="AF86" s="135" t="str">
        <f t="shared" si="326"/>
        <v>A</v>
      </c>
      <c r="AG86" s="135" t="str">
        <f>VLOOKUP(RANK(AE86,$AE$10:$AE$109),Sheet1!$A$381:$B$480,2,FALSE)</f>
        <v>3rd</v>
      </c>
      <c r="AH86" s="137"/>
      <c r="AI86" s="137"/>
      <c r="AJ86" s="137">
        <f t="shared" si="327"/>
        <v>0</v>
      </c>
      <c r="AK86" s="137">
        <f t="shared" si="328"/>
        <v>0</v>
      </c>
      <c r="AL86" s="135" t="str">
        <f t="shared" si="329"/>
        <v>F</v>
      </c>
      <c r="AM86" s="135" t="str">
        <f>VLOOKUP(RANK(AK86,$AK$10:$AK$109),Sheet1!$A$381:$B$480,2,FALSE)</f>
        <v>1st</v>
      </c>
      <c r="AN86" s="134"/>
      <c r="AO86" s="134"/>
      <c r="AP86" s="137">
        <f t="shared" si="330"/>
        <v>0</v>
      </c>
      <c r="AQ86" s="137">
        <f t="shared" si="331"/>
        <v>0</v>
      </c>
      <c r="AR86" s="135" t="str">
        <f t="shared" si="332"/>
        <v>F</v>
      </c>
      <c r="AS86" s="135" t="str">
        <f>VLOOKUP(RANK(AQ86,$AQ$10:$AQ$109),Sheet1!$A$381:$B$480,2,FALSE)</f>
        <v>1st</v>
      </c>
      <c r="AT86" s="144">
        <v>26</v>
      </c>
      <c r="AU86" s="144">
        <v>25</v>
      </c>
      <c r="AV86" s="137">
        <f t="shared" si="333"/>
        <v>51</v>
      </c>
      <c r="AW86" s="137">
        <f t="shared" si="334"/>
        <v>51</v>
      </c>
      <c r="AX86" s="135" t="str">
        <f t="shared" si="335"/>
        <v>C</v>
      </c>
      <c r="AY86" s="141" t="str">
        <f>VLOOKUP(RANK(AW86,$AW$10:$AW$109),Sheet1!$A$381:$B$480,2,FALSE)</f>
        <v>45th</v>
      </c>
      <c r="AZ86" s="144">
        <v>34</v>
      </c>
      <c r="BA86" s="144">
        <v>28</v>
      </c>
      <c r="BB86" s="147">
        <f t="shared" si="336"/>
        <v>62</v>
      </c>
      <c r="BC86" s="137">
        <f t="shared" si="337"/>
        <v>62</v>
      </c>
      <c r="BD86" s="135" t="str">
        <f t="shared" si="338"/>
        <v>B</v>
      </c>
      <c r="BE86" s="135" t="str">
        <f>VLOOKUP(RANK(BC86,$BC$10:$BC$109),Sheet1!$A$381:$B$480,2,FALSE)</f>
        <v>25th</v>
      </c>
      <c r="BF86" s="144">
        <v>22</v>
      </c>
      <c r="BG86" s="144">
        <v>28</v>
      </c>
      <c r="BH86" s="137">
        <f t="shared" si="339"/>
        <v>50</v>
      </c>
      <c r="BI86" s="137">
        <f t="shared" si="340"/>
        <v>50</v>
      </c>
      <c r="BJ86" s="135" t="str">
        <f t="shared" si="341"/>
        <v>C</v>
      </c>
      <c r="BK86" s="141" t="str">
        <f>VLOOKUP(RANK(BI86,$BI$10:$BI$109),Sheet1!$A$381:$B$480,2,FALSE)</f>
        <v>14th</v>
      </c>
      <c r="BL86" s="149">
        <v>27</v>
      </c>
      <c r="BM86" s="149">
        <v>29</v>
      </c>
      <c r="BN86" s="147">
        <f t="shared" si="342"/>
        <v>56</v>
      </c>
      <c r="BO86" s="137">
        <f t="shared" si="343"/>
        <v>56</v>
      </c>
      <c r="BP86" s="135" t="str">
        <f t="shared" si="344"/>
        <v>C</v>
      </c>
      <c r="BQ86" s="141" t="str">
        <f>VLOOKUP(RANK(BO86,$BO$10:$BO$109),Sheet1!$A$381:$B$480,2,FALSE)</f>
        <v>13th</v>
      </c>
      <c r="BR86" s="149">
        <v>29</v>
      </c>
      <c r="BS86" s="149">
        <v>43</v>
      </c>
      <c r="BT86" s="147">
        <f t="shared" si="345"/>
        <v>72</v>
      </c>
      <c r="BU86" s="137">
        <f t="shared" si="346"/>
        <v>72</v>
      </c>
      <c r="BV86" s="135" t="str">
        <f t="shared" si="347"/>
        <v>B</v>
      </c>
      <c r="BW86" s="135" t="str">
        <f>VLOOKUP(RANK(BU86,$BU$10:$BU$109),Sheet1!$A$381:$B$480,2,FALSE)</f>
        <v>8th</v>
      </c>
      <c r="BX86" s="149">
        <v>28</v>
      </c>
      <c r="BY86" s="149">
        <v>35</v>
      </c>
      <c r="BZ86" s="137">
        <f t="shared" si="348"/>
        <v>63</v>
      </c>
      <c r="CA86" s="137">
        <f t="shared" si="349"/>
        <v>63</v>
      </c>
      <c r="CB86" s="135" t="str">
        <f t="shared" si="350"/>
        <v>B</v>
      </c>
      <c r="CC86" s="135" t="str">
        <f>VLOOKUP(RANK(CA86,$CA$10:$CA$109),Sheet1!$A$381:$B$480,2,FALSE)</f>
        <v>3rd</v>
      </c>
      <c r="CD86" s="149">
        <v>33</v>
      </c>
      <c r="CE86" s="149">
        <v>52</v>
      </c>
      <c r="CF86" s="137">
        <f t="shared" si="351"/>
        <v>85</v>
      </c>
      <c r="CG86" s="137">
        <f t="shared" si="352"/>
        <v>85</v>
      </c>
      <c r="CH86" s="135" t="str">
        <f t="shared" si="353"/>
        <v>A</v>
      </c>
      <c r="CI86" s="135" t="str">
        <f>VLOOKUP(RANK(CG86,$CG$10:$CG$109),Sheet1!$A$381:$B$480,2,FALSE)</f>
        <v>2nd</v>
      </c>
      <c r="CJ86" s="137"/>
      <c r="CK86" s="137"/>
      <c r="CL86" s="137">
        <f t="shared" si="354"/>
        <v>0</v>
      </c>
      <c r="CM86" s="137">
        <f t="shared" si="355"/>
        <v>0</v>
      </c>
      <c r="CN86" s="135" t="str">
        <f t="shared" si="356"/>
        <v>F</v>
      </c>
      <c r="CO86" s="135" t="str">
        <f>VLOOKUP(RANK(CM86,$CM$10:$CM$109),Sheet1!$A$381:$B$480,2,FALSE)</f>
        <v>1st</v>
      </c>
      <c r="CP86" s="137"/>
      <c r="CQ86" s="137"/>
      <c r="CR86" s="137">
        <f t="shared" si="357"/>
        <v>0</v>
      </c>
      <c r="CS86" s="137">
        <f t="shared" si="358"/>
        <v>0</v>
      </c>
      <c r="CT86" s="135" t="str">
        <f t="shared" si="359"/>
        <v>F</v>
      </c>
      <c r="CU86" s="135" t="str">
        <f>VLOOKUP(RANK(CS86,$CS$10:$CS$109),Sheet1!$A$381:$B$480,2,FALSE)</f>
        <v>1st</v>
      </c>
      <c r="CV86" s="151"/>
      <c r="CW86" s="135"/>
      <c r="CX86" s="151">
        <f t="shared" si="508"/>
        <v>0</v>
      </c>
      <c r="CY86" s="151">
        <f t="shared" si="509"/>
        <v>0</v>
      </c>
      <c r="CZ86" s="135" t="str">
        <f t="shared" si="360"/>
        <v>F</v>
      </c>
      <c r="DA86" s="135" t="str">
        <f>VLOOKUP(RANK(CY86,$CY$10:$CY$109),Sheet1!$A$381:$B$480,2,FALSE)</f>
        <v>1st</v>
      </c>
      <c r="DB86" s="135"/>
      <c r="DC86" s="151">
        <f t="shared" si="510"/>
        <v>843</v>
      </c>
      <c r="DD86" s="151">
        <f t="shared" si="511"/>
        <v>49.588235294117602</v>
      </c>
      <c r="DE86" s="135" t="str">
        <f>VLOOKUP(RANK(DD86,$DD$10:$DD$109),Sheet1!$A$381:$B$480,2,FALSE)</f>
        <v>4th</v>
      </c>
      <c r="DF86" s="137"/>
      <c r="DG86" s="160">
        <f t="shared" si="361"/>
        <v>892.58823529411802</v>
      </c>
      <c r="DH86" s="119"/>
      <c r="DI86" s="162">
        <v>31</v>
      </c>
      <c r="DJ86" s="162">
        <v>55</v>
      </c>
      <c r="DK86" s="137">
        <f t="shared" si="362"/>
        <v>86</v>
      </c>
      <c r="DL86" s="137" t="str">
        <f t="shared" si="363"/>
        <v>80</v>
      </c>
      <c r="DM86" s="137">
        <f t="shared" si="364"/>
        <v>166</v>
      </c>
      <c r="DN86" s="137">
        <f t="shared" si="365"/>
        <v>83</v>
      </c>
      <c r="DO86" s="135" t="str">
        <f t="shared" si="366"/>
        <v>A</v>
      </c>
      <c r="DP86" s="135" t="str">
        <f>VLOOKUP(RANK(DN86,$DN$10:$DN$109),Sheet1!$A$381:$B$480,2,FALSE)</f>
        <v>2nd</v>
      </c>
      <c r="DQ86" s="166">
        <v>29</v>
      </c>
      <c r="DR86" s="166">
        <v>41</v>
      </c>
      <c r="DS86" s="137">
        <f t="shared" si="367"/>
        <v>70</v>
      </c>
      <c r="DT86" s="137" t="str">
        <f t="shared" si="368"/>
        <v>63</v>
      </c>
      <c r="DU86" s="137">
        <f t="shared" si="369"/>
        <v>133</v>
      </c>
      <c r="DV86" s="137">
        <f t="shared" si="370"/>
        <v>66.5</v>
      </c>
      <c r="DW86" s="135" t="str">
        <f t="shared" si="371"/>
        <v>B</v>
      </c>
      <c r="DX86" s="135" t="str">
        <f>VLOOKUP(RANK(DV86,$DV$10:$DV$109),Sheet1!$A$381:$B$480,2,FALSE)</f>
        <v>6th</v>
      </c>
      <c r="DY86" s="168">
        <v>36</v>
      </c>
      <c r="DZ86" s="168">
        <v>40</v>
      </c>
      <c r="EA86" s="137">
        <f t="shared" si="372"/>
        <v>76</v>
      </c>
      <c r="EB86" s="137" t="str">
        <f t="shared" si="373"/>
        <v>94</v>
      </c>
      <c r="EC86" s="137">
        <f t="shared" si="374"/>
        <v>170</v>
      </c>
      <c r="ED86" s="137">
        <f t="shared" si="375"/>
        <v>85</v>
      </c>
      <c r="EE86" s="135" t="str">
        <f t="shared" si="376"/>
        <v>A</v>
      </c>
      <c r="EF86" s="135" t="str">
        <f>VLOOKUP(RANK(ED86,$ED$10:$ED$109),Sheet1!$A$381:$B$480,2,FALSE)</f>
        <v>1st</v>
      </c>
      <c r="EG86" s="162">
        <v>34</v>
      </c>
      <c r="EH86" s="162">
        <v>52</v>
      </c>
      <c r="EI86" s="137">
        <f t="shared" si="377"/>
        <v>86</v>
      </c>
      <c r="EJ86" s="137" t="str">
        <f t="shared" si="378"/>
        <v>72</v>
      </c>
      <c r="EK86" s="137">
        <f t="shared" si="379"/>
        <v>158</v>
      </c>
      <c r="EL86" s="137">
        <f t="shared" si="380"/>
        <v>79</v>
      </c>
      <c r="EM86" s="135" t="str">
        <f t="shared" si="381"/>
        <v>A</v>
      </c>
      <c r="EN86" s="135" t="str">
        <f>VLOOKUP(RANK(EL86,$EL$10:$EL$109),Sheet1!$A$381:$B$480,2,FALSE)</f>
        <v>4th</v>
      </c>
      <c r="EO86" s="162">
        <v>37</v>
      </c>
      <c r="EP86" s="162">
        <v>43</v>
      </c>
      <c r="EQ86" s="137">
        <f t="shared" si="382"/>
        <v>80</v>
      </c>
      <c r="ER86" s="137" t="str">
        <f t="shared" si="383"/>
        <v>95</v>
      </c>
      <c r="ES86" s="137">
        <f t="shared" si="384"/>
        <v>175</v>
      </c>
      <c r="ET86" s="137">
        <f t="shared" si="385"/>
        <v>87.5</v>
      </c>
      <c r="EU86" s="135" t="str">
        <f t="shared" si="386"/>
        <v>A</v>
      </c>
      <c r="EV86" s="135" t="str">
        <f>VLOOKUP(RANK(ET86,$ET$10:$ET$109),Sheet1!$A$381:$B$480,2,FALSE)</f>
        <v>2nd</v>
      </c>
      <c r="EW86" s="137"/>
      <c r="EX86" s="137"/>
      <c r="EY86" s="137">
        <f t="shared" si="387"/>
        <v>0</v>
      </c>
      <c r="EZ86" s="137" t="str">
        <f t="shared" si="388"/>
        <v>0</v>
      </c>
      <c r="FA86" s="137">
        <f t="shared" si="389"/>
        <v>0</v>
      </c>
      <c r="FB86" s="137">
        <f t="shared" si="390"/>
        <v>0</v>
      </c>
      <c r="FC86" s="135" t="str">
        <f t="shared" si="391"/>
        <v>F</v>
      </c>
      <c r="FD86" s="135" t="str">
        <f>VLOOKUP(RANK(FB86,$FB$10:$FB$109),Sheet1!$A$381:$B$480,2,FALSE)</f>
        <v>1st</v>
      </c>
      <c r="FE86" s="137"/>
      <c r="FF86" s="137"/>
      <c r="FG86" s="137">
        <f t="shared" si="392"/>
        <v>0</v>
      </c>
      <c r="FH86" s="137" t="str">
        <f t="shared" si="393"/>
        <v>0</v>
      </c>
      <c r="FI86" s="137">
        <f t="shared" si="394"/>
        <v>0</v>
      </c>
      <c r="FJ86" s="137">
        <f t="shared" si="395"/>
        <v>0</v>
      </c>
      <c r="FK86" s="135" t="str">
        <f t="shared" si="396"/>
        <v>F</v>
      </c>
      <c r="FL86" s="135" t="str">
        <f>VLOOKUP(RANK(FJ86,$FJ$10:$FJ$109),Sheet1!$A$381:$B$480,2,FALSE)</f>
        <v>1st</v>
      </c>
      <c r="FM86" s="166">
        <v>27</v>
      </c>
      <c r="FN86" s="166">
        <v>29</v>
      </c>
      <c r="FO86" s="137">
        <f t="shared" si="397"/>
        <v>56</v>
      </c>
      <c r="FP86" s="137" t="str">
        <f t="shared" si="398"/>
        <v>51</v>
      </c>
      <c r="FQ86" s="137">
        <f t="shared" si="399"/>
        <v>107</v>
      </c>
      <c r="FR86" s="137">
        <f t="shared" si="400"/>
        <v>53.5</v>
      </c>
      <c r="FS86" s="135" t="str">
        <f t="shared" si="401"/>
        <v>C</v>
      </c>
      <c r="FT86" s="135" t="str">
        <f>VLOOKUP(RANK(FR86,$FR$10:$FR$109),Sheet1!$A$381:$B$480,2,FALSE)</f>
        <v>33rd</v>
      </c>
      <c r="FU86" s="149">
        <v>26</v>
      </c>
      <c r="FV86" s="149">
        <v>36</v>
      </c>
      <c r="FW86" s="137">
        <f t="shared" si="402"/>
        <v>62</v>
      </c>
      <c r="FX86" s="137" t="str">
        <f t="shared" si="403"/>
        <v>62</v>
      </c>
      <c r="FY86" s="137">
        <f t="shared" si="512"/>
        <v>62</v>
      </c>
      <c r="FZ86" s="137">
        <f t="shared" si="404"/>
        <v>31</v>
      </c>
      <c r="GA86" s="135" t="str">
        <f t="shared" si="405"/>
        <v>F</v>
      </c>
      <c r="GB86" s="135" t="str">
        <f>VLOOKUP(RANK(FZ86,$FZ$10:$FZ$109),Sheet1!$A$381:$B$480,2,FALSE)</f>
        <v>16th</v>
      </c>
      <c r="GC86" s="166">
        <v>28</v>
      </c>
      <c r="GD86" s="166">
        <v>32</v>
      </c>
      <c r="GE86" s="137">
        <f t="shared" si="406"/>
        <v>60</v>
      </c>
      <c r="GF86" s="137" t="str">
        <f t="shared" si="407"/>
        <v>50</v>
      </c>
      <c r="GG86" s="135">
        <f t="shared" si="513"/>
        <v>110</v>
      </c>
      <c r="GH86" s="137">
        <f t="shared" si="514"/>
        <v>55</v>
      </c>
      <c r="GI86" s="135" t="str">
        <f t="shared" si="408"/>
        <v>C</v>
      </c>
      <c r="GJ86" s="135" t="str">
        <f>VLOOKUP(RANK(GH86,$GH$10:$GH$109),Sheet1!$A$381:$B$480,2,FALSE)</f>
        <v>9th</v>
      </c>
      <c r="GK86" s="166">
        <v>26</v>
      </c>
      <c r="GL86" s="166">
        <v>14</v>
      </c>
      <c r="GM86" s="137">
        <f t="shared" si="409"/>
        <v>40</v>
      </c>
      <c r="GN86" s="137" t="str">
        <f t="shared" si="410"/>
        <v>56</v>
      </c>
      <c r="GO86" s="135">
        <f t="shared" si="515"/>
        <v>96</v>
      </c>
      <c r="GP86" s="137">
        <f t="shared" si="411"/>
        <v>48</v>
      </c>
      <c r="GQ86" s="135" t="str">
        <f t="shared" si="412"/>
        <v>D</v>
      </c>
      <c r="GR86" s="135" t="str">
        <f>VLOOKUP(RANK(GP86,$GP$10:$GP$109),Sheet1!$A$381:$B$480,2,FALSE)</f>
        <v>45th</v>
      </c>
      <c r="GS86" s="166">
        <v>35</v>
      </c>
      <c r="GT86" s="166">
        <v>50</v>
      </c>
      <c r="GU86" s="137">
        <f t="shared" si="413"/>
        <v>85</v>
      </c>
      <c r="GV86" s="137" t="str">
        <f t="shared" si="414"/>
        <v>72</v>
      </c>
      <c r="GW86" s="137">
        <f t="shared" si="415"/>
        <v>157</v>
      </c>
      <c r="GX86" s="137">
        <f t="shared" si="416"/>
        <v>78.5</v>
      </c>
      <c r="GY86" s="135" t="str">
        <f t="shared" si="417"/>
        <v>A</v>
      </c>
      <c r="GZ86" s="135" t="str">
        <f>VLOOKUP(RANK(GX86,$GX$10:$GX$109),Sheet1!$A$381:$B$480,2,FALSE)</f>
        <v>3rd</v>
      </c>
      <c r="HA86" s="166">
        <v>28</v>
      </c>
      <c r="HB86" s="166">
        <v>46</v>
      </c>
      <c r="HC86" s="137">
        <f t="shared" si="418"/>
        <v>74</v>
      </c>
      <c r="HD86" s="137" t="str">
        <f t="shared" si="419"/>
        <v>63</v>
      </c>
      <c r="HE86" s="137">
        <f t="shared" si="420"/>
        <v>137</v>
      </c>
      <c r="HF86" s="137">
        <f t="shared" si="421"/>
        <v>68.5</v>
      </c>
      <c r="HG86" s="135" t="str">
        <f t="shared" si="422"/>
        <v>B</v>
      </c>
      <c r="HH86" s="135" t="str">
        <f>VLOOKUP(RANK(HF86,$HF$10:$HF$109),Sheet1!$A$381:$B$480,2,FALSE)</f>
        <v>1st</v>
      </c>
      <c r="HI86" s="149">
        <v>30</v>
      </c>
      <c r="HJ86" s="149">
        <v>56</v>
      </c>
      <c r="HK86" s="137">
        <f t="shared" si="423"/>
        <v>86</v>
      </c>
      <c r="HL86" s="137" t="str">
        <f t="shared" si="424"/>
        <v>85</v>
      </c>
      <c r="HM86" s="137">
        <f t="shared" si="425"/>
        <v>171</v>
      </c>
      <c r="HN86" s="137">
        <f t="shared" si="426"/>
        <v>85.5</v>
      </c>
      <c r="HO86" s="135" t="str">
        <f t="shared" si="427"/>
        <v>A</v>
      </c>
      <c r="HP86" s="135" t="str">
        <f>VLOOKUP(RANK(HN86,$HN$10:$HN$109),Sheet1!$A$381:$B$480,2,FALSE)</f>
        <v>1st</v>
      </c>
      <c r="HQ86" s="137"/>
      <c r="HR86" s="137"/>
      <c r="HS86" s="137">
        <f t="shared" si="428"/>
        <v>0</v>
      </c>
      <c r="HT86" s="137" t="str">
        <f t="shared" si="429"/>
        <v>0</v>
      </c>
      <c r="HU86" s="137">
        <f t="shared" si="430"/>
        <v>0</v>
      </c>
      <c r="HV86" s="137">
        <f t="shared" si="431"/>
        <v>0</v>
      </c>
      <c r="HW86" s="135" t="str">
        <f t="shared" si="432"/>
        <v>F</v>
      </c>
      <c r="HX86" s="135" t="str">
        <f>VLOOKUP(RANK(HV86,$HV$10:$HV$109),Sheet1!$A$381:$B$480,2,FALSE)</f>
        <v>1st</v>
      </c>
      <c r="HY86" s="137"/>
      <c r="HZ86" s="137"/>
      <c r="IA86" s="137">
        <f t="shared" si="433"/>
        <v>0</v>
      </c>
      <c r="IB86" s="137" t="str">
        <f t="shared" si="434"/>
        <v>0</v>
      </c>
      <c r="IC86" s="137">
        <f t="shared" si="435"/>
        <v>0</v>
      </c>
      <c r="ID86" s="137">
        <f t="shared" si="436"/>
        <v>0</v>
      </c>
      <c r="IE86" s="135" t="str">
        <f t="shared" si="437"/>
        <v>F</v>
      </c>
      <c r="IF86" s="135" t="str">
        <f>VLOOKUP(RANK(ID86,$ID$10:$ID$109),Sheet1!$A$381:$B$480,2,FALSE)</f>
        <v>1st</v>
      </c>
      <c r="IG86" s="135"/>
      <c r="IH86" s="135"/>
      <c r="II86" s="135">
        <f t="shared" si="516"/>
        <v>0</v>
      </c>
      <c r="IJ86" s="135" t="str">
        <f t="shared" si="517"/>
        <v>0</v>
      </c>
      <c r="IK86" s="135">
        <f t="shared" si="518"/>
        <v>0</v>
      </c>
      <c r="IL86" s="135">
        <f t="shared" si="519"/>
        <v>0</v>
      </c>
      <c r="IM86" s="135" t="str">
        <f t="shared" si="438"/>
        <v>F</v>
      </c>
      <c r="IN86" s="135" t="str">
        <f>VLOOKUP(RANK(IL86,$IL$10:$IL$109),Sheet1!$A$381:$B$480,2,FALSE)</f>
        <v>1st</v>
      </c>
      <c r="IO86" s="135">
        <f t="shared" si="520"/>
        <v>821</v>
      </c>
      <c r="IP86" s="177">
        <f t="shared" si="521"/>
        <v>48.294117647058798</v>
      </c>
      <c r="IQ86" s="135" t="str">
        <f>VLOOKUP(RANK(IP86,$IP$10:$IP$109),Sheet1!$A$381:$B$480,2,FALSE)</f>
        <v>2nd</v>
      </c>
      <c r="IR86" s="178"/>
      <c r="IS86" s="137"/>
      <c r="IT86" s="137"/>
      <c r="IU86" s="137"/>
      <c r="IV86" s="137"/>
      <c r="IW86" s="181"/>
      <c r="IX86" s="184"/>
      <c r="IY86" s="186"/>
      <c r="IZ86" s="186">
        <f t="shared" si="439"/>
        <v>0</v>
      </c>
      <c r="JA86" s="186" t="str">
        <f t="shared" si="440"/>
        <v>80</v>
      </c>
      <c r="JB86" s="186" t="str">
        <f t="shared" si="441"/>
        <v>86</v>
      </c>
      <c r="JC86" s="186">
        <f t="shared" si="522"/>
        <v>166</v>
      </c>
      <c r="JD86" s="186">
        <f t="shared" si="523"/>
        <v>55.3333333333333</v>
      </c>
      <c r="JE86" s="135" t="str">
        <f t="shared" si="442"/>
        <v>C</v>
      </c>
      <c r="JF86" s="151" t="str">
        <f>VLOOKUP(RANK(JD86,$JD$10:$JD$109),Sheet1!$A$381:$B$480,2,FALSE)</f>
        <v>2nd</v>
      </c>
      <c r="JG86" s="186"/>
      <c r="JH86" s="186"/>
      <c r="JI86" s="186">
        <f t="shared" si="443"/>
        <v>0</v>
      </c>
      <c r="JJ86" s="186" t="str">
        <f t="shared" si="444"/>
        <v>63</v>
      </c>
      <c r="JK86" s="186" t="str">
        <f t="shared" si="445"/>
        <v>70</v>
      </c>
      <c r="JL86" s="186">
        <f t="shared" si="524"/>
        <v>133</v>
      </c>
      <c r="JM86" s="186">
        <f t="shared" si="525"/>
        <v>44.3333333333333</v>
      </c>
      <c r="JN86" s="135" t="str">
        <f t="shared" si="446"/>
        <v>D</v>
      </c>
      <c r="JO86" s="151" t="str">
        <f>VLOOKUP(RANK(JM86,$JM$10:$JM$109),Sheet1!$A$381:$B$480,2,FALSE)</f>
        <v>6th</v>
      </c>
      <c r="JP86" s="186"/>
      <c r="JQ86" s="186"/>
      <c r="JR86" s="186">
        <f t="shared" si="447"/>
        <v>0</v>
      </c>
      <c r="JS86" s="186" t="str">
        <f t="shared" si="448"/>
        <v>94</v>
      </c>
      <c r="JT86" s="186" t="str">
        <f t="shared" si="449"/>
        <v>76</v>
      </c>
      <c r="JU86" s="186">
        <f t="shared" si="526"/>
        <v>170</v>
      </c>
      <c r="JV86" s="186">
        <f t="shared" si="527"/>
        <v>56.6666666666667</v>
      </c>
      <c r="JW86" s="135" t="str">
        <f t="shared" si="450"/>
        <v>C</v>
      </c>
      <c r="JX86" s="151" t="str">
        <f>VLOOKUP(RANK(JV86,$JV$10:$JV$109),Sheet1!$A$381:$B$480,2,FALSE)</f>
        <v>1st</v>
      </c>
      <c r="JY86" s="186"/>
      <c r="JZ86" s="186"/>
      <c r="KA86" s="186">
        <f t="shared" si="451"/>
        <v>0</v>
      </c>
      <c r="KB86" s="186" t="str">
        <f t="shared" si="452"/>
        <v>72</v>
      </c>
      <c r="KC86" s="186" t="str">
        <f t="shared" si="453"/>
        <v>86</v>
      </c>
      <c r="KD86" s="186">
        <f t="shared" si="528"/>
        <v>158</v>
      </c>
      <c r="KE86" s="186">
        <f t="shared" si="529"/>
        <v>52.6666666666667</v>
      </c>
      <c r="KF86" s="135" t="str">
        <f t="shared" si="454"/>
        <v>C</v>
      </c>
      <c r="KG86" s="151" t="str">
        <f>VLOOKUP(RANK(KE86,$KE$10:$KE$109),Sheet1!$A$381:$B$480,2,FALSE)</f>
        <v>4th</v>
      </c>
      <c r="KH86" s="186"/>
      <c r="KI86" s="186"/>
      <c r="KJ86" s="186">
        <f t="shared" si="455"/>
        <v>0</v>
      </c>
      <c r="KK86" s="186" t="str">
        <f t="shared" si="456"/>
        <v>95</v>
      </c>
      <c r="KL86" s="186" t="str">
        <f t="shared" si="457"/>
        <v>80</v>
      </c>
      <c r="KM86" s="186">
        <f t="shared" si="530"/>
        <v>175</v>
      </c>
      <c r="KN86" s="186">
        <f t="shared" si="531"/>
        <v>58.3333333333333</v>
      </c>
      <c r="KO86" s="135" t="str">
        <f t="shared" si="458"/>
        <v>C</v>
      </c>
      <c r="KP86" s="151" t="str">
        <f>VLOOKUP(RANK(KN86,$KN$10:$KN$109),Sheet1!$A$381:$B$480,2,FALSE)</f>
        <v>2nd</v>
      </c>
      <c r="KQ86" s="186"/>
      <c r="KR86" s="186"/>
      <c r="KS86" s="186">
        <f t="shared" si="459"/>
        <v>0</v>
      </c>
      <c r="KT86" s="186" t="str">
        <f t="shared" si="460"/>
        <v>0</v>
      </c>
      <c r="KU86" s="186" t="str">
        <f t="shared" si="461"/>
        <v>0</v>
      </c>
      <c r="KV86" s="186">
        <f t="shared" si="532"/>
        <v>0</v>
      </c>
      <c r="KW86" s="186">
        <f t="shared" si="533"/>
        <v>0</v>
      </c>
      <c r="KX86" s="135" t="str">
        <f t="shared" si="462"/>
        <v>F</v>
      </c>
      <c r="KY86" s="151" t="str">
        <f>VLOOKUP(RANK(KW86,$KW$10:$KW$109),Sheet1!$A$381:$B$480,2,FALSE)</f>
        <v>1st</v>
      </c>
      <c r="KZ86" s="186"/>
      <c r="LA86" s="186"/>
      <c r="LB86" s="186">
        <f t="shared" si="463"/>
        <v>0</v>
      </c>
      <c r="LC86" s="186" t="str">
        <f t="shared" si="464"/>
        <v>0</v>
      </c>
      <c r="LD86" s="186" t="str">
        <f t="shared" si="465"/>
        <v>0</v>
      </c>
      <c r="LE86" s="186">
        <f t="shared" si="534"/>
        <v>0</v>
      </c>
      <c r="LF86" s="186">
        <f t="shared" si="535"/>
        <v>0</v>
      </c>
      <c r="LG86" s="135" t="str">
        <f t="shared" si="466"/>
        <v>F</v>
      </c>
      <c r="LH86" s="151" t="str">
        <f>VLOOKUP(RANK(LF86,$LF$10:$LF$109),Sheet1!$A$381:$B$480,2,FALSE)</f>
        <v>1st</v>
      </c>
      <c r="LI86" s="186"/>
      <c r="LJ86" s="186"/>
      <c r="LK86" s="186">
        <f t="shared" si="467"/>
        <v>0</v>
      </c>
      <c r="LL86" s="186" t="str">
        <f t="shared" si="468"/>
        <v>51</v>
      </c>
      <c r="LM86" s="186" t="str">
        <f t="shared" si="469"/>
        <v>56</v>
      </c>
      <c r="LN86" s="186">
        <f t="shared" si="536"/>
        <v>107</v>
      </c>
      <c r="LO86" s="186">
        <f t="shared" si="537"/>
        <v>35.6666666666667</v>
      </c>
      <c r="LP86" s="135" t="str">
        <f t="shared" si="470"/>
        <v>E</v>
      </c>
      <c r="LQ86" s="151" t="str">
        <f>VLOOKUP(RANK(LO86,$LO$10:$LO$109),Sheet1!$A$381:$B$480,2,FALSE)</f>
        <v>33rd</v>
      </c>
      <c r="LR86" s="186"/>
      <c r="LS86" s="186"/>
      <c r="LT86" s="186">
        <f t="shared" si="471"/>
        <v>0</v>
      </c>
      <c r="LU86" s="186" t="str">
        <f t="shared" si="472"/>
        <v>62</v>
      </c>
      <c r="LV86" s="186" t="str">
        <f t="shared" si="473"/>
        <v>62</v>
      </c>
      <c r="LW86" s="186">
        <f t="shared" si="538"/>
        <v>124</v>
      </c>
      <c r="LX86" s="186">
        <f t="shared" si="539"/>
        <v>41.3333333333333</v>
      </c>
      <c r="LY86" s="135" t="str">
        <f t="shared" si="474"/>
        <v>D</v>
      </c>
      <c r="LZ86" s="151" t="str">
        <f>VLOOKUP(RANK(LX86,$LX$10:$LX$109),Sheet1!$A$381:$B$480,2,FALSE)</f>
        <v>14th</v>
      </c>
      <c r="MA86" s="186"/>
      <c r="MB86" s="186"/>
      <c r="MC86" s="186">
        <f t="shared" si="475"/>
        <v>0</v>
      </c>
      <c r="MD86" s="186" t="str">
        <f t="shared" si="476"/>
        <v>50</v>
      </c>
      <c r="ME86" s="186" t="str">
        <f t="shared" si="477"/>
        <v>60</v>
      </c>
      <c r="MF86" s="183">
        <f t="shared" si="540"/>
        <v>110</v>
      </c>
      <c r="MG86" s="151">
        <f t="shared" si="541"/>
        <v>36.6666666666667</v>
      </c>
      <c r="MH86" s="135" t="str">
        <f t="shared" si="478"/>
        <v>E</v>
      </c>
      <c r="MI86" s="151" t="str">
        <f>VLOOKUP(RANK(MG86,$MG$10:$MG$109),Sheet1!$A$381:$B$480,2,FALSE)</f>
        <v>9th</v>
      </c>
      <c r="MJ86" s="186"/>
      <c r="MK86" s="186"/>
      <c r="ML86" s="186">
        <f t="shared" si="479"/>
        <v>0</v>
      </c>
      <c r="MM86" s="186" t="str">
        <f t="shared" si="480"/>
        <v>56</v>
      </c>
      <c r="MN86" s="186" t="str">
        <f t="shared" si="481"/>
        <v>40</v>
      </c>
      <c r="MO86" s="186">
        <f t="shared" si="542"/>
        <v>96</v>
      </c>
      <c r="MP86" s="186">
        <f t="shared" si="543"/>
        <v>32</v>
      </c>
      <c r="MQ86" s="135" t="str">
        <f t="shared" si="482"/>
        <v>F</v>
      </c>
      <c r="MR86" s="151" t="str">
        <f>VLOOKUP(RANK(MP86,$MP$10:$MP$109),Sheet1!$A$381:$B$480,2,FALSE)</f>
        <v>45th</v>
      </c>
      <c r="MS86" s="186"/>
      <c r="MT86" s="186"/>
      <c r="MU86" s="186">
        <f t="shared" si="483"/>
        <v>0</v>
      </c>
      <c r="MV86" s="186" t="str">
        <f t="shared" si="484"/>
        <v>72</v>
      </c>
      <c r="MW86" s="186" t="str">
        <f t="shared" si="485"/>
        <v>85</v>
      </c>
      <c r="MX86" s="186">
        <f t="shared" si="544"/>
        <v>157</v>
      </c>
      <c r="MY86" s="186">
        <f t="shared" si="545"/>
        <v>52.3333333333333</v>
      </c>
      <c r="MZ86" s="135" t="str">
        <f t="shared" si="486"/>
        <v>C</v>
      </c>
      <c r="NA86" s="151" t="str">
        <f>VLOOKUP(RANK(MY86,$MY$10:$MY$109),Sheet1!$A$381:$B$480,2,FALSE)</f>
        <v>3rd</v>
      </c>
      <c r="NB86" s="186"/>
      <c r="NC86" s="186"/>
      <c r="ND86" s="186">
        <f t="shared" si="487"/>
        <v>0</v>
      </c>
      <c r="NE86" s="186" t="str">
        <f t="shared" si="488"/>
        <v>63</v>
      </c>
      <c r="NF86" s="186" t="str">
        <f t="shared" si="489"/>
        <v>74</v>
      </c>
      <c r="NG86" s="186">
        <f t="shared" si="546"/>
        <v>137</v>
      </c>
      <c r="NH86" s="186">
        <f t="shared" si="547"/>
        <v>45.6666666666667</v>
      </c>
      <c r="NI86" s="135" t="str">
        <f t="shared" si="490"/>
        <v>D</v>
      </c>
      <c r="NJ86" s="151" t="str">
        <f>VLOOKUP(RANK(NH86,$NH$10:$NH$109),Sheet1!$A$381:$B$480,2,FALSE)</f>
        <v>1st</v>
      </c>
      <c r="NK86" s="186"/>
      <c r="NL86" s="186"/>
      <c r="NM86" s="186">
        <f t="shared" si="491"/>
        <v>0</v>
      </c>
      <c r="NN86" s="186" t="str">
        <f t="shared" si="492"/>
        <v>85</v>
      </c>
      <c r="NO86" s="186" t="str">
        <f t="shared" si="493"/>
        <v>86</v>
      </c>
      <c r="NP86" s="186">
        <f t="shared" si="548"/>
        <v>171</v>
      </c>
      <c r="NQ86" s="186">
        <f t="shared" si="494"/>
        <v>57</v>
      </c>
      <c r="NR86" s="135" t="str">
        <f t="shared" si="495"/>
        <v>C</v>
      </c>
      <c r="NS86" s="151" t="str">
        <f>VLOOKUP(RANK(NQ86,$NQ$10:$NQ$109),Sheet1!$A$381:$B$480,2,FALSE)</f>
        <v>1st</v>
      </c>
      <c r="NT86" s="186"/>
      <c r="NU86" s="186"/>
      <c r="NV86" s="186">
        <f t="shared" si="496"/>
        <v>0</v>
      </c>
      <c r="NW86" s="186" t="str">
        <f t="shared" si="497"/>
        <v>0</v>
      </c>
      <c r="NX86" s="186" t="str">
        <f t="shared" si="498"/>
        <v>0</v>
      </c>
      <c r="NY86" s="186">
        <f t="shared" si="549"/>
        <v>0</v>
      </c>
      <c r="NZ86" s="186">
        <f t="shared" si="499"/>
        <v>0</v>
      </c>
      <c r="OA86" s="135" t="str">
        <f t="shared" si="500"/>
        <v>F</v>
      </c>
      <c r="OB86" s="151" t="str">
        <f>VLOOKUP(RANK(NZ86,$NZ$10:$NZ$109),Sheet1!$A$381:$B$480,2,FALSE)</f>
        <v>1st</v>
      </c>
      <c r="OC86" s="186"/>
      <c r="OD86" s="186"/>
      <c r="OE86" s="186">
        <f t="shared" si="501"/>
        <v>0</v>
      </c>
      <c r="OF86" s="186" t="str">
        <f t="shared" si="502"/>
        <v>0</v>
      </c>
      <c r="OG86" s="186" t="str">
        <f t="shared" si="503"/>
        <v>0</v>
      </c>
      <c r="OH86" s="186">
        <f t="shared" si="550"/>
        <v>0</v>
      </c>
      <c r="OI86" s="186">
        <f t="shared" si="504"/>
        <v>0</v>
      </c>
      <c r="OJ86" s="135" t="str">
        <f t="shared" si="505"/>
        <v>F</v>
      </c>
      <c r="OK86" s="151" t="str">
        <f>VLOOKUP(RANK(OI86,$OI$10:$OI$109),Sheet1!$A$381:$B$480,2,FALSE)</f>
        <v>1st</v>
      </c>
      <c r="OL86" s="151"/>
      <c r="OM86" s="151"/>
      <c r="ON86" s="151">
        <f t="shared" si="551"/>
        <v>0</v>
      </c>
      <c r="OO86" s="151" t="str">
        <f t="shared" si="552"/>
        <v>0</v>
      </c>
      <c r="OP86" s="151" t="str">
        <f t="shared" si="553"/>
        <v>0</v>
      </c>
      <c r="OQ86" s="151">
        <f t="shared" si="554"/>
        <v>0</v>
      </c>
      <c r="OR86" s="151">
        <f t="shared" si="555"/>
        <v>0</v>
      </c>
      <c r="OS86" s="135" t="str">
        <f t="shared" si="506"/>
        <v>F</v>
      </c>
      <c r="OT86" s="151" t="str">
        <f>VLOOKUP(RANK(OR86,$OI$10:$OI$109),Sheet1!$A$381:$B$480,2,FALSE)</f>
        <v>1st</v>
      </c>
      <c r="OU86" s="151">
        <f t="shared" si="556"/>
        <v>568</v>
      </c>
      <c r="OV86" s="151">
        <f t="shared" si="557"/>
        <v>33.411764705882298</v>
      </c>
      <c r="OW86" s="151" t="str">
        <f>VLOOKUP(RANK(OV86,$OV$10:$OV$109),Sheet1!$A$381:$B$480,2,FALSE)</f>
        <v>2nd</v>
      </c>
      <c r="OX86" s="151"/>
      <c r="OY86" s="186"/>
      <c r="OZ86" s="186"/>
      <c r="PA86" s="186"/>
      <c r="PB86" s="186"/>
    </row>
    <row r="87" spans="1:418" s="118" customFormat="1" ht="18.75">
      <c r="A87" s="131">
        <v>78</v>
      </c>
      <c r="B87" s="132" t="s">
        <v>177</v>
      </c>
      <c r="C87" s="133" t="s">
        <v>97</v>
      </c>
      <c r="D87" s="134">
        <v>36</v>
      </c>
      <c r="E87" s="134">
        <v>50</v>
      </c>
      <c r="F87" s="137">
        <f t="shared" si="315"/>
        <v>86</v>
      </c>
      <c r="G87" s="137">
        <f t="shared" si="316"/>
        <v>86</v>
      </c>
      <c r="H87" s="135" t="str">
        <f t="shared" si="507"/>
        <v>A</v>
      </c>
      <c r="I87" s="135" t="str">
        <f>VLOOKUP(RANK(G87,$G$10:$G$109),Sheet1!$A$381:$B$480,2,FALSE)</f>
        <v>1st</v>
      </c>
      <c r="J87" s="134">
        <v>27</v>
      </c>
      <c r="K87" s="134">
        <v>25</v>
      </c>
      <c r="L87" s="137">
        <f t="shared" si="317"/>
        <v>52</v>
      </c>
      <c r="M87" s="137">
        <f t="shared" si="318"/>
        <v>52</v>
      </c>
      <c r="N87" s="135" t="str">
        <f t="shared" si="319"/>
        <v>C</v>
      </c>
      <c r="O87" s="141" t="str">
        <f>VLOOKUP(RANK(M87,$M$10:$M$109),Sheet1!$A$381:$B$480,2,FALSE)</f>
        <v>52nd</v>
      </c>
      <c r="P87" s="144">
        <v>30</v>
      </c>
      <c r="Q87" s="144">
        <v>20</v>
      </c>
      <c r="R87" s="147">
        <f t="shared" si="320"/>
        <v>50</v>
      </c>
      <c r="S87" s="137">
        <f t="shared" si="321"/>
        <v>50</v>
      </c>
      <c r="T87" s="135" t="str">
        <f t="shared" si="322"/>
        <v>C</v>
      </c>
      <c r="U87" s="135" t="str">
        <f>VLOOKUP(RANK(S87,$S$10:$S$109),Sheet1!$A$381:$B$480,2,FALSE)</f>
        <v>29th</v>
      </c>
      <c r="V87" s="134">
        <v>20</v>
      </c>
      <c r="W87" s="134">
        <v>37</v>
      </c>
      <c r="X87" s="137">
        <f t="shared" si="559"/>
        <v>57</v>
      </c>
      <c r="Y87" s="137">
        <f t="shared" si="558"/>
        <v>57</v>
      </c>
      <c r="Z87" s="135" t="str">
        <f t="shared" si="323"/>
        <v>C</v>
      </c>
      <c r="AA87" s="135" t="str">
        <f>VLOOKUP(RANK(Y87,$Y$10:$Y$109),Sheet1!$A$381:$B$480,2,FALSE)</f>
        <v>40th</v>
      </c>
      <c r="AB87" s="134">
        <v>38</v>
      </c>
      <c r="AC87" s="134">
        <v>58</v>
      </c>
      <c r="AD87" s="137">
        <f t="shared" si="324"/>
        <v>96</v>
      </c>
      <c r="AE87" s="137">
        <f t="shared" si="325"/>
        <v>96</v>
      </c>
      <c r="AF87" s="135" t="str">
        <f t="shared" si="326"/>
        <v>A</v>
      </c>
      <c r="AG87" s="135" t="str">
        <f>VLOOKUP(RANK(AE87,$AE$10:$AE$109),Sheet1!$A$381:$B$480,2,FALSE)</f>
        <v>2nd</v>
      </c>
      <c r="AH87" s="137"/>
      <c r="AI87" s="137"/>
      <c r="AJ87" s="137">
        <f t="shared" si="327"/>
        <v>0</v>
      </c>
      <c r="AK87" s="137">
        <f t="shared" si="328"/>
        <v>0</v>
      </c>
      <c r="AL87" s="135" t="str">
        <f t="shared" si="329"/>
        <v>F</v>
      </c>
      <c r="AM87" s="135" t="str">
        <f>VLOOKUP(RANK(AK87,$AK$10:$AK$109),Sheet1!$A$381:$B$480,2,FALSE)</f>
        <v>1st</v>
      </c>
      <c r="AN87" s="134"/>
      <c r="AO87" s="134"/>
      <c r="AP87" s="137">
        <f t="shared" si="330"/>
        <v>0</v>
      </c>
      <c r="AQ87" s="137">
        <f t="shared" si="331"/>
        <v>0</v>
      </c>
      <c r="AR87" s="135" t="str">
        <f t="shared" si="332"/>
        <v>F</v>
      </c>
      <c r="AS87" s="135" t="str">
        <f>VLOOKUP(RANK(AQ87,$AQ$10:$AQ$109),Sheet1!$A$381:$B$480,2,FALSE)</f>
        <v>1st</v>
      </c>
      <c r="AT87" s="144">
        <v>22</v>
      </c>
      <c r="AU87" s="144">
        <v>28</v>
      </c>
      <c r="AV87" s="137">
        <f t="shared" si="333"/>
        <v>50</v>
      </c>
      <c r="AW87" s="137">
        <f t="shared" si="334"/>
        <v>50</v>
      </c>
      <c r="AX87" s="135" t="str">
        <f t="shared" si="335"/>
        <v>C</v>
      </c>
      <c r="AY87" s="141" t="str">
        <f>VLOOKUP(RANK(AW87,$AW$10:$AW$109),Sheet1!$A$381:$B$480,2,FALSE)</f>
        <v>58th</v>
      </c>
      <c r="AZ87" s="144">
        <v>36</v>
      </c>
      <c r="BA87" s="144">
        <v>33</v>
      </c>
      <c r="BB87" s="147">
        <f t="shared" si="336"/>
        <v>69</v>
      </c>
      <c r="BC87" s="137">
        <f t="shared" si="337"/>
        <v>69</v>
      </c>
      <c r="BD87" s="135" t="str">
        <f t="shared" si="338"/>
        <v>B</v>
      </c>
      <c r="BE87" s="135" t="str">
        <f>VLOOKUP(RANK(BC87,$BC$10:$BC$109),Sheet1!$A$381:$B$480,2,FALSE)</f>
        <v>12th</v>
      </c>
      <c r="BF87" s="144">
        <v>19</v>
      </c>
      <c r="BG87" s="144">
        <v>31</v>
      </c>
      <c r="BH87" s="137">
        <f t="shared" si="339"/>
        <v>50</v>
      </c>
      <c r="BI87" s="137">
        <f t="shared" si="340"/>
        <v>50</v>
      </c>
      <c r="BJ87" s="135" t="str">
        <f t="shared" si="341"/>
        <v>C</v>
      </c>
      <c r="BK87" s="141" t="str">
        <f>VLOOKUP(RANK(BI87,$BI$10:$BI$109),Sheet1!$A$381:$B$480,2,FALSE)</f>
        <v>14th</v>
      </c>
      <c r="BL87" s="149">
        <v>24</v>
      </c>
      <c r="BM87" s="149">
        <v>26</v>
      </c>
      <c r="BN87" s="147">
        <f t="shared" si="342"/>
        <v>50</v>
      </c>
      <c r="BO87" s="137">
        <f t="shared" si="343"/>
        <v>50</v>
      </c>
      <c r="BP87" s="135" t="str">
        <f t="shared" si="344"/>
        <v>C</v>
      </c>
      <c r="BQ87" s="141" t="str">
        <f>VLOOKUP(RANK(BO87,$BO$10:$BO$109),Sheet1!$A$381:$B$480,2,FALSE)</f>
        <v>85th</v>
      </c>
      <c r="BR87" s="149">
        <v>28</v>
      </c>
      <c r="BS87" s="149">
        <v>38</v>
      </c>
      <c r="BT87" s="147">
        <f t="shared" si="345"/>
        <v>66</v>
      </c>
      <c r="BU87" s="137">
        <f t="shared" si="346"/>
        <v>66</v>
      </c>
      <c r="BV87" s="135" t="str">
        <f t="shared" si="347"/>
        <v>B</v>
      </c>
      <c r="BW87" s="135" t="str">
        <f>VLOOKUP(RANK(BU87,$BU$10:$BU$109),Sheet1!$A$381:$B$480,2,FALSE)</f>
        <v>18th</v>
      </c>
      <c r="BX87" s="149">
        <v>32</v>
      </c>
      <c r="BY87" s="149">
        <v>10</v>
      </c>
      <c r="BZ87" s="137">
        <f t="shared" si="348"/>
        <v>42</v>
      </c>
      <c r="CA87" s="137">
        <f t="shared" si="349"/>
        <v>42</v>
      </c>
      <c r="CB87" s="135" t="str">
        <f t="shared" si="350"/>
        <v>D</v>
      </c>
      <c r="CC87" s="135" t="str">
        <f>VLOOKUP(RANK(CA87,$CA$10:$CA$109),Sheet1!$A$381:$B$480,2,FALSE)</f>
        <v>32nd</v>
      </c>
      <c r="CD87" s="149">
        <v>23</v>
      </c>
      <c r="CE87" s="149">
        <v>30</v>
      </c>
      <c r="CF87" s="137">
        <f t="shared" si="351"/>
        <v>53</v>
      </c>
      <c r="CG87" s="137">
        <f t="shared" si="352"/>
        <v>53</v>
      </c>
      <c r="CH87" s="135" t="str">
        <f t="shared" si="353"/>
        <v>C</v>
      </c>
      <c r="CI87" s="135" t="str">
        <f>VLOOKUP(RANK(CG87,$CG$10:$CG$109),Sheet1!$A$381:$B$480,2,FALSE)</f>
        <v>64th</v>
      </c>
      <c r="CJ87" s="137"/>
      <c r="CK87" s="137"/>
      <c r="CL87" s="137">
        <f t="shared" si="354"/>
        <v>0</v>
      </c>
      <c r="CM87" s="137">
        <f t="shared" si="355"/>
        <v>0</v>
      </c>
      <c r="CN87" s="135" t="str">
        <f t="shared" si="356"/>
        <v>F</v>
      </c>
      <c r="CO87" s="135" t="str">
        <f>VLOOKUP(RANK(CM87,$CM$10:$CM$109),Sheet1!$A$381:$B$480,2,FALSE)</f>
        <v>1st</v>
      </c>
      <c r="CP87" s="137"/>
      <c r="CQ87" s="137"/>
      <c r="CR87" s="137">
        <f t="shared" si="357"/>
        <v>0</v>
      </c>
      <c r="CS87" s="137">
        <f t="shared" si="358"/>
        <v>0</v>
      </c>
      <c r="CT87" s="135" t="str">
        <f t="shared" si="359"/>
        <v>F</v>
      </c>
      <c r="CU87" s="135" t="str">
        <f>VLOOKUP(RANK(CS87,$CS$10:$CS$109),Sheet1!$A$381:$B$480,2,FALSE)</f>
        <v>1st</v>
      </c>
      <c r="CV87" s="151"/>
      <c r="CW87" s="135"/>
      <c r="CX87" s="151">
        <f t="shared" si="508"/>
        <v>0</v>
      </c>
      <c r="CY87" s="151">
        <f t="shared" si="509"/>
        <v>0</v>
      </c>
      <c r="CZ87" s="135" t="str">
        <f t="shared" si="360"/>
        <v>F</v>
      </c>
      <c r="DA87" s="135" t="str">
        <f>VLOOKUP(RANK(CY87,$CY$10:$CY$109),Sheet1!$A$381:$B$480,2,FALSE)</f>
        <v>1st</v>
      </c>
      <c r="DB87" s="135"/>
      <c r="DC87" s="151">
        <f t="shared" si="510"/>
        <v>721</v>
      </c>
      <c r="DD87" s="151">
        <f t="shared" si="511"/>
        <v>42.411764705882398</v>
      </c>
      <c r="DE87" s="135" t="str">
        <f>VLOOKUP(RANK(DD87,$DD$10:$DD$109),Sheet1!$A$381:$B$480,2,FALSE)</f>
        <v>18th</v>
      </c>
      <c r="DF87" s="137"/>
      <c r="DG87" s="160">
        <f t="shared" si="361"/>
        <v>763.41176470588198</v>
      </c>
      <c r="DH87" s="119"/>
      <c r="DI87" s="162">
        <v>25</v>
      </c>
      <c r="DJ87" s="162">
        <v>51</v>
      </c>
      <c r="DK87" s="137">
        <f t="shared" si="362"/>
        <v>76</v>
      </c>
      <c r="DL87" s="137" t="str">
        <f t="shared" si="363"/>
        <v>86</v>
      </c>
      <c r="DM87" s="137">
        <f t="shared" si="364"/>
        <v>162</v>
      </c>
      <c r="DN87" s="137">
        <f t="shared" si="365"/>
        <v>81</v>
      </c>
      <c r="DO87" s="135" t="str">
        <f t="shared" si="366"/>
        <v>A</v>
      </c>
      <c r="DP87" s="135" t="str">
        <f>VLOOKUP(RANK(DN87,$DN$10:$DN$109),Sheet1!$A$381:$B$480,2,FALSE)</f>
        <v>3rd</v>
      </c>
      <c r="DQ87" s="166">
        <v>27</v>
      </c>
      <c r="DR87" s="166">
        <v>33</v>
      </c>
      <c r="DS87" s="137">
        <f t="shared" si="367"/>
        <v>60</v>
      </c>
      <c r="DT87" s="137" t="str">
        <f t="shared" si="368"/>
        <v>52</v>
      </c>
      <c r="DU87" s="137">
        <f t="shared" si="369"/>
        <v>112</v>
      </c>
      <c r="DV87" s="137">
        <f t="shared" si="370"/>
        <v>56</v>
      </c>
      <c r="DW87" s="135" t="str">
        <f t="shared" si="371"/>
        <v>C</v>
      </c>
      <c r="DX87" s="135" t="str">
        <f>VLOOKUP(RANK(DV87,$DV$10:$DV$109),Sheet1!$A$381:$B$480,2,FALSE)</f>
        <v>24th</v>
      </c>
      <c r="DY87" s="168">
        <v>31</v>
      </c>
      <c r="DZ87" s="168">
        <v>35</v>
      </c>
      <c r="EA87" s="137">
        <f t="shared" si="372"/>
        <v>66</v>
      </c>
      <c r="EB87" s="137" t="str">
        <f t="shared" si="373"/>
        <v>50</v>
      </c>
      <c r="EC87" s="137">
        <f t="shared" si="374"/>
        <v>116</v>
      </c>
      <c r="ED87" s="137">
        <f t="shared" si="375"/>
        <v>58</v>
      </c>
      <c r="EE87" s="135" t="str">
        <f t="shared" si="376"/>
        <v>C</v>
      </c>
      <c r="EF87" s="135" t="str">
        <f>VLOOKUP(RANK(ED87,$ED$10:$ED$109),Sheet1!$A$381:$B$480,2,FALSE)</f>
        <v>12th</v>
      </c>
      <c r="EG87" s="162">
        <v>28</v>
      </c>
      <c r="EH87" s="162">
        <v>43</v>
      </c>
      <c r="EI87" s="137">
        <f t="shared" si="377"/>
        <v>71</v>
      </c>
      <c r="EJ87" s="137" t="str">
        <f t="shared" si="378"/>
        <v>57</v>
      </c>
      <c r="EK87" s="137">
        <f t="shared" si="379"/>
        <v>128</v>
      </c>
      <c r="EL87" s="137">
        <f t="shared" si="380"/>
        <v>64</v>
      </c>
      <c r="EM87" s="135" t="str">
        <f t="shared" si="381"/>
        <v>B</v>
      </c>
      <c r="EN87" s="135" t="str">
        <f>VLOOKUP(RANK(EL87,$EL$10:$EL$109),Sheet1!$A$381:$B$480,2,FALSE)</f>
        <v>28th</v>
      </c>
      <c r="EO87" s="162">
        <v>33</v>
      </c>
      <c r="EP87" s="162">
        <v>39</v>
      </c>
      <c r="EQ87" s="137">
        <f t="shared" si="382"/>
        <v>72</v>
      </c>
      <c r="ER87" s="137" t="str">
        <f t="shared" si="383"/>
        <v>96</v>
      </c>
      <c r="ES87" s="137">
        <f t="shared" si="384"/>
        <v>168</v>
      </c>
      <c r="ET87" s="137">
        <f t="shared" si="385"/>
        <v>84</v>
      </c>
      <c r="EU87" s="135" t="str">
        <f t="shared" si="386"/>
        <v>A</v>
      </c>
      <c r="EV87" s="135" t="str">
        <f>VLOOKUP(RANK(ET87,$ET$10:$ET$109),Sheet1!$A$381:$B$480,2,FALSE)</f>
        <v>5th</v>
      </c>
      <c r="EW87" s="137"/>
      <c r="EX87" s="137"/>
      <c r="EY87" s="137">
        <f t="shared" si="387"/>
        <v>0</v>
      </c>
      <c r="EZ87" s="137" t="str">
        <f t="shared" si="388"/>
        <v>0</v>
      </c>
      <c r="FA87" s="137">
        <f t="shared" si="389"/>
        <v>0</v>
      </c>
      <c r="FB87" s="137">
        <f t="shared" si="390"/>
        <v>0</v>
      </c>
      <c r="FC87" s="135" t="str">
        <f t="shared" si="391"/>
        <v>F</v>
      </c>
      <c r="FD87" s="135" t="str">
        <f>VLOOKUP(RANK(FB87,$FB$10:$FB$109),Sheet1!$A$381:$B$480,2,FALSE)</f>
        <v>1st</v>
      </c>
      <c r="FE87" s="137"/>
      <c r="FF87" s="137"/>
      <c r="FG87" s="137">
        <f t="shared" si="392"/>
        <v>0</v>
      </c>
      <c r="FH87" s="137" t="str">
        <f t="shared" si="393"/>
        <v>0</v>
      </c>
      <c r="FI87" s="137">
        <f t="shared" si="394"/>
        <v>0</v>
      </c>
      <c r="FJ87" s="137">
        <f t="shared" si="395"/>
        <v>0</v>
      </c>
      <c r="FK87" s="135" t="str">
        <f t="shared" si="396"/>
        <v>F</v>
      </c>
      <c r="FL87" s="135" t="str">
        <f>VLOOKUP(RANK(FJ87,$FJ$10:$FJ$109),Sheet1!$A$381:$B$480,2,FALSE)</f>
        <v>1st</v>
      </c>
      <c r="FM87" s="166">
        <v>28</v>
      </c>
      <c r="FN87" s="166">
        <v>28</v>
      </c>
      <c r="FO87" s="137">
        <f t="shared" si="397"/>
        <v>56</v>
      </c>
      <c r="FP87" s="137" t="str">
        <f t="shared" si="398"/>
        <v>50</v>
      </c>
      <c r="FQ87" s="137">
        <f t="shared" si="399"/>
        <v>106</v>
      </c>
      <c r="FR87" s="137">
        <f t="shared" si="400"/>
        <v>53</v>
      </c>
      <c r="FS87" s="135" t="str">
        <f t="shared" si="401"/>
        <v>C</v>
      </c>
      <c r="FT87" s="135" t="str">
        <f>VLOOKUP(RANK(FR87,$FR$10:$FR$109),Sheet1!$A$381:$B$480,2,FALSE)</f>
        <v>36th</v>
      </c>
      <c r="FU87" s="149">
        <v>35</v>
      </c>
      <c r="FV87" s="149">
        <v>22</v>
      </c>
      <c r="FW87" s="137">
        <f t="shared" si="402"/>
        <v>57</v>
      </c>
      <c r="FX87" s="137" t="str">
        <f t="shared" si="403"/>
        <v>69</v>
      </c>
      <c r="FY87" s="137">
        <f t="shared" si="512"/>
        <v>57</v>
      </c>
      <c r="FZ87" s="137">
        <f t="shared" si="404"/>
        <v>28.5</v>
      </c>
      <c r="GA87" s="135" t="str">
        <f t="shared" si="405"/>
        <v>F</v>
      </c>
      <c r="GB87" s="135" t="str">
        <f>VLOOKUP(RANK(FZ87,$FZ$10:$FZ$109),Sheet1!$A$381:$B$480,2,FALSE)</f>
        <v>33rd</v>
      </c>
      <c r="GC87" s="166">
        <v>10</v>
      </c>
      <c r="GD87" s="166">
        <v>27</v>
      </c>
      <c r="GE87" s="137">
        <f t="shared" si="406"/>
        <v>37</v>
      </c>
      <c r="GF87" s="137" t="str">
        <f t="shared" si="407"/>
        <v>50</v>
      </c>
      <c r="GG87" s="135">
        <f t="shared" si="513"/>
        <v>87</v>
      </c>
      <c r="GH87" s="137">
        <f t="shared" si="514"/>
        <v>43.5</v>
      </c>
      <c r="GI87" s="135" t="str">
        <f t="shared" si="408"/>
        <v>D</v>
      </c>
      <c r="GJ87" s="135" t="str">
        <f>VLOOKUP(RANK(GH87,$GH$10:$GH$109),Sheet1!$A$381:$B$480,2,FALSE)</f>
        <v>31st</v>
      </c>
      <c r="GK87" s="166">
        <v>28</v>
      </c>
      <c r="GL87" s="166">
        <v>20</v>
      </c>
      <c r="GM87" s="137">
        <f t="shared" si="409"/>
        <v>48</v>
      </c>
      <c r="GN87" s="137" t="str">
        <f t="shared" si="410"/>
        <v>50</v>
      </c>
      <c r="GO87" s="135">
        <f t="shared" si="515"/>
        <v>98</v>
      </c>
      <c r="GP87" s="137">
        <f t="shared" si="411"/>
        <v>49</v>
      </c>
      <c r="GQ87" s="135" t="str">
        <f t="shared" si="412"/>
        <v>D</v>
      </c>
      <c r="GR87" s="135" t="str">
        <f>VLOOKUP(RANK(GP87,$GP$10:$GP$109),Sheet1!$A$381:$B$480,2,FALSE)</f>
        <v>31st</v>
      </c>
      <c r="GS87" s="166">
        <v>32</v>
      </c>
      <c r="GT87" s="166">
        <v>50</v>
      </c>
      <c r="GU87" s="137">
        <f t="shared" si="413"/>
        <v>82</v>
      </c>
      <c r="GV87" s="137" t="str">
        <f t="shared" si="414"/>
        <v>66</v>
      </c>
      <c r="GW87" s="137">
        <f t="shared" si="415"/>
        <v>148</v>
      </c>
      <c r="GX87" s="137">
        <f t="shared" si="416"/>
        <v>74</v>
      </c>
      <c r="GY87" s="135" t="str">
        <f t="shared" si="417"/>
        <v>B</v>
      </c>
      <c r="GZ87" s="135" t="str">
        <f>VLOOKUP(RANK(GX87,$GX$10:$GX$109),Sheet1!$A$381:$B$480,2,FALSE)</f>
        <v>6th</v>
      </c>
      <c r="HA87" s="166">
        <v>28</v>
      </c>
      <c r="HB87" s="166">
        <v>13</v>
      </c>
      <c r="HC87" s="137">
        <f t="shared" si="418"/>
        <v>41</v>
      </c>
      <c r="HD87" s="137" t="str">
        <f t="shared" si="419"/>
        <v>42</v>
      </c>
      <c r="HE87" s="137">
        <f t="shared" si="420"/>
        <v>83</v>
      </c>
      <c r="HF87" s="137">
        <f t="shared" si="421"/>
        <v>41.5</v>
      </c>
      <c r="HG87" s="135" t="str">
        <f t="shared" si="422"/>
        <v>D</v>
      </c>
      <c r="HH87" s="135" t="str">
        <f>VLOOKUP(RANK(HF87,$HF$10:$HF$109),Sheet1!$A$381:$B$480,2,FALSE)</f>
        <v>47th</v>
      </c>
      <c r="HI87" s="149">
        <v>28</v>
      </c>
      <c r="HJ87" s="149">
        <v>55</v>
      </c>
      <c r="HK87" s="137">
        <f t="shared" si="423"/>
        <v>83</v>
      </c>
      <c r="HL87" s="137" t="str">
        <f t="shared" si="424"/>
        <v>53</v>
      </c>
      <c r="HM87" s="137">
        <f t="shared" si="425"/>
        <v>136</v>
      </c>
      <c r="HN87" s="137">
        <f t="shared" si="426"/>
        <v>68</v>
      </c>
      <c r="HO87" s="135" t="str">
        <f t="shared" si="427"/>
        <v>B</v>
      </c>
      <c r="HP87" s="135" t="str">
        <f>VLOOKUP(RANK(HN87,$HN$10:$HN$109),Sheet1!$A$381:$B$480,2,FALSE)</f>
        <v>30th</v>
      </c>
      <c r="HQ87" s="137"/>
      <c r="HR87" s="137"/>
      <c r="HS87" s="137">
        <f t="shared" si="428"/>
        <v>0</v>
      </c>
      <c r="HT87" s="137" t="str">
        <f t="shared" si="429"/>
        <v>0</v>
      </c>
      <c r="HU87" s="137">
        <f t="shared" si="430"/>
        <v>0</v>
      </c>
      <c r="HV87" s="137">
        <f t="shared" si="431"/>
        <v>0</v>
      </c>
      <c r="HW87" s="135" t="str">
        <f t="shared" si="432"/>
        <v>F</v>
      </c>
      <c r="HX87" s="135" t="str">
        <f>VLOOKUP(RANK(HV87,$HV$10:$HV$109),Sheet1!$A$381:$B$480,2,FALSE)</f>
        <v>1st</v>
      </c>
      <c r="HY87" s="137"/>
      <c r="HZ87" s="137"/>
      <c r="IA87" s="137">
        <f t="shared" si="433"/>
        <v>0</v>
      </c>
      <c r="IB87" s="137" t="str">
        <f t="shared" si="434"/>
        <v>0</v>
      </c>
      <c r="IC87" s="137">
        <f t="shared" si="435"/>
        <v>0</v>
      </c>
      <c r="ID87" s="137">
        <f t="shared" si="436"/>
        <v>0</v>
      </c>
      <c r="IE87" s="135" t="str">
        <f t="shared" si="437"/>
        <v>F</v>
      </c>
      <c r="IF87" s="135" t="str">
        <f>VLOOKUP(RANK(ID87,$ID$10:$ID$109),Sheet1!$A$381:$B$480,2,FALSE)</f>
        <v>1st</v>
      </c>
      <c r="IG87" s="135"/>
      <c r="IH87" s="135"/>
      <c r="II87" s="135">
        <f t="shared" si="516"/>
        <v>0</v>
      </c>
      <c r="IJ87" s="135" t="str">
        <f t="shared" si="517"/>
        <v>0</v>
      </c>
      <c r="IK87" s="135">
        <f t="shared" si="518"/>
        <v>0</v>
      </c>
      <c r="IL87" s="135">
        <f t="shared" si="519"/>
        <v>0</v>
      </c>
      <c r="IM87" s="135" t="str">
        <f t="shared" si="438"/>
        <v>F</v>
      </c>
      <c r="IN87" s="135" t="str">
        <f>VLOOKUP(RANK(IL87,$IL$10:$IL$109),Sheet1!$A$381:$B$480,2,FALSE)</f>
        <v>1st</v>
      </c>
      <c r="IO87" s="135">
        <f t="shared" si="520"/>
        <v>700.5</v>
      </c>
      <c r="IP87" s="177">
        <f t="shared" si="521"/>
        <v>41.205882352941202</v>
      </c>
      <c r="IQ87" s="135" t="str">
        <f>VLOOKUP(RANK(IP87,$IP$10:$IP$109),Sheet1!$A$381:$B$480,2,FALSE)</f>
        <v>12th</v>
      </c>
      <c r="IR87" s="178"/>
      <c r="IS87" s="137"/>
      <c r="IT87" s="137"/>
      <c r="IU87" s="137"/>
      <c r="IV87" s="137"/>
      <c r="IW87" s="181"/>
      <c r="IX87" s="184"/>
      <c r="IY87" s="186"/>
      <c r="IZ87" s="186">
        <f t="shared" si="439"/>
        <v>0</v>
      </c>
      <c r="JA87" s="186" t="str">
        <f t="shared" si="440"/>
        <v>86</v>
      </c>
      <c r="JB87" s="186" t="str">
        <f t="shared" si="441"/>
        <v>76</v>
      </c>
      <c r="JC87" s="186">
        <f t="shared" si="522"/>
        <v>162</v>
      </c>
      <c r="JD87" s="186">
        <f t="shared" si="523"/>
        <v>54</v>
      </c>
      <c r="JE87" s="135" t="str">
        <f t="shared" si="442"/>
        <v>C</v>
      </c>
      <c r="JF87" s="151" t="str">
        <f>VLOOKUP(RANK(JD87,$JD$10:$JD$109),Sheet1!$A$381:$B$480,2,FALSE)</f>
        <v>3rd</v>
      </c>
      <c r="JG87" s="186"/>
      <c r="JH87" s="186"/>
      <c r="JI87" s="186">
        <f t="shared" si="443"/>
        <v>0</v>
      </c>
      <c r="JJ87" s="186" t="str">
        <f t="shared" si="444"/>
        <v>52</v>
      </c>
      <c r="JK87" s="186" t="str">
        <f t="shared" si="445"/>
        <v>60</v>
      </c>
      <c r="JL87" s="186">
        <f t="shared" si="524"/>
        <v>112</v>
      </c>
      <c r="JM87" s="186">
        <f t="shared" si="525"/>
        <v>37.3333333333333</v>
      </c>
      <c r="JN87" s="135" t="str">
        <f t="shared" si="446"/>
        <v>E</v>
      </c>
      <c r="JO87" s="151" t="str">
        <f>VLOOKUP(RANK(JM87,$JM$10:$JM$109),Sheet1!$A$381:$B$480,2,FALSE)</f>
        <v>24th</v>
      </c>
      <c r="JP87" s="186"/>
      <c r="JQ87" s="186"/>
      <c r="JR87" s="186">
        <f t="shared" si="447"/>
        <v>0</v>
      </c>
      <c r="JS87" s="186" t="str">
        <f t="shared" si="448"/>
        <v>50</v>
      </c>
      <c r="JT87" s="186" t="str">
        <f t="shared" si="449"/>
        <v>66</v>
      </c>
      <c r="JU87" s="186">
        <f t="shared" si="526"/>
        <v>116</v>
      </c>
      <c r="JV87" s="186">
        <f t="shared" si="527"/>
        <v>38.6666666666667</v>
      </c>
      <c r="JW87" s="135" t="str">
        <f t="shared" si="450"/>
        <v>E</v>
      </c>
      <c r="JX87" s="151" t="str">
        <f>VLOOKUP(RANK(JV87,$JV$10:$JV$109),Sheet1!$A$381:$B$480,2,FALSE)</f>
        <v>12th</v>
      </c>
      <c r="JY87" s="186"/>
      <c r="JZ87" s="186"/>
      <c r="KA87" s="186">
        <f t="shared" si="451"/>
        <v>0</v>
      </c>
      <c r="KB87" s="186" t="str">
        <f t="shared" si="452"/>
        <v>57</v>
      </c>
      <c r="KC87" s="186" t="str">
        <f t="shared" si="453"/>
        <v>71</v>
      </c>
      <c r="KD87" s="186">
        <f t="shared" si="528"/>
        <v>128</v>
      </c>
      <c r="KE87" s="186">
        <f t="shared" si="529"/>
        <v>42.6666666666667</v>
      </c>
      <c r="KF87" s="135" t="str">
        <f t="shared" si="454"/>
        <v>D</v>
      </c>
      <c r="KG87" s="151" t="str">
        <f>VLOOKUP(RANK(KE87,$KE$10:$KE$109),Sheet1!$A$381:$B$480,2,FALSE)</f>
        <v>28th</v>
      </c>
      <c r="KH87" s="186"/>
      <c r="KI87" s="186"/>
      <c r="KJ87" s="186">
        <f t="shared" si="455"/>
        <v>0</v>
      </c>
      <c r="KK87" s="186" t="str">
        <f t="shared" si="456"/>
        <v>96</v>
      </c>
      <c r="KL87" s="186" t="str">
        <f t="shared" si="457"/>
        <v>72</v>
      </c>
      <c r="KM87" s="186">
        <f t="shared" si="530"/>
        <v>168</v>
      </c>
      <c r="KN87" s="186">
        <f t="shared" si="531"/>
        <v>56</v>
      </c>
      <c r="KO87" s="135" t="str">
        <f t="shared" si="458"/>
        <v>C</v>
      </c>
      <c r="KP87" s="151" t="str">
        <f>VLOOKUP(RANK(KN87,$KN$10:$KN$109),Sheet1!$A$381:$B$480,2,FALSE)</f>
        <v>5th</v>
      </c>
      <c r="KQ87" s="186"/>
      <c r="KR87" s="186"/>
      <c r="KS87" s="186">
        <f t="shared" si="459"/>
        <v>0</v>
      </c>
      <c r="KT87" s="186" t="str">
        <f t="shared" si="460"/>
        <v>0</v>
      </c>
      <c r="KU87" s="186" t="str">
        <f t="shared" si="461"/>
        <v>0</v>
      </c>
      <c r="KV87" s="186">
        <f t="shared" si="532"/>
        <v>0</v>
      </c>
      <c r="KW87" s="186">
        <f t="shared" si="533"/>
        <v>0</v>
      </c>
      <c r="KX87" s="135" t="str">
        <f t="shared" si="462"/>
        <v>F</v>
      </c>
      <c r="KY87" s="151" t="str">
        <f>VLOOKUP(RANK(KW87,$KW$10:$KW$109),Sheet1!$A$381:$B$480,2,FALSE)</f>
        <v>1st</v>
      </c>
      <c r="KZ87" s="186"/>
      <c r="LA87" s="186"/>
      <c r="LB87" s="186">
        <f t="shared" si="463"/>
        <v>0</v>
      </c>
      <c r="LC87" s="186" t="str">
        <f t="shared" si="464"/>
        <v>0</v>
      </c>
      <c r="LD87" s="186" t="str">
        <f t="shared" si="465"/>
        <v>0</v>
      </c>
      <c r="LE87" s="186">
        <f t="shared" si="534"/>
        <v>0</v>
      </c>
      <c r="LF87" s="186">
        <f t="shared" si="535"/>
        <v>0</v>
      </c>
      <c r="LG87" s="135" t="str">
        <f t="shared" si="466"/>
        <v>F</v>
      </c>
      <c r="LH87" s="151" t="str">
        <f>VLOOKUP(RANK(LF87,$LF$10:$LF$109),Sheet1!$A$381:$B$480,2,FALSE)</f>
        <v>1st</v>
      </c>
      <c r="LI87" s="186"/>
      <c r="LJ87" s="186"/>
      <c r="LK87" s="186">
        <f t="shared" si="467"/>
        <v>0</v>
      </c>
      <c r="LL87" s="186" t="str">
        <f t="shared" si="468"/>
        <v>50</v>
      </c>
      <c r="LM87" s="186" t="str">
        <f t="shared" si="469"/>
        <v>56</v>
      </c>
      <c r="LN87" s="186">
        <f t="shared" si="536"/>
        <v>106</v>
      </c>
      <c r="LO87" s="186">
        <f t="shared" si="537"/>
        <v>35.3333333333333</v>
      </c>
      <c r="LP87" s="135" t="str">
        <f t="shared" si="470"/>
        <v>E</v>
      </c>
      <c r="LQ87" s="151" t="str">
        <f>VLOOKUP(RANK(LO87,$LO$10:$LO$109),Sheet1!$A$381:$B$480,2,FALSE)</f>
        <v>36th</v>
      </c>
      <c r="LR87" s="186"/>
      <c r="LS87" s="186"/>
      <c r="LT87" s="186">
        <f t="shared" si="471"/>
        <v>0</v>
      </c>
      <c r="LU87" s="186" t="str">
        <f t="shared" si="472"/>
        <v>69</v>
      </c>
      <c r="LV87" s="186" t="str">
        <f t="shared" si="473"/>
        <v>57</v>
      </c>
      <c r="LW87" s="186">
        <f t="shared" si="538"/>
        <v>126</v>
      </c>
      <c r="LX87" s="186">
        <f t="shared" si="539"/>
        <v>42</v>
      </c>
      <c r="LY87" s="135" t="str">
        <f t="shared" si="474"/>
        <v>D</v>
      </c>
      <c r="LZ87" s="151" t="str">
        <f>VLOOKUP(RANK(LX87,$LX$10:$LX$109),Sheet1!$A$381:$B$480,2,FALSE)</f>
        <v>11th</v>
      </c>
      <c r="MA87" s="186"/>
      <c r="MB87" s="186"/>
      <c r="MC87" s="186">
        <f t="shared" si="475"/>
        <v>0</v>
      </c>
      <c r="MD87" s="186" t="str">
        <f t="shared" si="476"/>
        <v>50</v>
      </c>
      <c r="ME87" s="186" t="str">
        <f t="shared" si="477"/>
        <v>37</v>
      </c>
      <c r="MF87" s="183">
        <f t="shared" si="540"/>
        <v>87</v>
      </c>
      <c r="MG87" s="151">
        <f t="shared" si="541"/>
        <v>29</v>
      </c>
      <c r="MH87" s="135" t="str">
        <f t="shared" si="478"/>
        <v>F</v>
      </c>
      <c r="MI87" s="151" t="str">
        <f>VLOOKUP(RANK(MG87,$MG$10:$MG$109),Sheet1!$A$381:$B$480,2,FALSE)</f>
        <v>31st</v>
      </c>
      <c r="MJ87" s="186"/>
      <c r="MK87" s="186"/>
      <c r="ML87" s="186">
        <f t="shared" si="479"/>
        <v>0</v>
      </c>
      <c r="MM87" s="186" t="str">
        <f t="shared" si="480"/>
        <v>50</v>
      </c>
      <c r="MN87" s="186" t="str">
        <f t="shared" si="481"/>
        <v>48</v>
      </c>
      <c r="MO87" s="186">
        <f t="shared" si="542"/>
        <v>98</v>
      </c>
      <c r="MP87" s="186">
        <f t="shared" si="543"/>
        <v>32.6666666666667</v>
      </c>
      <c r="MQ87" s="135" t="str">
        <f t="shared" si="482"/>
        <v>F</v>
      </c>
      <c r="MR87" s="151" t="str">
        <f>VLOOKUP(RANK(MP87,$MP$10:$MP$109),Sheet1!$A$381:$B$480,2,FALSE)</f>
        <v>31st</v>
      </c>
      <c r="MS87" s="186"/>
      <c r="MT87" s="186"/>
      <c r="MU87" s="186">
        <f t="shared" si="483"/>
        <v>0</v>
      </c>
      <c r="MV87" s="186" t="str">
        <f t="shared" si="484"/>
        <v>66</v>
      </c>
      <c r="MW87" s="186" t="str">
        <f t="shared" si="485"/>
        <v>82</v>
      </c>
      <c r="MX87" s="186">
        <f t="shared" si="544"/>
        <v>148</v>
      </c>
      <c r="MY87" s="186">
        <f t="shared" si="545"/>
        <v>49.3333333333333</v>
      </c>
      <c r="MZ87" s="135" t="str">
        <f t="shared" si="486"/>
        <v>D</v>
      </c>
      <c r="NA87" s="151" t="str">
        <f>VLOOKUP(RANK(MY87,$MY$10:$MY$109),Sheet1!$A$381:$B$480,2,FALSE)</f>
        <v>6th</v>
      </c>
      <c r="NB87" s="186"/>
      <c r="NC87" s="186"/>
      <c r="ND87" s="186">
        <f t="shared" si="487"/>
        <v>0</v>
      </c>
      <c r="NE87" s="186" t="str">
        <f t="shared" si="488"/>
        <v>42</v>
      </c>
      <c r="NF87" s="186" t="str">
        <f t="shared" si="489"/>
        <v>41</v>
      </c>
      <c r="NG87" s="186">
        <f t="shared" si="546"/>
        <v>83</v>
      </c>
      <c r="NH87" s="186">
        <f t="shared" si="547"/>
        <v>27.6666666666667</v>
      </c>
      <c r="NI87" s="135" t="str">
        <f t="shared" si="490"/>
        <v>F</v>
      </c>
      <c r="NJ87" s="151" t="str">
        <f>VLOOKUP(RANK(NH87,$NH$10:$NH$109),Sheet1!$A$381:$B$480,2,FALSE)</f>
        <v>47th</v>
      </c>
      <c r="NK87" s="186"/>
      <c r="NL87" s="186"/>
      <c r="NM87" s="186">
        <f t="shared" si="491"/>
        <v>0</v>
      </c>
      <c r="NN87" s="186" t="str">
        <f t="shared" si="492"/>
        <v>53</v>
      </c>
      <c r="NO87" s="186" t="str">
        <f t="shared" si="493"/>
        <v>83</v>
      </c>
      <c r="NP87" s="186">
        <f t="shared" si="548"/>
        <v>136</v>
      </c>
      <c r="NQ87" s="186">
        <f t="shared" si="494"/>
        <v>45.3333333333333</v>
      </c>
      <c r="NR87" s="135" t="str">
        <f t="shared" si="495"/>
        <v>D</v>
      </c>
      <c r="NS87" s="151" t="str">
        <f>VLOOKUP(RANK(NQ87,$NQ$10:$NQ$109),Sheet1!$A$381:$B$480,2,FALSE)</f>
        <v>30th</v>
      </c>
      <c r="NT87" s="186"/>
      <c r="NU87" s="186"/>
      <c r="NV87" s="186">
        <f t="shared" si="496"/>
        <v>0</v>
      </c>
      <c r="NW87" s="186" t="str">
        <f t="shared" si="497"/>
        <v>0</v>
      </c>
      <c r="NX87" s="186" t="str">
        <f t="shared" si="498"/>
        <v>0</v>
      </c>
      <c r="NY87" s="186">
        <f t="shared" si="549"/>
        <v>0</v>
      </c>
      <c r="NZ87" s="186">
        <f t="shared" si="499"/>
        <v>0</v>
      </c>
      <c r="OA87" s="135" t="str">
        <f t="shared" si="500"/>
        <v>F</v>
      </c>
      <c r="OB87" s="151" t="str">
        <f>VLOOKUP(RANK(NZ87,$NZ$10:$NZ$109),Sheet1!$A$381:$B$480,2,FALSE)</f>
        <v>1st</v>
      </c>
      <c r="OC87" s="186"/>
      <c r="OD87" s="186"/>
      <c r="OE87" s="186">
        <f t="shared" si="501"/>
        <v>0</v>
      </c>
      <c r="OF87" s="186" t="str">
        <f t="shared" si="502"/>
        <v>0</v>
      </c>
      <c r="OG87" s="186" t="str">
        <f t="shared" si="503"/>
        <v>0</v>
      </c>
      <c r="OH87" s="186">
        <f t="shared" si="550"/>
        <v>0</v>
      </c>
      <c r="OI87" s="186">
        <f t="shared" si="504"/>
        <v>0</v>
      </c>
      <c r="OJ87" s="135" t="str">
        <f t="shared" si="505"/>
        <v>F</v>
      </c>
      <c r="OK87" s="151" t="str">
        <f>VLOOKUP(RANK(OI87,$OI$10:$OI$109),Sheet1!$A$381:$B$480,2,FALSE)</f>
        <v>1st</v>
      </c>
      <c r="OL87" s="151"/>
      <c r="OM87" s="151"/>
      <c r="ON87" s="151">
        <f t="shared" si="551"/>
        <v>0</v>
      </c>
      <c r="OO87" s="151" t="str">
        <f t="shared" si="552"/>
        <v>0</v>
      </c>
      <c r="OP87" s="151" t="str">
        <f t="shared" si="553"/>
        <v>0</v>
      </c>
      <c r="OQ87" s="151">
        <f t="shared" si="554"/>
        <v>0</v>
      </c>
      <c r="OR87" s="151">
        <f t="shared" si="555"/>
        <v>0</v>
      </c>
      <c r="OS87" s="135" t="str">
        <f t="shared" si="506"/>
        <v>F</v>
      </c>
      <c r="OT87" s="151" t="str">
        <f>VLOOKUP(RANK(OR87,$OI$10:$OI$109),Sheet1!$A$381:$B$480,2,FALSE)</f>
        <v>1st</v>
      </c>
      <c r="OU87" s="151">
        <f t="shared" si="556"/>
        <v>490</v>
      </c>
      <c r="OV87" s="151">
        <f t="shared" si="557"/>
        <v>28.823529411764699</v>
      </c>
      <c r="OW87" s="151" t="str">
        <f>VLOOKUP(RANK(OV87,$OV$10:$OV$109),Sheet1!$A$381:$B$480,2,FALSE)</f>
        <v>12th</v>
      </c>
      <c r="OX87" s="151"/>
      <c r="OY87" s="186"/>
      <c r="OZ87" s="186"/>
      <c r="PA87" s="186"/>
      <c r="PB87" s="186"/>
    </row>
    <row r="88" spans="1:418" s="118" customFormat="1" ht="18.75">
      <c r="A88" s="131">
        <v>79</v>
      </c>
      <c r="B88" s="132" t="s">
        <v>178</v>
      </c>
      <c r="C88" s="133" t="s">
        <v>97</v>
      </c>
      <c r="D88" s="134">
        <v>26</v>
      </c>
      <c r="E88" s="134">
        <v>35</v>
      </c>
      <c r="F88" s="137">
        <f t="shared" si="315"/>
        <v>61</v>
      </c>
      <c r="G88" s="137">
        <f t="shared" si="316"/>
        <v>61</v>
      </c>
      <c r="H88" s="135" t="str">
        <f t="shared" si="507"/>
        <v>B</v>
      </c>
      <c r="I88" s="135" t="str">
        <f>VLOOKUP(RANK(G88,$G$10:$G$109),Sheet1!$A$381:$B$480,2,FALSE)</f>
        <v>80th</v>
      </c>
      <c r="J88" s="134">
        <v>31</v>
      </c>
      <c r="K88" s="134">
        <v>32</v>
      </c>
      <c r="L88" s="137">
        <f t="shared" si="317"/>
        <v>63</v>
      </c>
      <c r="M88" s="137">
        <f t="shared" si="318"/>
        <v>63</v>
      </c>
      <c r="N88" s="135" t="str">
        <f t="shared" si="319"/>
        <v>B</v>
      </c>
      <c r="O88" s="141" t="str">
        <f>VLOOKUP(RANK(M88,$M$10:$M$109),Sheet1!$A$381:$B$480,2,FALSE)</f>
        <v>19th</v>
      </c>
      <c r="P88" s="144">
        <v>30</v>
      </c>
      <c r="Q88" s="144">
        <v>28</v>
      </c>
      <c r="R88" s="147">
        <f t="shared" si="320"/>
        <v>58</v>
      </c>
      <c r="S88" s="137">
        <f t="shared" si="321"/>
        <v>58</v>
      </c>
      <c r="T88" s="135" t="str">
        <f t="shared" si="322"/>
        <v>C</v>
      </c>
      <c r="U88" s="135" t="str">
        <f>VLOOKUP(RANK(S88,$S$10:$S$109),Sheet1!$A$381:$B$480,2,FALSE)</f>
        <v>18th</v>
      </c>
      <c r="V88" s="134">
        <v>25</v>
      </c>
      <c r="W88" s="134">
        <v>40</v>
      </c>
      <c r="X88" s="137">
        <f t="shared" si="559"/>
        <v>65</v>
      </c>
      <c r="Y88" s="137">
        <f t="shared" si="558"/>
        <v>65</v>
      </c>
      <c r="Z88" s="135" t="str">
        <f t="shared" si="323"/>
        <v>B</v>
      </c>
      <c r="AA88" s="135" t="str">
        <f>VLOOKUP(RANK(Y88,$Y$10:$Y$109),Sheet1!$A$381:$B$480,2,FALSE)</f>
        <v>27th</v>
      </c>
      <c r="AB88" s="134">
        <v>30</v>
      </c>
      <c r="AC88" s="134">
        <v>36</v>
      </c>
      <c r="AD88" s="137">
        <f t="shared" si="324"/>
        <v>66</v>
      </c>
      <c r="AE88" s="137">
        <f t="shared" si="325"/>
        <v>66</v>
      </c>
      <c r="AF88" s="135" t="str">
        <f t="shared" si="326"/>
        <v>B</v>
      </c>
      <c r="AG88" s="135" t="str">
        <f>VLOOKUP(RANK(AE88,$AE$10:$AE$109),Sheet1!$A$381:$B$480,2,FALSE)</f>
        <v>38th</v>
      </c>
      <c r="AH88" s="137"/>
      <c r="AI88" s="137"/>
      <c r="AJ88" s="137">
        <f t="shared" si="327"/>
        <v>0</v>
      </c>
      <c r="AK88" s="137">
        <f t="shared" si="328"/>
        <v>0</v>
      </c>
      <c r="AL88" s="135" t="str">
        <f t="shared" si="329"/>
        <v>F</v>
      </c>
      <c r="AM88" s="135" t="str">
        <f>VLOOKUP(RANK(AK88,$AK$10:$AK$109),Sheet1!$A$381:$B$480,2,FALSE)</f>
        <v>1st</v>
      </c>
      <c r="AN88" s="139"/>
      <c r="AO88" s="139"/>
      <c r="AP88" s="137">
        <f t="shared" si="330"/>
        <v>0</v>
      </c>
      <c r="AQ88" s="137">
        <f t="shared" si="331"/>
        <v>0</v>
      </c>
      <c r="AR88" s="135" t="str">
        <f t="shared" si="332"/>
        <v>F</v>
      </c>
      <c r="AS88" s="135" t="str">
        <f>VLOOKUP(RANK(AQ88,$AQ$10:$AQ$109),Sheet1!$A$381:$B$480,2,FALSE)</f>
        <v>1st</v>
      </c>
      <c r="AT88" s="144">
        <v>25</v>
      </c>
      <c r="AU88" s="144">
        <v>25</v>
      </c>
      <c r="AV88" s="137">
        <f t="shared" si="333"/>
        <v>50</v>
      </c>
      <c r="AW88" s="137">
        <f t="shared" si="334"/>
        <v>50</v>
      </c>
      <c r="AX88" s="135" t="str">
        <f t="shared" si="335"/>
        <v>C</v>
      </c>
      <c r="AY88" s="141" t="str">
        <f>VLOOKUP(RANK(AW88,$AW$10:$AW$109),Sheet1!$A$381:$B$480,2,FALSE)</f>
        <v>58th</v>
      </c>
      <c r="AZ88" s="144">
        <v>34</v>
      </c>
      <c r="BA88" s="144">
        <v>30</v>
      </c>
      <c r="BB88" s="147">
        <f t="shared" si="336"/>
        <v>64</v>
      </c>
      <c r="BC88" s="137">
        <f t="shared" si="337"/>
        <v>64</v>
      </c>
      <c r="BD88" s="135" t="str">
        <f t="shared" si="338"/>
        <v>B</v>
      </c>
      <c r="BE88" s="135" t="str">
        <f>VLOOKUP(RANK(BC88,$BC$10:$BC$109),Sheet1!$A$381:$B$480,2,FALSE)</f>
        <v>21st</v>
      </c>
      <c r="BF88" s="144">
        <v>12</v>
      </c>
      <c r="BG88" s="144">
        <v>27</v>
      </c>
      <c r="BH88" s="137">
        <f t="shared" si="339"/>
        <v>39</v>
      </c>
      <c r="BI88" s="137">
        <f t="shared" si="340"/>
        <v>39</v>
      </c>
      <c r="BJ88" s="135" t="str">
        <f t="shared" si="341"/>
        <v>E</v>
      </c>
      <c r="BK88" s="141" t="str">
        <f>VLOOKUP(RANK(BI88,$BI$10:$BI$109),Sheet1!$A$381:$B$480,2,FALSE)</f>
        <v>34th</v>
      </c>
      <c r="BL88" s="149">
        <v>28</v>
      </c>
      <c r="BM88" s="149">
        <v>25</v>
      </c>
      <c r="BN88" s="147">
        <f t="shared" si="342"/>
        <v>53</v>
      </c>
      <c r="BO88" s="137">
        <f t="shared" si="343"/>
        <v>53</v>
      </c>
      <c r="BP88" s="135" t="str">
        <f t="shared" si="344"/>
        <v>C</v>
      </c>
      <c r="BQ88" s="141" t="str">
        <f>VLOOKUP(RANK(BO88,$BO$10:$BO$109),Sheet1!$A$381:$B$480,2,FALSE)</f>
        <v>36th</v>
      </c>
      <c r="BR88" s="149">
        <v>27</v>
      </c>
      <c r="BS88" s="149">
        <v>43</v>
      </c>
      <c r="BT88" s="147">
        <f t="shared" si="345"/>
        <v>70</v>
      </c>
      <c r="BU88" s="137">
        <f t="shared" si="346"/>
        <v>70</v>
      </c>
      <c r="BV88" s="135" t="str">
        <f t="shared" si="347"/>
        <v>B</v>
      </c>
      <c r="BW88" s="135" t="str">
        <f>VLOOKUP(RANK(BU88,$BU$10:$BU$109),Sheet1!$A$381:$B$480,2,FALSE)</f>
        <v>13th</v>
      </c>
      <c r="BX88" s="149">
        <v>34</v>
      </c>
      <c r="BY88" s="149">
        <v>12</v>
      </c>
      <c r="BZ88" s="137">
        <f t="shared" si="348"/>
        <v>46</v>
      </c>
      <c r="CA88" s="137">
        <f t="shared" si="349"/>
        <v>46</v>
      </c>
      <c r="CB88" s="135" t="str">
        <f t="shared" si="350"/>
        <v>D</v>
      </c>
      <c r="CC88" s="135" t="str">
        <f>VLOOKUP(RANK(CA88,$CA$10:$CA$109),Sheet1!$A$381:$B$480,2,FALSE)</f>
        <v>11th</v>
      </c>
      <c r="CD88" s="149">
        <v>25</v>
      </c>
      <c r="CE88" s="149">
        <v>30</v>
      </c>
      <c r="CF88" s="137">
        <f t="shared" si="351"/>
        <v>55</v>
      </c>
      <c r="CG88" s="137">
        <f t="shared" si="352"/>
        <v>55</v>
      </c>
      <c r="CH88" s="135" t="str">
        <f t="shared" si="353"/>
        <v>C</v>
      </c>
      <c r="CI88" s="135" t="str">
        <f>VLOOKUP(RANK(CG88,$CG$10:$CG$109),Sheet1!$A$381:$B$480,2,FALSE)</f>
        <v>46th</v>
      </c>
      <c r="CJ88" s="137"/>
      <c r="CK88" s="137"/>
      <c r="CL88" s="137">
        <f t="shared" si="354"/>
        <v>0</v>
      </c>
      <c r="CM88" s="137">
        <f t="shared" si="355"/>
        <v>0</v>
      </c>
      <c r="CN88" s="135" t="str">
        <f t="shared" si="356"/>
        <v>F</v>
      </c>
      <c r="CO88" s="135" t="str">
        <f>VLOOKUP(RANK(CM88,$CM$10:$CM$109),Sheet1!$A$381:$B$480,2,FALSE)</f>
        <v>1st</v>
      </c>
      <c r="CP88" s="137"/>
      <c r="CQ88" s="137"/>
      <c r="CR88" s="137">
        <f t="shared" si="357"/>
        <v>0</v>
      </c>
      <c r="CS88" s="137">
        <f t="shared" si="358"/>
        <v>0</v>
      </c>
      <c r="CT88" s="135" t="str">
        <f t="shared" si="359"/>
        <v>F</v>
      </c>
      <c r="CU88" s="135" t="str">
        <f>VLOOKUP(RANK(CS88,$CS$10:$CS$109),Sheet1!$A$381:$B$480,2,FALSE)</f>
        <v>1st</v>
      </c>
      <c r="CV88" s="151"/>
      <c r="CW88" s="135"/>
      <c r="CX88" s="151">
        <f t="shared" si="508"/>
        <v>0</v>
      </c>
      <c r="CY88" s="151">
        <f t="shared" si="509"/>
        <v>0</v>
      </c>
      <c r="CZ88" s="135" t="str">
        <f t="shared" si="360"/>
        <v>F</v>
      </c>
      <c r="DA88" s="135" t="str">
        <f>VLOOKUP(RANK(CY88,$CY$10:$CY$109),Sheet1!$A$381:$B$480,2,FALSE)</f>
        <v>1st</v>
      </c>
      <c r="DB88" s="135"/>
      <c r="DC88" s="151">
        <f t="shared" si="510"/>
        <v>690</v>
      </c>
      <c r="DD88" s="151">
        <f t="shared" si="511"/>
        <v>40.588235294117602</v>
      </c>
      <c r="DE88" s="135" t="str">
        <f>VLOOKUP(RANK(DD88,$DD$10:$DD$109),Sheet1!$A$381:$B$480,2,FALSE)</f>
        <v>23rd</v>
      </c>
      <c r="DF88" s="137"/>
      <c r="DG88" s="160">
        <f t="shared" si="361"/>
        <v>730.58823529411802</v>
      </c>
      <c r="DH88" s="119"/>
      <c r="DI88" s="162">
        <v>20</v>
      </c>
      <c r="DJ88" s="162">
        <v>43</v>
      </c>
      <c r="DK88" s="137">
        <f t="shared" si="362"/>
        <v>63</v>
      </c>
      <c r="DL88" s="137" t="str">
        <f t="shared" si="363"/>
        <v>61</v>
      </c>
      <c r="DM88" s="137">
        <f t="shared" si="364"/>
        <v>124</v>
      </c>
      <c r="DN88" s="137">
        <f t="shared" si="365"/>
        <v>62</v>
      </c>
      <c r="DO88" s="135" t="str">
        <f t="shared" si="366"/>
        <v>B</v>
      </c>
      <c r="DP88" s="135" t="str">
        <f>VLOOKUP(RANK(DN88,$DN$10:$DN$109),Sheet1!$A$381:$B$480,2,FALSE)</f>
        <v>69th</v>
      </c>
      <c r="DQ88" s="166">
        <v>26</v>
      </c>
      <c r="DR88" s="166">
        <v>29</v>
      </c>
      <c r="DS88" s="137">
        <f t="shared" si="367"/>
        <v>55</v>
      </c>
      <c r="DT88" s="137" t="str">
        <f t="shared" si="368"/>
        <v>63</v>
      </c>
      <c r="DU88" s="137">
        <f t="shared" si="369"/>
        <v>118</v>
      </c>
      <c r="DV88" s="137">
        <f t="shared" si="370"/>
        <v>59</v>
      </c>
      <c r="DW88" s="135" t="str">
        <f t="shared" si="371"/>
        <v>C</v>
      </c>
      <c r="DX88" s="135" t="str">
        <f>VLOOKUP(RANK(DV88,$DV$10:$DV$109),Sheet1!$A$381:$B$480,2,FALSE)</f>
        <v>14th</v>
      </c>
      <c r="DY88" s="168">
        <v>37</v>
      </c>
      <c r="DZ88" s="168">
        <v>26</v>
      </c>
      <c r="EA88" s="137">
        <f t="shared" si="372"/>
        <v>63</v>
      </c>
      <c r="EB88" s="137" t="str">
        <f t="shared" si="373"/>
        <v>58</v>
      </c>
      <c r="EC88" s="137">
        <f t="shared" si="374"/>
        <v>121</v>
      </c>
      <c r="ED88" s="137">
        <f t="shared" si="375"/>
        <v>60.5</v>
      </c>
      <c r="EE88" s="135" t="str">
        <f t="shared" si="376"/>
        <v>B</v>
      </c>
      <c r="EF88" s="135" t="str">
        <f>VLOOKUP(RANK(ED88,$ED$10:$ED$109),Sheet1!$A$381:$B$480,2,FALSE)</f>
        <v>10th</v>
      </c>
      <c r="EG88" s="162">
        <v>25</v>
      </c>
      <c r="EH88" s="162">
        <v>41</v>
      </c>
      <c r="EI88" s="137">
        <f t="shared" si="377"/>
        <v>66</v>
      </c>
      <c r="EJ88" s="137" t="str">
        <f t="shared" si="378"/>
        <v>65</v>
      </c>
      <c r="EK88" s="137">
        <f t="shared" si="379"/>
        <v>131</v>
      </c>
      <c r="EL88" s="137">
        <f t="shared" si="380"/>
        <v>65.5</v>
      </c>
      <c r="EM88" s="135" t="str">
        <f t="shared" si="381"/>
        <v>B</v>
      </c>
      <c r="EN88" s="135" t="str">
        <f>VLOOKUP(RANK(EL88,$EL$10:$EL$109),Sheet1!$A$381:$B$480,2,FALSE)</f>
        <v>25th</v>
      </c>
      <c r="EO88" s="162">
        <v>29</v>
      </c>
      <c r="EP88" s="162">
        <v>34</v>
      </c>
      <c r="EQ88" s="137">
        <f t="shared" si="382"/>
        <v>63</v>
      </c>
      <c r="ER88" s="137" t="str">
        <f t="shared" si="383"/>
        <v>66</v>
      </c>
      <c r="ES88" s="137">
        <f t="shared" si="384"/>
        <v>129</v>
      </c>
      <c r="ET88" s="137">
        <f t="shared" si="385"/>
        <v>64.5</v>
      </c>
      <c r="EU88" s="135" t="str">
        <f t="shared" si="386"/>
        <v>B</v>
      </c>
      <c r="EV88" s="135" t="str">
        <f>VLOOKUP(RANK(ET88,$ET$10:$ET$109),Sheet1!$A$381:$B$480,2,FALSE)</f>
        <v>30th</v>
      </c>
      <c r="EW88" s="137"/>
      <c r="EX88" s="137"/>
      <c r="EY88" s="137">
        <f t="shared" si="387"/>
        <v>0</v>
      </c>
      <c r="EZ88" s="137" t="str">
        <f t="shared" si="388"/>
        <v>0</v>
      </c>
      <c r="FA88" s="137">
        <f t="shared" si="389"/>
        <v>0</v>
      </c>
      <c r="FB88" s="137">
        <f t="shared" si="390"/>
        <v>0</v>
      </c>
      <c r="FC88" s="135" t="str">
        <f t="shared" si="391"/>
        <v>F</v>
      </c>
      <c r="FD88" s="135" t="str">
        <f>VLOOKUP(RANK(FB88,$FB$10:$FB$109),Sheet1!$A$381:$B$480,2,FALSE)</f>
        <v>1st</v>
      </c>
      <c r="FE88" s="137"/>
      <c r="FF88" s="137"/>
      <c r="FG88" s="137">
        <f t="shared" si="392"/>
        <v>0</v>
      </c>
      <c r="FH88" s="137" t="str">
        <f t="shared" si="393"/>
        <v>0</v>
      </c>
      <c r="FI88" s="137">
        <f t="shared" si="394"/>
        <v>0</v>
      </c>
      <c r="FJ88" s="137">
        <f t="shared" si="395"/>
        <v>0</v>
      </c>
      <c r="FK88" s="135" t="str">
        <f t="shared" si="396"/>
        <v>F</v>
      </c>
      <c r="FL88" s="135" t="str">
        <f>VLOOKUP(RANK(FJ88,$FJ$10:$FJ$109),Sheet1!$A$381:$B$480,2,FALSE)</f>
        <v>1st</v>
      </c>
      <c r="FM88" s="166">
        <v>25</v>
      </c>
      <c r="FN88" s="166">
        <v>25</v>
      </c>
      <c r="FO88" s="137">
        <f t="shared" si="397"/>
        <v>50</v>
      </c>
      <c r="FP88" s="137" t="str">
        <f t="shared" si="398"/>
        <v>50</v>
      </c>
      <c r="FQ88" s="137">
        <f t="shared" si="399"/>
        <v>100</v>
      </c>
      <c r="FR88" s="137">
        <f t="shared" si="400"/>
        <v>50</v>
      </c>
      <c r="FS88" s="135" t="str">
        <f t="shared" si="401"/>
        <v>C</v>
      </c>
      <c r="FT88" s="135" t="str">
        <f>VLOOKUP(RANK(FR88,$FR$10:$FR$109),Sheet1!$A$381:$B$480,2,FALSE)</f>
        <v>77th</v>
      </c>
      <c r="FU88" s="149">
        <v>38</v>
      </c>
      <c r="FV88" s="149">
        <v>21</v>
      </c>
      <c r="FW88" s="137">
        <f t="shared" si="402"/>
        <v>59</v>
      </c>
      <c r="FX88" s="137" t="str">
        <f t="shared" si="403"/>
        <v>64</v>
      </c>
      <c r="FY88" s="137">
        <f t="shared" si="512"/>
        <v>59</v>
      </c>
      <c r="FZ88" s="137">
        <f t="shared" si="404"/>
        <v>29.5</v>
      </c>
      <c r="GA88" s="135" t="str">
        <f t="shared" si="405"/>
        <v>F</v>
      </c>
      <c r="GB88" s="135" t="str">
        <f>VLOOKUP(RANK(FZ88,$FZ$10:$FZ$109),Sheet1!$A$381:$B$480,2,FALSE)</f>
        <v>25th</v>
      </c>
      <c r="GC88" s="166">
        <v>33</v>
      </c>
      <c r="GD88" s="166">
        <v>25</v>
      </c>
      <c r="GE88" s="137">
        <f t="shared" si="406"/>
        <v>58</v>
      </c>
      <c r="GF88" s="137" t="str">
        <f t="shared" si="407"/>
        <v>39</v>
      </c>
      <c r="GG88" s="135">
        <f t="shared" si="513"/>
        <v>97</v>
      </c>
      <c r="GH88" s="137">
        <f t="shared" si="514"/>
        <v>48.5</v>
      </c>
      <c r="GI88" s="135" t="str">
        <f t="shared" si="408"/>
        <v>D</v>
      </c>
      <c r="GJ88" s="135" t="str">
        <f>VLOOKUP(RANK(GH88,$GH$10:$GH$109),Sheet1!$A$381:$B$480,2,FALSE)</f>
        <v>17th</v>
      </c>
      <c r="GK88" s="166">
        <v>32</v>
      </c>
      <c r="GL88" s="166">
        <v>18</v>
      </c>
      <c r="GM88" s="137">
        <f t="shared" si="409"/>
        <v>50</v>
      </c>
      <c r="GN88" s="137" t="str">
        <f t="shared" si="410"/>
        <v>53</v>
      </c>
      <c r="GO88" s="135">
        <f t="shared" si="515"/>
        <v>103</v>
      </c>
      <c r="GP88" s="137">
        <f t="shared" si="411"/>
        <v>51.5</v>
      </c>
      <c r="GQ88" s="135" t="str">
        <f t="shared" si="412"/>
        <v>C</v>
      </c>
      <c r="GR88" s="135" t="str">
        <f>VLOOKUP(RANK(GP88,$GP$10:$GP$109),Sheet1!$A$381:$B$480,2,FALSE)</f>
        <v>12th</v>
      </c>
      <c r="GS88" s="166">
        <v>29</v>
      </c>
      <c r="GT88" s="166">
        <v>30</v>
      </c>
      <c r="GU88" s="137">
        <f t="shared" si="413"/>
        <v>59</v>
      </c>
      <c r="GV88" s="137" t="str">
        <f t="shared" si="414"/>
        <v>70</v>
      </c>
      <c r="GW88" s="137">
        <f t="shared" si="415"/>
        <v>129</v>
      </c>
      <c r="GX88" s="137">
        <f t="shared" si="416"/>
        <v>64.5</v>
      </c>
      <c r="GY88" s="135" t="str">
        <f t="shared" si="417"/>
        <v>B</v>
      </c>
      <c r="GZ88" s="135" t="str">
        <f>VLOOKUP(RANK(GX88,$GX$10:$GX$109),Sheet1!$A$381:$B$480,2,FALSE)</f>
        <v>18th</v>
      </c>
      <c r="HA88" s="166">
        <v>30</v>
      </c>
      <c r="HB88" s="166">
        <v>12</v>
      </c>
      <c r="HC88" s="137">
        <f t="shared" si="418"/>
        <v>42</v>
      </c>
      <c r="HD88" s="137" t="str">
        <f t="shared" si="419"/>
        <v>46</v>
      </c>
      <c r="HE88" s="137">
        <f t="shared" si="420"/>
        <v>88</v>
      </c>
      <c r="HF88" s="137">
        <f t="shared" si="421"/>
        <v>44</v>
      </c>
      <c r="HG88" s="135" t="str">
        <f t="shared" si="422"/>
        <v>D</v>
      </c>
      <c r="HH88" s="135" t="str">
        <f>VLOOKUP(RANK(HF88,$HF$10:$HF$109),Sheet1!$A$381:$B$480,2,FALSE)</f>
        <v>30th</v>
      </c>
      <c r="HI88" s="149">
        <v>27</v>
      </c>
      <c r="HJ88" s="149">
        <v>36</v>
      </c>
      <c r="HK88" s="137">
        <f t="shared" si="423"/>
        <v>63</v>
      </c>
      <c r="HL88" s="137" t="str">
        <f t="shared" si="424"/>
        <v>55</v>
      </c>
      <c r="HM88" s="137">
        <f t="shared" si="425"/>
        <v>118</v>
      </c>
      <c r="HN88" s="137">
        <f t="shared" si="426"/>
        <v>59</v>
      </c>
      <c r="HO88" s="135" t="str">
        <f t="shared" si="427"/>
        <v>C</v>
      </c>
      <c r="HP88" s="135" t="str">
        <f>VLOOKUP(RANK(HN88,$HN$10:$HN$109),Sheet1!$A$381:$B$480,2,FALSE)</f>
        <v>74th</v>
      </c>
      <c r="HQ88" s="137"/>
      <c r="HR88" s="137"/>
      <c r="HS88" s="137">
        <f t="shared" si="428"/>
        <v>0</v>
      </c>
      <c r="HT88" s="137" t="str">
        <f t="shared" si="429"/>
        <v>0</v>
      </c>
      <c r="HU88" s="137">
        <f t="shared" si="430"/>
        <v>0</v>
      </c>
      <c r="HV88" s="137">
        <f t="shared" si="431"/>
        <v>0</v>
      </c>
      <c r="HW88" s="135" t="str">
        <f t="shared" si="432"/>
        <v>F</v>
      </c>
      <c r="HX88" s="135" t="str">
        <f>VLOOKUP(RANK(HV88,$HV$10:$HV$109),Sheet1!$A$381:$B$480,2,FALSE)</f>
        <v>1st</v>
      </c>
      <c r="HY88" s="137"/>
      <c r="HZ88" s="137"/>
      <c r="IA88" s="137">
        <f t="shared" si="433"/>
        <v>0</v>
      </c>
      <c r="IB88" s="137" t="str">
        <f t="shared" si="434"/>
        <v>0</v>
      </c>
      <c r="IC88" s="137">
        <f t="shared" si="435"/>
        <v>0</v>
      </c>
      <c r="ID88" s="137">
        <f t="shared" si="436"/>
        <v>0</v>
      </c>
      <c r="IE88" s="135" t="str">
        <f t="shared" si="437"/>
        <v>F</v>
      </c>
      <c r="IF88" s="135" t="str">
        <f>VLOOKUP(RANK(ID88,$ID$10:$ID$109),Sheet1!$A$381:$B$480,2,FALSE)</f>
        <v>1st</v>
      </c>
      <c r="IG88" s="135"/>
      <c r="IH88" s="135"/>
      <c r="II88" s="135">
        <f t="shared" si="516"/>
        <v>0</v>
      </c>
      <c r="IJ88" s="135" t="str">
        <f t="shared" si="517"/>
        <v>0</v>
      </c>
      <c r="IK88" s="135">
        <f t="shared" si="518"/>
        <v>0</v>
      </c>
      <c r="IL88" s="135">
        <f t="shared" si="519"/>
        <v>0</v>
      </c>
      <c r="IM88" s="135" t="str">
        <f t="shared" si="438"/>
        <v>F</v>
      </c>
      <c r="IN88" s="135" t="str">
        <f>VLOOKUP(RANK(IL88,$IL$10:$IL$109),Sheet1!$A$381:$B$480,2,FALSE)</f>
        <v>1st</v>
      </c>
      <c r="IO88" s="135">
        <f t="shared" si="520"/>
        <v>658.5</v>
      </c>
      <c r="IP88" s="177">
        <f t="shared" si="521"/>
        <v>38.735294117647101</v>
      </c>
      <c r="IQ88" s="135" t="str">
        <f>VLOOKUP(RANK(IP88,$IP$10:$IP$109),Sheet1!$A$381:$B$480,2,FALSE)</f>
        <v>23rd</v>
      </c>
      <c r="IR88" s="178"/>
      <c r="IS88" s="137"/>
      <c r="IT88" s="137"/>
      <c r="IU88" s="137"/>
      <c r="IV88" s="137"/>
      <c r="IW88" s="181"/>
      <c r="IX88" s="184"/>
      <c r="IY88" s="186"/>
      <c r="IZ88" s="186">
        <f t="shared" si="439"/>
        <v>0</v>
      </c>
      <c r="JA88" s="186" t="str">
        <f t="shared" si="440"/>
        <v>61</v>
      </c>
      <c r="JB88" s="186" t="str">
        <f t="shared" si="441"/>
        <v>63</v>
      </c>
      <c r="JC88" s="186">
        <f t="shared" si="522"/>
        <v>124</v>
      </c>
      <c r="JD88" s="186">
        <f t="shared" si="523"/>
        <v>41.3333333333333</v>
      </c>
      <c r="JE88" s="135" t="str">
        <f t="shared" si="442"/>
        <v>D</v>
      </c>
      <c r="JF88" s="151" t="str">
        <f>VLOOKUP(RANK(JD88,$JD$10:$JD$109),Sheet1!$A$381:$B$480,2,FALSE)</f>
        <v>69th</v>
      </c>
      <c r="JG88" s="186"/>
      <c r="JH88" s="186"/>
      <c r="JI88" s="186">
        <f t="shared" si="443"/>
        <v>0</v>
      </c>
      <c r="JJ88" s="186" t="str">
        <f t="shared" si="444"/>
        <v>63</v>
      </c>
      <c r="JK88" s="186" t="str">
        <f t="shared" si="445"/>
        <v>55</v>
      </c>
      <c r="JL88" s="186">
        <f t="shared" si="524"/>
        <v>118</v>
      </c>
      <c r="JM88" s="186">
        <f t="shared" si="525"/>
        <v>39.3333333333333</v>
      </c>
      <c r="JN88" s="135" t="str">
        <f t="shared" si="446"/>
        <v>E</v>
      </c>
      <c r="JO88" s="151" t="str">
        <f>VLOOKUP(RANK(JM88,$JM$10:$JM$109),Sheet1!$A$381:$B$480,2,FALSE)</f>
        <v>14th</v>
      </c>
      <c r="JP88" s="186"/>
      <c r="JQ88" s="186"/>
      <c r="JR88" s="186">
        <f t="shared" si="447"/>
        <v>0</v>
      </c>
      <c r="JS88" s="186" t="str">
        <f t="shared" si="448"/>
        <v>58</v>
      </c>
      <c r="JT88" s="186" t="str">
        <f t="shared" si="449"/>
        <v>63</v>
      </c>
      <c r="JU88" s="186">
        <f t="shared" si="526"/>
        <v>121</v>
      </c>
      <c r="JV88" s="186">
        <f t="shared" si="527"/>
        <v>40.3333333333333</v>
      </c>
      <c r="JW88" s="135" t="str">
        <f t="shared" si="450"/>
        <v>D</v>
      </c>
      <c r="JX88" s="151" t="str">
        <f>VLOOKUP(RANK(JV88,$JV$10:$JV$109),Sheet1!$A$381:$B$480,2,FALSE)</f>
        <v>10th</v>
      </c>
      <c r="JY88" s="186"/>
      <c r="JZ88" s="186"/>
      <c r="KA88" s="186">
        <f t="shared" si="451"/>
        <v>0</v>
      </c>
      <c r="KB88" s="186" t="str">
        <f t="shared" si="452"/>
        <v>65</v>
      </c>
      <c r="KC88" s="186" t="str">
        <f t="shared" si="453"/>
        <v>66</v>
      </c>
      <c r="KD88" s="186">
        <f t="shared" si="528"/>
        <v>131</v>
      </c>
      <c r="KE88" s="186">
        <f t="shared" si="529"/>
        <v>43.6666666666667</v>
      </c>
      <c r="KF88" s="135" t="str">
        <f t="shared" si="454"/>
        <v>D</v>
      </c>
      <c r="KG88" s="151" t="str">
        <f>VLOOKUP(RANK(KE88,$KE$10:$KE$109),Sheet1!$A$381:$B$480,2,FALSE)</f>
        <v>25th</v>
      </c>
      <c r="KH88" s="186"/>
      <c r="KI88" s="186"/>
      <c r="KJ88" s="186">
        <f t="shared" si="455"/>
        <v>0</v>
      </c>
      <c r="KK88" s="186" t="str">
        <f t="shared" si="456"/>
        <v>66</v>
      </c>
      <c r="KL88" s="186" t="str">
        <f t="shared" si="457"/>
        <v>63</v>
      </c>
      <c r="KM88" s="186">
        <f t="shared" si="530"/>
        <v>129</v>
      </c>
      <c r="KN88" s="186">
        <f t="shared" si="531"/>
        <v>43</v>
      </c>
      <c r="KO88" s="135" t="str">
        <f t="shared" si="458"/>
        <v>D</v>
      </c>
      <c r="KP88" s="151" t="str">
        <f>VLOOKUP(RANK(KN88,$KN$10:$KN$109),Sheet1!$A$381:$B$480,2,FALSE)</f>
        <v>30th</v>
      </c>
      <c r="KQ88" s="186"/>
      <c r="KR88" s="186"/>
      <c r="KS88" s="186">
        <f t="shared" si="459"/>
        <v>0</v>
      </c>
      <c r="KT88" s="186" t="str">
        <f t="shared" si="460"/>
        <v>0</v>
      </c>
      <c r="KU88" s="186" t="str">
        <f t="shared" si="461"/>
        <v>0</v>
      </c>
      <c r="KV88" s="186">
        <f t="shared" si="532"/>
        <v>0</v>
      </c>
      <c r="KW88" s="186">
        <f t="shared" si="533"/>
        <v>0</v>
      </c>
      <c r="KX88" s="135" t="str">
        <f t="shared" si="462"/>
        <v>F</v>
      </c>
      <c r="KY88" s="151" t="str">
        <f>VLOOKUP(RANK(KW88,$KW$10:$KW$109),Sheet1!$A$381:$B$480,2,FALSE)</f>
        <v>1st</v>
      </c>
      <c r="KZ88" s="186"/>
      <c r="LA88" s="186"/>
      <c r="LB88" s="186">
        <f t="shared" si="463"/>
        <v>0</v>
      </c>
      <c r="LC88" s="186" t="str">
        <f t="shared" si="464"/>
        <v>0</v>
      </c>
      <c r="LD88" s="186" t="str">
        <f t="shared" si="465"/>
        <v>0</v>
      </c>
      <c r="LE88" s="186">
        <f t="shared" si="534"/>
        <v>0</v>
      </c>
      <c r="LF88" s="186">
        <f t="shared" si="535"/>
        <v>0</v>
      </c>
      <c r="LG88" s="135" t="str">
        <f t="shared" si="466"/>
        <v>F</v>
      </c>
      <c r="LH88" s="151" t="str">
        <f>VLOOKUP(RANK(LF88,$LF$10:$LF$109),Sheet1!$A$381:$B$480,2,FALSE)</f>
        <v>1st</v>
      </c>
      <c r="LI88" s="186"/>
      <c r="LJ88" s="186"/>
      <c r="LK88" s="186">
        <f t="shared" si="467"/>
        <v>0</v>
      </c>
      <c r="LL88" s="186" t="str">
        <f t="shared" si="468"/>
        <v>50</v>
      </c>
      <c r="LM88" s="186" t="str">
        <f t="shared" si="469"/>
        <v>50</v>
      </c>
      <c r="LN88" s="186">
        <f t="shared" si="536"/>
        <v>100</v>
      </c>
      <c r="LO88" s="186">
        <f t="shared" si="537"/>
        <v>33.3333333333333</v>
      </c>
      <c r="LP88" s="135" t="str">
        <f t="shared" si="470"/>
        <v>F</v>
      </c>
      <c r="LQ88" s="151" t="str">
        <f>VLOOKUP(RANK(LO88,$LO$10:$LO$109),Sheet1!$A$381:$B$480,2,FALSE)</f>
        <v>77th</v>
      </c>
      <c r="LR88" s="186"/>
      <c r="LS88" s="186"/>
      <c r="LT88" s="186">
        <f t="shared" si="471"/>
        <v>0</v>
      </c>
      <c r="LU88" s="186" t="str">
        <f t="shared" si="472"/>
        <v>64</v>
      </c>
      <c r="LV88" s="186" t="str">
        <f t="shared" si="473"/>
        <v>59</v>
      </c>
      <c r="LW88" s="186">
        <f t="shared" si="538"/>
        <v>123</v>
      </c>
      <c r="LX88" s="186">
        <f t="shared" si="539"/>
        <v>41</v>
      </c>
      <c r="LY88" s="135" t="str">
        <f t="shared" si="474"/>
        <v>D</v>
      </c>
      <c r="LZ88" s="151" t="str">
        <f>VLOOKUP(RANK(LX88,$LX$10:$LX$109),Sheet1!$A$381:$B$480,2,FALSE)</f>
        <v>16th</v>
      </c>
      <c r="MA88" s="186"/>
      <c r="MB88" s="186"/>
      <c r="MC88" s="186">
        <f t="shared" si="475"/>
        <v>0</v>
      </c>
      <c r="MD88" s="186" t="str">
        <f t="shared" si="476"/>
        <v>39</v>
      </c>
      <c r="ME88" s="186" t="str">
        <f t="shared" si="477"/>
        <v>58</v>
      </c>
      <c r="MF88" s="183">
        <f t="shared" si="540"/>
        <v>97</v>
      </c>
      <c r="MG88" s="151">
        <f t="shared" si="541"/>
        <v>32.3333333333333</v>
      </c>
      <c r="MH88" s="135" t="str">
        <f t="shared" si="478"/>
        <v>F</v>
      </c>
      <c r="MI88" s="151" t="str">
        <f>VLOOKUP(RANK(MG88,$MG$10:$MG$109),Sheet1!$A$381:$B$480,2,FALSE)</f>
        <v>17th</v>
      </c>
      <c r="MJ88" s="186"/>
      <c r="MK88" s="186"/>
      <c r="ML88" s="186">
        <f t="shared" si="479"/>
        <v>0</v>
      </c>
      <c r="MM88" s="186" t="str">
        <f t="shared" si="480"/>
        <v>53</v>
      </c>
      <c r="MN88" s="186" t="str">
        <f t="shared" si="481"/>
        <v>50</v>
      </c>
      <c r="MO88" s="186">
        <f t="shared" si="542"/>
        <v>103</v>
      </c>
      <c r="MP88" s="186">
        <f t="shared" si="543"/>
        <v>34.3333333333333</v>
      </c>
      <c r="MQ88" s="135" t="str">
        <f t="shared" si="482"/>
        <v>F</v>
      </c>
      <c r="MR88" s="151" t="str">
        <f>VLOOKUP(RANK(MP88,$MP$10:$MP$109),Sheet1!$A$381:$B$480,2,FALSE)</f>
        <v>12th</v>
      </c>
      <c r="MS88" s="186"/>
      <c r="MT88" s="186"/>
      <c r="MU88" s="186">
        <f t="shared" si="483"/>
        <v>0</v>
      </c>
      <c r="MV88" s="186" t="str">
        <f t="shared" si="484"/>
        <v>70</v>
      </c>
      <c r="MW88" s="186" t="str">
        <f t="shared" si="485"/>
        <v>59</v>
      </c>
      <c r="MX88" s="186">
        <f t="shared" si="544"/>
        <v>129</v>
      </c>
      <c r="MY88" s="186">
        <f t="shared" si="545"/>
        <v>43</v>
      </c>
      <c r="MZ88" s="135" t="str">
        <f t="shared" si="486"/>
        <v>D</v>
      </c>
      <c r="NA88" s="151" t="str">
        <f>VLOOKUP(RANK(MY88,$MY$10:$MY$109),Sheet1!$A$381:$B$480,2,FALSE)</f>
        <v>18th</v>
      </c>
      <c r="NB88" s="186"/>
      <c r="NC88" s="186"/>
      <c r="ND88" s="186">
        <f t="shared" si="487"/>
        <v>0</v>
      </c>
      <c r="NE88" s="186" t="str">
        <f t="shared" si="488"/>
        <v>46</v>
      </c>
      <c r="NF88" s="186" t="str">
        <f t="shared" si="489"/>
        <v>42</v>
      </c>
      <c r="NG88" s="186">
        <f t="shared" si="546"/>
        <v>88</v>
      </c>
      <c r="NH88" s="186">
        <f t="shared" si="547"/>
        <v>29.3333333333333</v>
      </c>
      <c r="NI88" s="135" t="str">
        <f t="shared" si="490"/>
        <v>F</v>
      </c>
      <c r="NJ88" s="151" t="str">
        <f>VLOOKUP(RANK(NH88,$NH$10:$NH$109),Sheet1!$A$381:$B$480,2,FALSE)</f>
        <v>30th</v>
      </c>
      <c r="NK88" s="186"/>
      <c r="NL88" s="186"/>
      <c r="NM88" s="186">
        <f t="shared" si="491"/>
        <v>0</v>
      </c>
      <c r="NN88" s="186" t="str">
        <f t="shared" si="492"/>
        <v>55</v>
      </c>
      <c r="NO88" s="186" t="str">
        <f t="shared" si="493"/>
        <v>63</v>
      </c>
      <c r="NP88" s="186">
        <f t="shared" si="548"/>
        <v>118</v>
      </c>
      <c r="NQ88" s="186">
        <f t="shared" si="494"/>
        <v>39.3333333333333</v>
      </c>
      <c r="NR88" s="135" t="str">
        <f t="shared" si="495"/>
        <v>E</v>
      </c>
      <c r="NS88" s="151" t="str">
        <f>VLOOKUP(RANK(NQ88,$NQ$10:$NQ$109),Sheet1!$A$381:$B$480,2,FALSE)</f>
        <v>74th</v>
      </c>
      <c r="NT88" s="186"/>
      <c r="NU88" s="186"/>
      <c r="NV88" s="186">
        <f t="shared" si="496"/>
        <v>0</v>
      </c>
      <c r="NW88" s="186" t="str">
        <f t="shared" si="497"/>
        <v>0</v>
      </c>
      <c r="NX88" s="186" t="str">
        <f t="shared" si="498"/>
        <v>0</v>
      </c>
      <c r="NY88" s="186">
        <f t="shared" si="549"/>
        <v>0</v>
      </c>
      <c r="NZ88" s="186">
        <f t="shared" si="499"/>
        <v>0</v>
      </c>
      <c r="OA88" s="135" t="str">
        <f t="shared" si="500"/>
        <v>F</v>
      </c>
      <c r="OB88" s="151" t="str">
        <f>VLOOKUP(RANK(NZ88,$NZ$10:$NZ$109),Sheet1!$A$381:$B$480,2,FALSE)</f>
        <v>1st</v>
      </c>
      <c r="OC88" s="186"/>
      <c r="OD88" s="186"/>
      <c r="OE88" s="186">
        <f t="shared" si="501"/>
        <v>0</v>
      </c>
      <c r="OF88" s="186" t="str">
        <f t="shared" si="502"/>
        <v>0</v>
      </c>
      <c r="OG88" s="186" t="str">
        <f t="shared" si="503"/>
        <v>0</v>
      </c>
      <c r="OH88" s="186">
        <f t="shared" si="550"/>
        <v>0</v>
      </c>
      <c r="OI88" s="186">
        <f t="shared" si="504"/>
        <v>0</v>
      </c>
      <c r="OJ88" s="135" t="str">
        <f t="shared" si="505"/>
        <v>F</v>
      </c>
      <c r="OK88" s="151" t="str">
        <f>VLOOKUP(RANK(OI88,$OI$10:$OI$109),Sheet1!$A$381:$B$480,2,FALSE)</f>
        <v>1st</v>
      </c>
      <c r="OL88" s="151"/>
      <c r="OM88" s="151"/>
      <c r="ON88" s="151">
        <f t="shared" si="551"/>
        <v>0</v>
      </c>
      <c r="OO88" s="151" t="str">
        <f t="shared" si="552"/>
        <v>0</v>
      </c>
      <c r="OP88" s="151" t="str">
        <f t="shared" si="553"/>
        <v>0</v>
      </c>
      <c r="OQ88" s="151">
        <f t="shared" si="554"/>
        <v>0</v>
      </c>
      <c r="OR88" s="151">
        <f t="shared" si="555"/>
        <v>0</v>
      </c>
      <c r="OS88" s="135" t="str">
        <f t="shared" si="506"/>
        <v>F</v>
      </c>
      <c r="OT88" s="151" t="str">
        <f>VLOOKUP(RANK(OR88,$OI$10:$OI$109),Sheet1!$A$381:$B$480,2,FALSE)</f>
        <v>1st</v>
      </c>
      <c r="OU88" s="151">
        <f t="shared" si="556"/>
        <v>460.33333333333297</v>
      </c>
      <c r="OV88" s="151">
        <f t="shared" si="557"/>
        <v>27.078431372549002</v>
      </c>
      <c r="OW88" s="151" t="str">
        <f>VLOOKUP(RANK(OV88,$OV$10:$OV$109),Sheet1!$A$381:$B$480,2,FALSE)</f>
        <v>22nd</v>
      </c>
      <c r="OX88" s="151"/>
      <c r="OY88" s="186"/>
      <c r="OZ88" s="186"/>
      <c r="PA88" s="186"/>
      <c r="PB88" s="186"/>
    </row>
    <row r="89" spans="1:418" s="118" customFormat="1" ht="18.75">
      <c r="A89" s="131">
        <v>80</v>
      </c>
      <c r="B89" s="132" t="s">
        <v>179</v>
      </c>
      <c r="C89" s="133" t="s">
        <v>97</v>
      </c>
      <c r="D89" s="134">
        <v>27</v>
      </c>
      <c r="E89" s="134">
        <v>43</v>
      </c>
      <c r="F89" s="137">
        <f t="shared" si="315"/>
        <v>70</v>
      </c>
      <c r="G89" s="137">
        <f t="shared" si="316"/>
        <v>70</v>
      </c>
      <c r="H89" s="135" t="str">
        <f t="shared" si="507"/>
        <v>B</v>
      </c>
      <c r="I89" s="135" t="str">
        <f>VLOOKUP(RANK(G89,$G$10:$G$109),Sheet1!$A$381:$B$480,2,FALSE)</f>
        <v>36th</v>
      </c>
      <c r="J89" s="134">
        <v>34</v>
      </c>
      <c r="K89" s="134">
        <v>35</v>
      </c>
      <c r="L89" s="137">
        <f t="shared" si="317"/>
        <v>69</v>
      </c>
      <c r="M89" s="137">
        <f t="shared" si="318"/>
        <v>69</v>
      </c>
      <c r="N89" s="135" t="str">
        <f t="shared" si="319"/>
        <v>B</v>
      </c>
      <c r="O89" s="141" t="str">
        <f>VLOOKUP(RANK(M89,$M$10:$M$109),Sheet1!$A$381:$B$480,2,FALSE)</f>
        <v>12th</v>
      </c>
      <c r="P89" s="144">
        <v>30</v>
      </c>
      <c r="Q89" s="144">
        <v>20</v>
      </c>
      <c r="R89" s="147">
        <f t="shared" si="320"/>
        <v>50</v>
      </c>
      <c r="S89" s="137">
        <f t="shared" si="321"/>
        <v>50</v>
      </c>
      <c r="T89" s="135" t="str">
        <f t="shared" si="322"/>
        <v>C</v>
      </c>
      <c r="U89" s="135" t="str">
        <f>VLOOKUP(RANK(S89,$S$10:$S$109),Sheet1!$A$381:$B$480,2,FALSE)</f>
        <v>29th</v>
      </c>
      <c r="V89" s="134">
        <v>33</v>
      </c>
      <c r="W89" s="134">
        <v>55</v>
      </c>
      <c r="X89" s="137">
        <f t="shared" si="559"/>
        <v>88</v>
      </c>
      <c r="Y89" s="137">
        <f t="shared" si="558"/>
        <v>88</v>
      </c>
      <c r="Z89" s="135" t="str">
        <f t="shared" si="323"/>
        <v>A</v>
      </c>
      <c r="AA89" s="135" t="str">
        <f>VLOOKUP(RANK(Y89,$Y$10:$Y$109),Sheet1!$A$381:$B$480,2,FALSE)</f>
        <v>3rd</v>
      </c>
      <c r="AB89" s="134">
        <v>31</v>
      </c>
      <c r="AC89" s="134">
        <v>45</v>
      </c>
      <c r="AD89" s="137">
        <f t="shared" si="324"/>
        <v>76</v>
      </c>
      <c r="AE89" s="137">
        <f t="shared" si="325"/>
        <v>76</v>
      </c>
      <c r="AF89" s="135" t="str">
        <f t="shared" si="326"/>
        <v>A</v>
      </c>
      <c r="AG89" s="135" t="str">
        <f>VLOOKUP(RANK(AE89,$AE$10:$AE$109),Sheet1!$A$381:$B$480,2,FALSE)</f>
        <v>22nd</v>
      </c>
      <c r="AH89" s="137"/>
      <c r="AI89" s="137"/>
      <c r="AJ89" s="137">
        <f t="shared" si="327"/>
        <v>0</v>
      </c>
      <c r="AK89" s="137">
        <f t="shared" si="328"/>
        <v>0</v>
      </c>
      <c r="AL89" s="135" t="str">
        <f t="shared" si="329"/>
        <v>F</v>
      </c>
      <c r="AM89" s="135" t="str">
        <f>VLOOKUP(RANK(AK89,$AK$10:$AK$109),Sheet1!$A$381:$B$480,2,FALSE)</f>
        <v>1st</v>
      </c>
      <c r="AN89" s="139"/>
      <c r="AO89" s="139"/>
      <c r="AP89" s="137">
        <f t="shared" si="330"/>
        <v>0</v>
      </c>
      <c r="AQ89" s="137">
        <f t="shared" si="331"/>
        <v>0</v>
      </c>
      <c r="AR89" s="135" t="str">
        <f t="shared" si="332"/>
        <v>F</v>
      </c>
      <c r="AS89" s="135" t="str">
        <f>VLOOKUP(RANK(AQ89,$AQ$10:$AQ$109),Sheet1!$A$381:$B$480,2,FALSE)</f>
        <v>1st</v>
      </c>
      <c r="AT89" s="144">
        <v>25</v>
      </c>
      <c r="AU89" s="144">
        <v>35</v>
      </c>
      <c r="AV89" s="137">
        <f t="shared" si="333"/>
        <v>60</v>
      </c>
      <c r="AW89" s="137">
        <f t="shared" si="334"/>
        <v>60</v>
      </c>
      <c r="AX89" s="135" t="str">
        <f t="shared" si="335"/>
        <v>B</v>
      </c>
      <c r="AY89" s="141" t="str">
        <f>VLOOKUP(RANK(AW89,$AW$10:$AW$109),Sheet1!$A$381:$B$480,2,FALSE)</f>
        <v>9th</v>
      </c>
      <c r="AZ89" s="144">
        <v>34</v>
      </c>
      <c r="BA89" s="144">
        <v>30</v>
      </c>
      <c r="BB89" s="147">
        <f t="shared" si="336"/>
        <v>64</v>
      </c>
      <c r="BC89" s="137">
        <f t="shared" si="337"/>
        <v>64</v>
      </c>
      <c r="BD89" s="135" t="str">
        <f t="shared" si="338"/>
        <v>B</v>
      </c>
      <c r="BE89" s="135" t="str">
        <f>VLOOKUP(RANK(BC89,$BC$10:$BC$109),Sheet1!$A$381:$B$480,2,FALSE)</f>
        <v>21st</v>
      </c>
      <c r="BF89" s="144">
        <v>22</v>
      </c>
      <c r="BG89" s="144">
        <v>25</v>
      </c>
      <c r="BH89" s="137">
        <f t="shared" si="339"/>
        <v>47</v>
      </c>
      <c r="BI89" s="137">
        <f t="shared" si="340"/>
        <v>47</v>
      </c>
      <c r="BJ89" s="135" t="str">
        <f t="shared" si="341"/>
        <v>D</v>
      </c>
      <c r="BK89" s="141" t="str">
        <f>VLOOKUP(RANK(BI89,$BI$10:$BI$109),Sheet1!$A$381:$B$480,2,FALSE)</f>
        <v>19th</v>
      </c>
      <c r="BL89" s="149">
        <v>29</v>
      </c>
      <c r="BM89" s="149">
        <v>25</v>
      </c>
      <c r="BN89" s="147">
        <f t="shared" si="342"/>
        <v>54</v>
      </c>
      <c r="BO89" s="137">
        <f t="shared" si="343"/>
        <v>54</v>
      </c>
      <c r="BP89" s="135" t="str">
        <f t="shared" si="344"/>
        <v>C</v>
      </c>
      <c r="BQ89" s="141" t="str">
        <f>VLOOKUP(RANK(BO89,$BO$10:$BO$109),Sheet1!$A$381:$B$480,2,FALSE)</f>
        <v>23rd</v>
      </c>
      <c r="BR89" s="149">
        <v>29</v>
      </c>
      <c r="BS89" s="149">
        <v>48</v>
      </c>
      <c r="BT89" s="147">
        <f t="shared" si="345"/>
        <v>77</v>
      </c>
      <c r="BU89" s="137">
        <f t="shared" si="346"/>
        <v>77</v>
      </c>
      <c r="BV89" s="135" t="str">
        <f t="shared" si="347"/>
        <v>A</v>
      </c>
      <c r="BW89" s="135" t="str">
        <f>VLOOKUP(RANK(BU89,$BU$10:$BU$109),Sheet1!$A$381:$B$480,2,FALSE)</f>
        <v>4th</v>
      </c>
      <c r="BX89" s="149">
        <v>27</v>
      </c>
      <c r="BY89" s="149">
        <v>10</v>
      </c>
      <c r="BZ89" s="137">
        <f t="shared" si="348"/>
        <v>37</v>
      </c>
      <c r="CA89" s="137">
        <f t="shared" si="349"/>
        <v>37</v>
      </c>
      <c r="CB89" s="135" t="str">
        <f t="shared" si="350"/>
        <v>E</v>
      </c>
      <c r="CC89" s="135" t="str">
        <f>VLOOKUP(RANK(CA89,$CA$10:$CA$109),Sheet1!$A$381:$B$480,2,FALSE)</f>
        <v>70th</v>
      </c>
      <c r="CD89" s="149">
        <v>26</v>
      </c>
      <c r="CE89" s="149">
        <v>30</v>
      </c>
      <c r="CF89" s="137">
        <f t="shared" si="351"/>
        <v>56</v>
      </c>
      <c r="CG89" s="137">
        <f t="shared" si="352"/>
        <v>56</v>
      </c>
      <c r="CH89" s="135" t="str">
        <f t="shared" si="353"/>
        <v>C</v>
      </c>
      <c r="CI89" s="135" t="str">
        <f>VLOOKUP(RANK(CG89,$CG$10:$CG$109),Sheet1!$A$381:$B$480,2,FALSE)</f>
        <v>41st</v>
      </c>
      <c r="CJ89" s="137"/>
      <c r="CK89" s="137"/>
      <c r="CL89" s="137">
        <f t="shared" si="354"/>
        <v>0</v>
      </c>
      <c r="CM89" s="137">
        <f t="shared" si="355"/>
        <v>0</v>
      </c>
      <c r="CN89" s="135" t="str">
        <f t="shared" si="356"/>
        <v>F</v>
      </c>
      <c r="CO89" s="135" t="str">
        <f>VLOOKUP(RANK(CM89,$CM$10:$CM$109),Sheet1!$A$381:$B$480,2,FALSE)</f>
        <v>1st</v>
      </c>
      <c r="CP89" s="137"/>
      <c r="CQ89" s="137"/>
      <c r="CR89" s="137">
        <f t="shared" si="357"/>
        <v>0</v>
      </c>
      <c r="CS89" s="137">
        <f t="shared" si="358"/>
        <v>0</v>
      </c>
      <c r="CT89" s="135" t="str">
        <f t="shared" si="359"/>
        <v>F</v>
      </c>
      <c r="CU89" s="135" t="str">
        <f>VLOOKUP(RANK(CS89,$CS$10:$CS$109),Sheet1!$A$381:$B$480,2,FALSE)</f>
        <v>1st</v>
      </c>
      <c r="CV89" s="151"/>
      <c r="CW89" s="135"/>
      <c r="CX89" s="151">
        <f t="shared" si="508"/>
        <v>0</v>
      </c>
      <c r="CY89" s="151">
        <f t="shared" si="509"/>
        <v>0</v>
      </c>
      <c r="CZ89" s="135" t="str">
        <f t="shared" si="360"/>
        <v>F</v>
      </c>
      <c r="DA89" s="135" t="str">
        <f>VLOOKUP(RANK(CY89,$CY$10:$CY$109),Sheet1!$A$381:$B$480,2,FALSE)</f>
        <v>1st</v>
      </c>
      <c r="DB89" s="135"/>
      <c r="DC89" s="151">
        <f t="shared" si="510"/>
        <v>748</v>
      </c>
      <c r="DD89" s="151">
        <f t="shared" si="511"/>
        <v>44</v>
      </c>
      <c r="DE89" s="135" t="str">
        <f>VLOOKUP(RANK(DD89,$DD$10:$DD$109),Sheet1!$A$381:$B$480,2,FALSE)</f>
        <v>11th</v>
      </c>
      <c r="DF89" s="137"/>
      <c r="DG89" s="160">
        <f t="shared" si="361"/>
        <v>792</v>
      </c>
      <c r="DH89" s="119"/>
      <c r="DI89" s="162">
        <v>20</v>
      </c>
      <c r="DJ89" s="162">
        <v>55</v>
      </c>
      <c r="DK89" s="137">
        <f t="shared" si="362"/>
        <v>75</v>
      </c>
      <c r="DL89" s="137" t="str">
        <f t="shared" si="363"/>
        <v>70</v>
      </c>
      <c r="DM89" s="137">
        <f t="shared" si="364"/>
        <v>145</v>
      </c>
      <c r="DN89" s="137">
        <f t="shared" si="365"/>
        <v>72.5</v>
      </c>
      <c r="DO89" s="135" t="str">
        <f t="shared" si="366"/>
        <v>B</v>
      </c>
      <c r="DP89" s="135" t="str">
        <f>VLOOKUP(RANK(DN89,$DN$10:$DN$109),Sheet1!$A$381:$B$480,2,FALSE)</f>
        <v>25th</v>
      </c>
      <c r="DQ89" s="166">
        <v>29</v>
      </c>
      <c r="DR89" s="166">
        <v>26</v>
      </c>
      <c r="DS89" s="137">
        <f t="shared" si="367"/>
        <v>55</v>
      </c>
      <c r="DT89" s="137" t="str">
        <f t="shared" si="368"/>
        <v>69</v>
      </c>
      <c r="DU89" s="137">
        <f t="shared" si="369"/>
        <v>124</v>
      </c>
      <c r="DV89" s="137">
        <f t="shared" si="370"/>
        <v>62</v>
      </c>
      <c r="DW89" s="135" t="str">
        <f t="shared" si="371"/>
        <v>B</v>
      </c>
      <c r="DX89" s="135" t="str">
        <f>VLOOKUP(RANK(DV89,$DV$10:$DV$109),Sheet1!$A$381:$B$480,2,FALSE)</f>
        <v>10th</v>
      </c>
      <c r="DY89" s="168">
        <v>35</v>
      </c>
      <c r="DZ89" s="168">
        <v>33</v>
      </c>
      <c r="EA89" s="137">
        <f t="shared" si="372"/>
        <v>68</v>
      </c>
      <c r="EB89" s="137" t="str">
        <f t="shared" si="373"/>
        <v>50</v>
      </c>
      <c r="EC89" s="137">
        <f t="shared" si="374"/>
        <v>118</v>
      </c>
      <c r="ED89" s="137">
        <f t="shared" si="375"/>
        <v>59</v>
      </c>
      <c r="EE89" s="135" t="str">
        <f t="shared" si="376"/>
        <v>C</v>
      </c>
      <c r="EF89" s="135" t="str">
        <f>VLOOKUP(RANK(ED89,$ED$10:$ED$109),Sheet1!$A$381:$B$480,2,FALSE)</f>
        <v>11th</v>
      </c>
      <c r="EG89" s="162">
        <v>28</v>
      </c>
      <c r="EH89" s="162">
        <v>43</v>
      </c>
      <c r="EI89" s="137">
        <f t="shared" si="377"/>
        <v>71</v>
      </c>
      <c r="EJ89" s="137" t="str">
        <f t="shared" si="378"/>
        <v>88</v>
      </c>
      <c r="EK89" s="137">
        <f t="shared" si="379"/>
        <v>159</v>
      </c>
      <c r="EL89" s="137">
        <f t="shared" si="380"/>
        <v>79.5</v>
      </c>
      <c r="EM89" s="135" t="str">
        <f t="shared" si="381"/>
        <v>A</v>
      </c>
      <c r="EN89" s="135" t="str">
        <f>VLOOKUP(RANK(EL89,$EL$10:$EL$109),Sheet1!$A$381:$B$480,2,FALSE)</f>
        <v>3rd</v>
      </c>
      <c r="EO89" s="162">
        <v>29</v>
      </c>
      <c r="EP89" s="162">
        <v>32</v>
      </c>
      <c r="EQ89" s="137">
        <f t="shared" si="382"/>
        <v>61</v>
      </c>
      <c r="ER89" s="137" t="str">
        <f t="shared" si="383"/>
        <v>76</v>
      </c>
      <c r="ES89" s="137">
        <f t="shared" si="384"/>
        <v>137</v>
      </c>
      <c r="ET89" s="137">
        <f t="shared" si="385"/>
        <v>68.5</v>
      </c>
      <c r="EU89" s="135" t="str">
        <f t="shared" si="386"/>
        <v>B</v>
      </c>
      <c r="EV89" s="135" t="str">
        <f>VLOOKUP(RANK(ET89,$ET$10:$ET$109),Sheet1!$A$381:$B$480,2,FALSE)</f>
        <v>20th</v>
      </c>
      <c r="EW89" s="137"/>
      <c r="EX89" s="137"/>
      <c r="EY89" s="137">
        <f t="shared" si="387"/>
        <v>0</v>
      </c>
      <c r="EZ89" s="137" t="str">
        <f t="shared" si="388"/>
        <v>0</v>
      </c>
      <c r="FA89" s="137">
        <f t="shared" si="389"/>
        <v>0</v>
      </c>
      <c r="FB89" s="137">
        <f t="shared" si="390"/>
        <v>0</v>
      </c>
      <c r="FC89" s="135" t="str">
        <f t="shared" si="391"/>
        <v>F</v>
      </c>
      <c r="FD89" s="135" t="str">
        <f>VLOOKUP(RANK(FB89,$FB$10:$FB$109),Sheet1!$A$381:$B$480,2,FALSE)</f>
        <v>1st</v>
      </c>
      <c r="FE89" s="137"/>
      <c r="FF89" s="137"/>
      <c r="FG89" s="137">
        <f t="shared" si="392"/>
        <v>0</v>
      </c>
      <c r="FH89" s="137" t="str">
        <f t="shared" si="393"/>
        <v>0</v>
      </c>
      <c r="FI89" s="137">
        <f t="shared" si="394"/>
        <v>0</v>
      </c>
      <c r="FJ89" s="137">
        <f t="shared" si="395"/>
        <v>0</v>
      </c>
      <c r="FK89" s="135" t="str">
        <f t="shared" si="396"/>
        <v>F</v>
      </c>
      <c r="FL89" s="135" t="str">
        <f>VLOOKUP(RANK(FJ89,$FJ$10:$FJ$109),Sheet1!$A$381:$B$480,2,FALSE)</f>
        <v>1st</v>
      </c>
      <c r="FM89" s="166">
        <v>28</v>
      </c>
      <c r="FN89" s="166">
        <v>23</v>
      </c>
      <c r="FO89" s="137">
        <f t="shared" si="397"/>
        <v>51</v>
      </c>
      <c r="FP89" s="137" t="str">
        <f t="shared" si="398"/>
        <v>60</v>
      </c>
      <c r="FQ89" s="137">
        <f t="shared" si="399"/>
        <v>111</v>
      </c>
      <c r="FR89" s="137">
        <f t="shared" si="400"/>
        <v>55.5</v>
      </c>
      <c r="FS89" s="135" t="str">
        <f t="shared" si="401"/>
        <v>C</v>
      </c>
      <c r="FT89" s="135" t="str">
        <f>VLOOKUP(RANK(FR89,$FR$10:$FR$109),Sheet1!$A$381:$B$480,2,FALSE)</f>
        <v>20th</v>
      </c>
      <c r="FU89" s="149">
        <v>38</v>
      </c>
      <c r="FV89" s="149">
        <v>23</v>
      </c>
      <c r="FW89" s="137">
        <f t="shared" si="402"/>
        <v>61</v>
      </c>
      <c r="FX89" s="137" t="str">
        <f t="shared" si="403"/>
        <v>64</v>
      </c>
      <c r="FY89" s="137">
        <f t="shared" si="512"/>
        <v>61</v>
      </c>
      <c r="FZ89" s="137">
        <f t="shared" si="404"/>
        <v>30.5</v>
      </c>
      <c r="GA89" s="135" t="str">
        <f t="shared" si="405"/>
        <v>F</v>
      </c>
      <c r="GB89" s="135" t="str">
        <f>VLOOKUP(RANK(FZ89,$FZ$10:$FZ$109),Sheet1!$A$381:$B$480,2,FALSE)</f>
        <v>21st</v>
      </c>
      <c r="GC89" s="166">
        <v>32</v>
      </c>
      <c r="GD89" s="166">
        <v>30</v>
      </c>
      <c r="GE89" s="137">
        <f t="shared" si="406"/>
        <v>62</v>
      </c>
      <c r="GF89" s="137" t="str">
        <f t="shared" si="407"/>
        <v>47</v>
      </c>
      <c r="GG89" s="135">
        <f t="shared" si="513"/>
        <v>109</v>
      </c>
      <c r="GH89" s="137">
        <f t="shared" si="514"/>
        <v>54.5</v>
      </c>
      <c r="GI89" s="135" t="str">
        <f t="shared" si="408"/>
        <v>C</v>
      </c>
      <c r="GJ89" s="135" t="str">
        <f>VLOOKUP(RANK(GH89,$GH$10:$GH$109),Sheet1!$A$381:$B$480,2,FALSE)</f>
        <v>10th</v>
      </c>
      <c r="GK89" s="166">
        <v>27</v>
      </c>
      <c r="GL89" s="166">
        <v>15</v>
      </c>
      <c r="GM89" s="137">
        <f t="shared" si="409"/>
        <v>42</v>
      </c>
      <c r="GN89" s="137" t="str">
        <f t="shared" si="410"/>
        <v>54</v>
      </c>
      <c r="GO89" s="135">
        <f t="shared" si="515"/>
        <v>96</v>
      </c>
      <c r="GP89" s="137">
        <f t="shared" si="411"/>
        <v>48</v>
      </c>
      <c r="GQ89" s="135" t="str">
        <f t="shared" si="412"/>
        <v>D</v>
      </c>
      <c r="GR89" s="135" t="str">
        <f>VLOOKUP(RANK(GP89,$GP$10:$GP$109),Sheet1!$A$381:$B$480,2,FALSE)</f>
        <v>45th</v>
      </c>
      <c r="GS89" s="166">
        <v>35</v>
      </c>
      <c r="GT89" s="166">
        <v>30</v>
      </c>
      <c r="GU89" s="137">
        <f t="shared" si="413"/>
        <v>65</v>
      </c>
      <c r="GV89" s="137" t="str">
        <f t="shared" si="414"/>
        <v>77</v>
      </c>
      <c r="GW89" s="137">
        <f t="shared" si="415"/>
        <v>142</v>
      </c>
      <c r="GX89" s="137">
        <f t="shared" si="416"/>
        <v>71</v>
      </c>
      <c r="GY89" s="135" t="str">
        <f t="shared" si="417"/>
        <v>B</v>
      </c>
      <c r="GZ89" s="135" t="str">
        <f>VLOOKUP(RANK(GX89,$GX$10:$GX$109),Sheet1!$A$381:$B$480,2,FALSE)</f>
        <v>8th</v>
      </c>
      <c r="HA89" s="166">
        <v>31</v>
      </c>
      <c r="HB89" s="166">
        <v>24</v>
      </c>
      <c r="HC89" s="137">
        <f t="shared" si="418"/>
        <v>55</v>
      </c>
      <c r="HD89" s="137" t="str">
        <f t="shared" si="419"/>
        <v>37</v>
      </c>
      <c r="HE89" s="137">
        <f t="shared" si="420"/>
        <v>92</v>
      </c>
      <c r="HF89" s="137">
        <f t="shared" si="421"/>
        <v>46</v>
      </c>
      <c r="HG89" s="135" t="str">
        <f t="shared" si="422"/>
        <v>D</v>
      </c>
      <c r="HH89" s="135" t="str">
        <f>VLOOKUP(RANK(HF89,$HF$10:$HF$109),Sheet1!$A$381:$B$480,2,FALSE)</f>
        <v>19th</v>
      </c>
      <c r="HI89" s="149">
        <v>28</v>
      </c>
      <c r="HJ89" s="149">
        <v>53</v>
      </c>
      <c r="HK89" s="137">
        <f t="shared" si="423"/>
        <v>81</v>
      </c>
      <c r="HL89" s="137" t="str">
        <f t="shared" si="424"/>
        <v>56</v>
      </c>
      <c r="HM89" s="137">
        <f t="shared" si="425"/>
        <v>137</v>
      </c>
      <c r="HN89" s="137">
        <f t="shared" si="426"/>
        <v>68.5</v>
      </c>
      <c r="HO89" s="135" t="str">
        <f t="shared" si="427"/>
        <v>B</v>
      </c>
      <c r="HP89" s="135" t="str">
        <f>VLOOKUP(RANK(HN89,$HN$10:$HN$109),Sheet1!$A$381:$B$480,2,FALSE)</f>
        <v>28th</v>
      </c>
      <c r="HQ89" s="137"/>
      <c r="HR89" s="137"/>
      <c r="HS89" s="137">
        <f t="shared" si="428"/>
        <v>0</v>
      </c>
      <c r="HT89" s="137" t="str">
        <f t="shared" si="429"/>
        <v>0</v>
      </c>
      <c r="HU89" s="137">
        <f t="shared" si="430"/>
        <v>0</v>
      </c>
      <c r="HV89" s="137">
        <f t="shared" si="431"/>
        <v>0</v>
      </c>
      <c r="HW89" s="135" t="str">
        <f t="shared" si="432"/>
        <v>F</v>
      </c>
      <c r="HX89" s="135" t="str">
        <f>VLOOKUP(RANK(HV89,$HV$10:$HV$109),Sheet1!$A$381:$B$480,2,FALSE)</f>
        <v>1st</v>
      </c>
      <c r="HY89" s="137"/>
      <c r="HZ89" s="137"/>
      <c r="IA89" s="137">
        <f t="shared" si="433"/>
        <v>0</v>
      </c>
      <c r="IB89" s="137" t="str">
        <f t="shared" si="434"/>
        <v>0</v>
      </c>
      <c r="IC89" s="137">
        <f t="shared" si="435"/>
        <v>0</v>
      </c>
      <c r="ID89" s="137">
        <f t="shared" si="436"/>
        <v>0</v>
      </c>
      <c r="IE89" s="135" t="str">
        <f t="shared" si="437"/>
        <v>F</v>
      </c>
      <c r="IF89" s="135" t="str">
        <f>VLOOKUP(RANK(ID89,$ID$10:$ID$109),Sheet1!$A$381:$B$480,2,FALSE)</f>
        <v>1st</v>
      </c>
      <c r="IG89" s="135"/>
      <c r="IH89" s="135"/>
      <c r="II89" s="135">
        <f t="shared" si="516"/>
        <v>0</v>
      </c>
      <c r="IJ89" s="135" t="str">
        <f t="shared" si="517"/>
        <v>0</v>
      </c>
      <c r="IK89" s="135">
        <f t="shared" si="518"/>
        <v>0</v>
      </c>
      <c r="IL89" s="135">
        <f t="shared" si="519"/>
        <v>0</v>
      </c>
      <c r="IM89" s="135" t="str">
        <f t="shared" si="438"/>
        <v>F</v>
      </c>
      <c r="IN89" s="135" t="str">
        <f>VLOOKUP(RANK(IL89,$IL$10:$IL$109),Sheet1!$A$381:$B$480,2,FALSE)</f>
        <v>1st</v>
      </c>
      <c r="IO89" s="135">
        <f t="shared" si="520"/>
        <v>715.5</v>
      </c>
      <c r="IP89" s="177">
        <f t="shared" si="521"/>
        <v>42.088235294117602</v>
      </c>
      <c r="IQ89" s="135" t="str">
        <f>VLOOKUP(RANK(IP89,$IP$10:$IP$109),Sheet1!$A$381:$B$480,2,FALSE)</f>
        <v>9th</v>
      </c>
      <c r="IR89" s="178"/>
      <c r="IS89" s="137"/>
      <c r="IT89" s="137"/>
      <c r="IU89" s="137"/>
      <c r="IV89" s="137"/>
      <c r="IW89" s="181"/>
      <c r="IX89" s="184"/>
      <c r="IY89" s="186"/>
      <c r="IZ89" s="186">
        <f t="shared" si="439"/>
        <v>0</v>
      </c>
      <c r="JA89" s="186" t="str">
        <f t="shared" si="440"/>
        <v>70</v>
      </c>
      <c r="JB89" s="186" t="str">
        <f t="shared" si="441"/>
        <v>75</v>
      </c>
      <c r="JC89" s="186">
        <f t="shared" si="522"/>
        <v>145</v>
      </c>
      <c r="JD89" s="186">
        <f t="shared" si="523"/>
        <v>48.3333333333333</v>
      </c>
      <c r="JE89" s="135" t="str">
        <f t="shared" si="442"/>
        <v>D</v>
      </c>
      <c r="JF89" s="151" t="str">
        <f>VLOOKUP(RANK(JD89,$JD$10:$JD$109),Sheet1!$A$381:$B$480,2,FALSE)</f>
        <v>25th</v>
      </c>
      <c r="JG89" s="186"/>
      <c r="JH89" s="186"/>
      <c r="JI89" s="186">
        <f t="shared" si="443"/>
        <v>0</v>
      </c>
      <c r="JJ89" s="186" t="str">
        <f t="shared" si="444"/>
        <v>69</v>
      </c>
      <c r="JK89" s="186" t="str">
        <f t="shared" si="445"/>
        <v>55</v>
      </c>
      <c r="JL89" s="186">
        <f t="shared" si="524"/>
        <v>124</v>
      </c>
      <c r="JM89" s="186">
        <f t="shared" si="525"/>
        <v>41.3333333333333</v>
      </c>
      <c r="JN89" s="135" t="str">
        <f t="shared" si="446"/>
        <v>D</v>
      </c>
      <c r="JO89" s="151" t="str">
        <f>VLOOKUP(RANK(JM89,$JM$10:$JM$109),Sheet1!$A$381:$B$480,2,FALSE)</f>
        <v>10th</v>
      </c>
      <c r="JP89" s="186"/>
      <c r="JQ89" s="186"/>
      <c r="JR89" s="186">
        <f t="shared" si="447"/>
        <v>0</v>
      </c>
      <c r="JS89" s="186" t="str">
        <f t="shared" si="448"/>
        <v>50</v>
      </c>
      <c r="JT89" s="186" t="str">
        <f t="shared" si="449"/>
        <v>68</v>
      </c>
      <c r="JU89" s="186">
        <f t="shared" si="526"/>
        <v>118</v>
      </c>
      <c r="JV89" s="186">
        <f t="shared" si="527"/>
        <v>39.3333333333333</v>
      </c>
      <c r="JW89" s="135" t="str">
        <f t="shared" si="450"/>
        <v>E</v>
      </c>
      <c r="JX89" s="151" t="str">
        <f>VLOOKUP(RANK(JV89,$JV$10:$JV$109),Sheet1!$A$381:$B$480,2,FALSE)</f>
        <v>11th</v>
      </c>
      <c r="JY89" s="186"/>
      <c r="JZ89" s="186"/>
      <c r="KA89" s="186">
        <f t="shared" si="451"/>
        <v>0</v>
      </c>
      <c r="KB89" s="186" t="str">
        <f t="shared" si="452"/>
        <v>88</v>
      </c>
      <c r="KC89" s="186" t="str">
        <f t="shared" si="453"/>
        <v>71</v>
      </c>
      <c r="KD89" s="186">
        <f t="shared" si="528"/>
        <v>159</v>
      </c>
      <c r="KE89" s="186">
        <f t="shared" si="529"/>
        <v>53</v>
      </c>
      <c r="KF89" s="135" t="str">
        <f t="shared" si="454"/>
        <v>C</v>
      </c>
      <c r="KG89" s="151" t="str">
        <f>VLOOKUP(RANK(KE89,$KE$10:$KE$109),Sheet1!$A$381:$B$480,2,FALSE)</f>
        <v>3rd</v>
      </c>
      <c r="KH89" s="186"/>
      <c r="KI89" s="186"/>
      <c r="KJ89" s="186">
        <f t="shared" si="455"/>
        <v>0</v>
      </c>
      <c r="KK89" s="186" t="str">
        <f t="shared" si="456"/>
        <v>76</v>
      </c>
      <c r="KL89" s="186" t="str">
        <f t="shared" si="457"/>
        <v>61</v>
      </c>
      <c r="KM89" s="186">
        <f t="shared" si="530"/>
        <v>137</v>
      </c>
      <c r="KN89" s="186">
        <f t="shared" si="531"/>
        <v>45.6666666666667</v>
      </c>
      <c r="KO89" s="135" t="str">
        <f t="shared" si="458"/>
        <v>D</v>
      </c>
      <c r="KP89" s="151" t="str">
        <f>VLOOKUP(RANK(KN89,$KN$10:$KN$109),Sheet1!$A$381:$B$480,2,FALSE)</f>
        <v>20th</v>
      </c>
      <c r="KQ89" s="186"/>
      <c r="KR89" s="186"/>
      <c r="KS89" s="186">
        <f t="shared" si="459"/>
        <v>0</v>
      </c>
      <c r="KT89" s="186" t="str">
        <f t="shared" si="460"/>
        <v>0</v>
      </c>
      <c r="KU89" s="186" t="str">
        <f t="shared" si="461"/>
        <v>0</v>
      </c>
      <c r="KV89" s="186">
        <f t="shared" si="532"/>
        <v>0</v>
      </c>
      <c r="KW89" s="186">
        <f t="shared" si="533"/>
        <v>0</v>
      </c>
      <c r="KX89" s="135" t="str">
        <f t="shared" si="462"/>
        <v>F</v>
      </c>
      <c r="KY89" s="151" t="str">
        <f>VLOOKUP(RANK(KW89,$KW$10:$KW$109),Sheet1!$A$381:$B$480,2,FALSE)</f>
        <v>1st</v>
      </c>
      <c r="KZ89" s="186"/>
      <c r="LA89" s="186"/>
      <c r="LB89" s="186">
        <f t="shared" si="463"/>
        <v>0</v>
      </c>
      <c r="LC89" s="186" t="str">
        <f t="shared" si="464"/>
        <v>0</v>
      </c>
      <c r="LD89" s="186" t="str">
        <f t="shared" si="465"/>
        <v>0</v>
      </c>
      <c r="LE89" s="186">
        <f t="shared" si="534"/>
        <v>0</v>
      </c>
      <c r="LF89" s="186">
        <f t="shared" si="535"/>
        <v>0</v>
      </c>
      <c r="LG89" s="135" t="str">
        <f t="shared" si="466"/>
        <v>F</v>
      </c>
      <c r="LH89" s="151" t="str">
        <f>VLOOKUP(RANK(LF89,$LF$10:$LF$109),Sheet1!$A$381:$B$480,2,FALSE)</f>
        <v>1st</v>
      </c>
      <c r="LI89" s="186"/>
      <c r="LJ89" s="186"/>
      <c r="LK89" s="186">
        <f t="shared" si="467"/>
        <v>0</v>
      </c>
      <c r="LL89" s="186" t="str">
        <f t="shared" si="468"/>
        <v>60</v>
      </c>
      <c r="LM89" s="186" t="str">
        <f t="shared" si="469"/>
        <v>51</v>
      </c>
      <c r="LN89" s="186">
        <f t="shared" si="536"/>
        <v>111</v>
      </c>
      <c r="LO89" s="186">
        <f t="shared" si="537"/>
        <v>37</v>
      </c>
      <c r="LP89" s="135" t="str">
        <f t="shared" si="470"/>
        <v>E</v>
      </c>
      <c r="LQ89" s="151" t="str">
        <f>VLOOKUP(RANK(LO89,$LO$10:$LO$109),Sheet1!$A$381:$B$480,2,FALSE)</f>
        <v>20th</v>
      </c>
      <c r="LR89" s="186"/>
      <c r="LS89" s="186"/>
      <c r="LT89" s="186">
        <f t="shared" si="471"/>
        <v>0</v>
      </c>
      <c r="LU89" s="186" t="str">
        <f t="shared" si="472"/>
        <v>64</v>
      </c>
      <c r="LV89" s="186" t="str">
        <f t="shared" si="473"/>
        <v>61</v>
      </c>
      <c r="LW89" s="186">
        <f t="shared" si="538"/>
        <v>125</v>
      </c>
      <c r="LX89" s="186">
        <f t="shared" si="539"/>
        <v>41.6666666666667</v>
      </c>
      <c r="LY89" s="135" t="str">
        <f t="shared" si="474"/>
        <v>D</v>
      </c>
      <c r="LZ89" s="151" t="str">
        <f>VLOOKUP(RANK(LX89,$LX$10:$LX$109),Sheet1!$A$381:$B$480,2,FALSE)</f>
        <v>13th</v>
      </c>
      <c r="MA89" s="186"/>
      <c r="MB89" s="186"/>
      <c r="MC89" s="186">
        <f t="shared" si="475"/>
        <v>0</v>
      </c>
      <c r="MD89" s="186" t="str">
        <f t="shared" si="476"/>
        <v>47</v>
      </c>
      <c r="ME89" s="186" t="str">
        <f t="shared" si="477"/>
        <v>62</v>
      </c>
      <c r="MF89" s="183">
        <f t="shared" si="540"/>
        <v>109</v>
      </c>
      <c r="MG89" s="151">
        <f t="shared" si="541"/>
        <v>36.3333333333333</v>
      </c>
      <c r="MH89" s="135" t="str">
        <f t="shared" si="478"/>
        <v>E</v>
      </c>
      <c r="MI89" s="151" t="str">
        <f>VLOOKUP(RANK(MG89,$MG$10:$MG$109),Sheet1!$A$381:$B$480,2,FALSE)</f>
        <v>10th</v>
      </c>
      <c r="MJ89" s="186"/>
      <c r="MK89" s="186"/>
      <c r="ML89" s="186">
        <f t="shared" si="479"/>
        <v>0</v>
      </c>
      <c r="MM89" s="186" t="str">
        <f t="shared" si="480"/>
        <v>54</v>
      </c>
      <c r="MN89" s="186" t="str">
        <f t="shared" si="481"/>
        <v>42</v>
      </c>
      <c r="MO89" s="186">
        <f t="shared" si="542"/>
        <v>96</v>
      </c>
      <c r="MP89" s="186">
        <f t="shared" si="543"/>
        <v>32</v>
      </c>
      <c r="MQ89" s="135" t="str">
        <f t="shared" si="482"/>
        <v>F</v>
      </c>
      <c r="MR89" s="151" t="str">
        <f>VLOOKUP(RANK(MP89,$MP$10:$MP$109),Sheet1!$A$381:$B$480,2,FALSE)</f>
        <v>45th</v>
      </c>
      <c r="MS89" s="186"/>
      <c r="MT89" s="186"/>
      <c r="MU89" s="186">
        <f t="shared" si="483"/>
        <v>0</v>
      </c>
      <c r="MV89" s="186" t="str">
        <f t="shared" si="484"/>
        <v>77</v>
      </c>
      <c r="MW89" s="186" t="str">
        <f t="shared" si="485"/>
        <v>65</v>
      </c>
      <c r="MX89" s="186">
        <f t="shared" si="544"/>
        <v>142</v>
      </c>
      <c r="MY89" s="186">
        <f t="shared" si="545"/>
        <v>47.3333333333333</v>
      </c>
      <c r="MZ89" s="135" t="str">
        <f t="shared" si="486"/>
        <v>D</v>
      </c>
      <c r="NA89" s="151" t="str">
        <f>VLOOKUP(RANK(MY89,$MY$10:$MY$109),Sheet1!$A$381:$B$480,2,FALSE)</f>
        <v>8th</v>
      </c>
      <c r="NB89" s="186"/>
      <c r="NC89" s="186"/>
      <c r="ND89" s="186">
        <f t="shared" si="487"/>
        <v>0</v>
      </c>
      <c r="NE89" s="186" t="str">
        <f t="shared" si="488"/>
        <v>37</v>
      </c>
      <c r="NF89" s="186" t="str">
        <f t="shared" si="489"/>
        <v>55</v>
      </c>
      <c r="NG89" s="186">
        <f t="shared" si="546"/>
        <v>92</v>
      </c>
      <c r="NH89" s="186">
        <f t="shared" si="547"/>
        <v>30.6666666666667</v>
      </c>
      <c r="NI89" s="135" t="str">
        <f t="shared" si="490"/>
        <v>F</v>
      </c>
      <c r="NJ89" s="151" t="str">
        <f>VLOOKUP(RANK(NH89,$NH$10:$NH$109),Sheet1!$A$381:$B$480,2,FALSE)</f>
        <v>19th</v>
      </c>
      <c r="NK89" s="186"/>
      <c r="NL89" s="186"/>
      <c r="NM89" s="186">
        <f t="shared" si="491"/>
        <v>0</v>
      </c>
      <c r="NN89" s="186" t="str">
        <f t="shared" si="492"/>
        <v>56</v>
      </c>
      <c r="NO89" s="186" t="str">
        <f t="shared" si="493"/>
        <v>81</v>
      </c>
      <c r="NP89" s="186">
        <f t="shared" si="548"/>
        <v>137</v>
      </c>
      <c r="NQ89" s="186">
        <f t="shared" si="494"/>
        <v>45.6666666666667</v>
      </c>
      <c r="NR89" s="135" t="str">
        <f t="shared" si="495"/>
        <v>D</v>
      </c>
      <c r="NS89" s="151" t="str">
        <f>VLOOKUP(RANK(NQ89,$NQ$10:$NQ$109),Sheet1!$A$381:$B$480,2,FALSE)</f>
        <v>28th</v>
      </c>
      <c r="NT89" s="186"/>
      <c r="NU89" s="186"/>
      <c r="NV89" s="186">
        <f t="shared" si="496"/>
        <v>0</v>
      </c>
      <c r="NW89" s="186" t="str">
        <f t="shared" si="497"/>
        <v>0</v>
      </c>
      <c r="NX89" s="186" t="str">
        <f t="shared" si="498"/>
        <v>0</v>
      </c>
      <c r="NY89" s="186">
        <f t="shared" si="549"/>
        <v>0</v>
      </c>
      <c r="NZ89" s="186">
        <f t="shared" si="499"/>
        <v>0</v>
      </c>
      <c r="OA89" s="135" t="str">
        <f t="shared" si="500"/>
        <v>F</v>
      </c>
      <c r="OB89" s="151" t="str">
        <f>VLOOKUP(RANK(NZ89,$NZ$10:$NZ$109),Sheet1!$A$381:$B$480,2,FALSE)</f>
        <v>1st</v>
      </c>
      <c r="OC89" s="186"/>
      <c r="OD89" s="186"/>
      <c r="OE89" s="186">
        <f t="shared" si="501"/>
        <v>0</v>
      </c>
      <c r="OF89" s="186" t="str">
        <f t="shared" si="502"/>
        <v>0</v>
      </c>
      <c r="OG89" s="186" t="str">
        <f t="shared" si="503"/>
        <v>0</v>
      </c>
      <c r="OH89" s="186">
        <f t="shared" si="550"/>
        <v>0</v>
      </c>
      <c r="OI89" s="186">
        <f t="shared" si="504"/>
        <v>0</v>
      </c>
      <c r="OJ89" s="135" t="str">
        <f t="shared" si="505"/>
        <v>F</v>
      </c>
      <c r="OK89" s="151" t="str">
        <f>VLOOKUP(RANK(OI89,$OI$10:$OI$109),Sheet1!$A$381:$B$480,2,FALSE)</f>
        <v>1st</v>
      </c>
      <c r="OL89" s="151"/>
      <c r="OM89" s="151"/>
      <c r="ON89" s="151">
        <f t="shared" si="551"/>
        <v>0</v>
      </c>
      <c r="OO89" s="151" t="str">
        <f t="shared" si="552"/>
        <v>0</v>
      </c>
      <c r="OP89" s="151" t="str">
        <f t="shared" si="553"/>
        <v>0</v>
      </c>
      <c r="OQ89" s="151">
        <f t="shared" si="554"/>
        <v>0</v>
      </c>
      <c r="OR89" s="151">
        <f t="shared" si="555"/>
        <v>0</v>
      </c>
      <c r="OS89" s="135" t="str">
        <f t="shared" si="506"/>
        <v>F</v>
      </c>
      <c r="OT89" s="151" t="str">
        <f>VLOOKUP(RANK(OR89,$OI$10:$OI$109),Sheet1!$A$381:$B$480,2,FALSE)</f>
        <v>1st</v>
      </c>
      <c r="OU89" s="151">
        <f t="shared" si="556"/>
        <v>498.33333333333297</v>
      </c>
      <c r="OV89" s="151">
        <f t="shared" si="557"/>
        <v>29.313725490196099</v>
      </c>
      <c r="OW89" s="151" t="str">
        <f>VLOOKUP(RANK(OV89,$OV$10:$OV$109),Sheet1!$A$381:$B$480,2,FALSE)</f>
        <v>9th</v>
      </c>
      <c r="OX89" s="151"/>
      <c r="OY89" s="186"/>
      <c r="OZ89" s="186"/>
      <c r="PA89" s="186"/>
      <c r="PB89" s="186"/>
    </row>
    <row r="90" spans="1:418" s="118" customFormat="1" ht="18.75">
      <c r="A90" s="131">
        <v>81</v>
      </c>
      <c r="B90" s="132" t="s">
        <v>180</v>
      </c>
      <c r="C90" s="133" t="s">
        <v>97</v>
      </c>
      <c r="D90" s="134">
        <v>21</v>
      </c>
      <c r="E90" s="134">
        <v>40</v>
      </c>
      <c r="F90" s="137">
        <f t="shared" si="315"/>
        <v>61</v>
      </c>
      <c r="G90" s="137">
        <f t="shared" si="316"/>
        <v>61</v>
      </c>
      <c r="H90" s="135" t="str">
        <f t="shared" si="507"/>
        <v>B</v>
      </c>
      <c r="I90" s="135" t="str">
        <f>VLOOKUP(RANK(G90,$G$10:$G$109),Sheet1!$A$381:$B$480,2,FALSE)</f>
        <v>80th</v>
      </c>
      <c r="J90" s="134">
        <v>25</v>
      </c>
      <c r="K90" s="134">
        <v>13</v>
      </c>
      <c r="L90" s="137">
        <f t="shared" si="317"/>
        <v>38</v>
      </c>
      <c r="M90" s="137">
        <f t="shared" si="318"/>
        <v>38</v>
      </c>
      <c r="N90" s="135" t="str">
        <f t="shared" si="319"/>
        <v>E</v>
      </c>
      <c r="O90" s="141" t="str">
        <f>VLOOKUP(RANK(M90,$M$10:$M$109),Sheet1!$A$381:$B$480,2,FALSE)</f>
        <v>91st</v>
      </c>
      <c r="P90" s="144">
        <v>29</v>
      </c>
      <c r="Q90" s="144">
        <v>1</v>
      </c>
      <c r="R90" s="147">
        <f t="shared" si="320"/>
        <v>30</v>
      </c>
      <c r="S90" s="137">
        <f t="shared" si="321"/>
        <v>30</v>
      </c>
      <c r="T90" s="135" t="str">
        <f t="shared" si="322"/>
        <v>F</v>
      </c>
      <c r="U90" s="135" t="str">
        <f>VLOOKUP(RANK(S90,$S$10:$S$109),Sheet1!$A$381:$B$480,2,FALSE)</f>
        <v>80th</v>
      </c>
      <c r="V90" s="134">
        <v>32</v>
      </c>
      <c r="W90" s="134">
        <v>10</v>
      </c>
      <c r="X90" s="137">
        <f t="shared" si="559"/>
        <v>42</v>
      </c>
      <c r="Y90" s="137">
        <f t="shared" si="558"/>
        <v>42</v>
      </c>
      <c r="Z90" s="135" t="str">
        <f t="shared" si="323"/>
        <v>D</v>
      </c>
      <c r="AA90" s="135" t="str">
        <f>VLOOKUP(RANK(Y90,$Y$10:$Y$109),Sheet1!$A$381:$B$480,2,FALSE)</f>
        <v>86th</v>
      </c>
      <c r="AB90" s="134">
        <v>29</v>
      </c>
      <c r="AC90" s="134">
        <v>1</v>
      </c>
      <c r="AD90" s="137">
        <f t="shared" si="324"/>
        <v>30</v>
      </c>
      <c r="AE90" s="137">
        <f t="shared" si="325"/>
        <v>30</v>
      </c>
      <c r="AF90" s="135" t="str">
        <f t="shared" si="326"/>
        <v>F</v>
      </c>
      <c r="AG90" s="135" t="str">
        <f>VLOOKUP(RANK(AE90,$AE$10:$AE$109),Sheet1!$A$381:$B$480,2,FALSE)</f>
        <v>94th</v>
      </c>
      <c r="AH90" s="137"/>
      <c r="AI90" s="137"/>
      <c r="AJ90" s="137">
        <f t="shared" si="327"/>
        <v>0</v>
      </c>
      <c r="AK90" s="137">
        <f t="shared" si="328"/>
        <v>0</v>
      </c>
      <c r="AL90" s="135" t="str">
        <f t="shared" si="329"/>
        <v>F</v>
      </c>
      <c r="AM90" s="135" t="str">
        <f>VLOOKUP(RANK(AK90,$AK$10:$AK$109),Sheet1!$A$381:$B$480,2,FALSE)</f>
        <v>1st</v>
      </c>
      <c r="AN90" s="134"/>
      <c r="AO90" s="134"/>
      <c r="AP90" s="137">
        <f t="shared" si="330"/>
        <v>0</v>
      </c>
      <c r="AQ90" s="137">
        <f t="shared" si="331"/>
        <v>0</v>
      </c>
      <c r="AR90" s="135" t="str">
        <f t="shared" si="332"/>
        <v>F</v>
      </c>
      <c r="AS90" s="135" t="str">
        <f>VLOOKUP(RANK(AQ90,$AQ$10:$AQ$109),Sheet1!$A$381:$B$480,2,FALSE)</f>
        <v>1st</v>
      </c>
      <c r="AT90" s="144">
        <v>23</v>
      </c>
      <c r="AU90" s="144">
        <v>27</v>
      </c>
      <c r="AV90" s="137">
        <f t="shared" si="333"/>
        <v>50</v>
      </c>
      <c r="AW90" s="137">
        <f t="shared" si="334"/>
        <v>50</v>
      </c>
      <c r="AX90" s="135" t="str">
        <f t="shared" si="335"/>
        <v>C</v>
      </c>
      <c r="AY90" s="141" t="str">
        <f>VLOOKUP(RANK(AW90,$AW$10:$AW$109),Sheet1!$A$381:$B$480,2,FALSE)</f>
        <v>58th</v>
      </c>
      <c r="AZ90" s="144">
        <v>32</v>
      </c>
      <c r="BA90" s="144">
        <v>16</v>
      </c>
      <c r="BB90" s="147">
        <f t="shared" si="336"/>
        <v>48</v>
      </c>
      <c r="BC90" s="137">
        <f t="shared" si="337"/>
        <v>48</v>
      </c>
      <c r="BD90" s="135" t="str">
        <f t="shared" si="338"/>
        <v>D</v>
      </c>
      <c r="BE90" s="135" t="str">
        <f>VLOOKUP(RANK(BC90,$BC$10:$BC$109),Sheet1!$A$381:$B$480,2,FALSE)</f>
        <v>63rd</v>
      </c>
      <c r="BF90" s="144">
        <v>11</v>
      </c>
      <c r="BG90" s="144">
        <v>13</v>
      </c>
      <c r="BH90" s="137">
        <f t="shared" si="339"/>
        <v>24</v>
      </c>
      <c r="BI90" s="137">
        <f t="shared" si="340"/>
        <v>24</v>
      </c>
      <c r="BJ90" s="135" t="str">
        <f t="shared" si="341"/>
        <v>F</v>
      </c>
      <c r="BK90" s="141" t="str">
        <f>VLOOKUP(RANK(BI90,$BI$10:$BI$109),Sheet1!$A$381:$B$480,2,FALSE)</f>
        <v>83rd</v>
      </c>
      <c r="BL90" s="149">
        <v>30</v>
      </c>
      <c r="BM90" s="149">
        <v>27</v>
      </c>
      <c r="BN90" s="147">
        <f t="shared" si="342"/>
        <v>57</v>
      </c>
      <c r="BO90" s="137">
        <f t="shared" si="343"/>
        <v>57</v>
      </c>
      <c r="BP90" s="135" t="str">
        <f t="shared" si="344"/>
        <v>C</v>
      </c>
      <c r="BQ90" s="141" t="str">
        <f>VLOOKUP(RANK(BO90,$BO$10:$BO$109),Sheet1!$A$381:$B$480,2,FALSE)</f>
        <v>7th</v>
      </c>
      <c r="BR90" s="149">
        <v>30</v>
      </c>
      <c r="BS90" s="149">
        <v>2</v>
      </c>
      <c r="BT90" s="147">
        <f t="shared" si="345"/>
        <v>32</v>
      </c>
      <c r="BU90" s="137">
        <f t="shared" si="346"/>
        <v>32</v>
      </c>
      <c r="BV90" s="135" t="str">
        <f t="shared" si="347"/>
        <v>F</v>
      </c>
      <c r="BW90" s="135" t="str">
        <f>VLOOKUP(RANK(BU90,$BU$10:$BU$109),Sheet1!$A$381:$B$480,2,FALSE)</f>
        <v>88th</v>
      </c>
      <c r="BX90" s="149">
        <v>28</v>
      </c>
      <c r="BY90" s="149">
        <v>10</v>
      </c>
      <c r="BZ90" s="137">
        <f t="shared" si="348"/>
        <v>38</v>
      </c>
      <c r="CA90" s="137">
        <f t="shared" si="349"/>
        <v>38</v>
      </c>
      <c r="CB90" s="135" t="str">
        <f t="shared" si="350"/>
        <v>E</v>
      </c>
      <c r="CC90" s="135" t="str">
        <f>VLOOKUP(RANK(CA90,$CA$10:$CA$109),Sheet1!$A$381:$B$480,2,FALSE)</f>
        <v>61st</v>
      </c>
      <c r="CD90" s="149">
        <v>22</v>
      </c>
      <c r="CE90" s="149">
        <v>20</v>
      </c>
      <c r="CF90" s="137">
        <f t="shared" si="351"/>
        <v>42</v>
      </c>
      <c r="CG90" s="137">
        <f t="shared" si="352"/>
        <v>42</v>
      </c>
      <c r="CH90" s="135" t="str">
        <f t="shared" si="353"/>
        <v>D</v>
      </c>
      <c r="CI90" s="135" t="str">
        <f>VLOOKUP(RANK(CG90,$CG$10:$CG$109),Sheet1!$A$381:$B$480,2,FALSE)</f>
        <v>87th</v>
      </c>
      <c r="CJ90" s="137"/>
      <c r="CK90" s="137"/>
      <c r="CL90" s="137">
        <f t="shared" si="354"/>
        <v>0</v>
      </c>
      <c r="CM90" s="137">
        <f t="shared" si="355"/>
        <v>0</v>
      </c>
      <c r="CN90" s="135" t="str">
        <f t="shared" si="356"/>
        <v>F</v>
      </c>
      <c r="CO90" s="135" t="str">
        <f>VLOOKUP(RANK(CM90,$CM$10:$CM$109),Sheet1!$A$381:$B$480,2,FALSE)</f>
        <v>1st</v>
      </c>
      <c r="CP90" s="137"/>
      <c r="CQ90" s="137"/>
      <c r="CR90" s="137">
        <f t="shared" si="357"/>
        <v>0</v>
      </c>
      <c r="CS90" s="137">
        <f t="shared" si="358"/>
        <v>0</v>
      </c>
      <c r="CT90" s="135" t="str">
        <f t="shared" si="359"/>
        <v>F</v>
      </c>
      <c r="CU90" s="135" t="str">
        <f>VLOOKUP(RANK(CS90,$CS$10:$CS$109),Sheet1!$A$381:$B$480,2,FALSE)</f>
        <v>1st</v>
      </c>
      <c r="CV90" s="151"/>
      <c r="CW90" s="135"/>
      <c r="CX90" s="151">
        <f t="shared" si="508"/>
        <v>0</v>
      </c>
      <c r="CY90" s="151">
        <f t="shared" si="509"/>
        <v>0</v>
      </c>
      <c r="CZ90" s="135" t="str">
        <f t="shared" si="360"/>
        <v>F</v>
      </c>
      <c r="DA90" s="135" t="str">
        <f>VLOOKUP(RANK(CY90,$CY$10:$CY$109),Sheet1!$A$381:$B$480,2,FALSE)</f>
        <v>1st</v>
      </c>
      <c r="DB90" s="135"/>
      <c r="DC90" s="151">
        <f t="shared" si="510"/>
        <v>492</v>
      </c>
      <c r="DD90" s="151">
        <f t="shared" si="511"/>
        <v>28.9411764705882</v>
      </c>
      <c r="DE90" s="135" t="str">
        <f>VLOOKUP(RANK(DD90,$DD$10:$DD$109),Sheet1!$A$381:$B$480,2,FALSE)</f>
        <v>94th</v>
      </c>
      <c r="DF90" s="137"/>
      <c r="DG90" s="160">
        <f t="shared" si="361"/>
        <v>520.94117647058795</v>
      </c>
      <c r="DH90" s="119"/>
      <c r="DI90" s="162">
        <v>21</v>
      </c>
      <c r="DJ90" s="162">
        <v>49</v>
      </c>
      <c r="DK90" s="137">
        <f t="shared" si="362"/>
        <v>70</v>
      </c>
      <c r="DL90" s="137" t="str">
        <f t="shared" si="363"/>
        <v>61</v>
      </c>
      <c r="DM90" s="137">
        <f t="shared" si="364"/>
        <v>131</v>
      </c>
      <c r="DN90" s="137">
        <f t="shared" si="365"/>
        <v>65.5</v>
      </c>
      <c r="DO90" s="135" t="str">
        <f t="shared" si="366"/>
        <v>B</v>
      </c>
      <c r="DP90" s="135" t="str">
        <f>VLOOKUP(RANK(DN90,$DN$10:$DN$109),Sheet1!$A$381:$B$480,2,FALSE)</f>
        <v>55th</v>
      </c>
      <c r="DQ90" s="166">
        <v>31</v>
      </c>
      <c r="DR90" s="166">
        <v>28</v>
      </c>
      <c r="DS90" s="137">
        <f t="shared" si="367"/>
        <v>59</v>
      </c>
      <c r="DT90" s="137" t="str">
        <f t="shared" si="368"/>
        <v>38</v>
      </c>
      <c r="DU90" s="137">
        <f t="shared" si="369"/>
        <v>97</v>
      </c>
      <c r="DV90" s="137">
        <f t="shared" si="370"/>
        <v>48.5</v>
      </c>
      <c r="DW90" s="135" t="str">
        <f t="shared" si="371"/>
        <v>D</v>
      </c>
      <c r="DX90" s="135" t="str">
        <f>VLOOKUP(RANK(DV90,$DV$10:$DV$109),Sheet1!$A$381:$B$480,2,FALSE)</f>
        <v>51st</v>
      </c>
      <c r="DY90" s="168">
        <v>23</v>
      </c>
      <c r="DZ90" s="168">
        <v>18</v>
      </c>
      <c r="EA90" s="137">
        <f t="shared" si="372"/>
        <v>41</v>
      </c>
      <c r="EB90" s="137" t="str">
        <f t="shared" si="373"/>
        <v>30</v>
      </c>
      <c r="EC90" s="137">
        <f t="shared" si="374"/>
        <v>71</v>
      </c>
      <c r="ED90" s="137">
        <f t="shared" si="375"/>
        <v>35.5</v>
      </c>
      <c r="EE90" s="135" t="str">
        <f t="shared" si="376"/>
        <v>E</v>
      </c>
      <c r="EF90" s="135" t="str">
        <f>VLOOKUP(RANK(ED90,$ED$10:$ED$109),Sheet1!$A$381:$B$480,2,FALSE)</f>
        <v>84th</v>
      </c>
      <c r="EG90" s="162">
        <v>28</v>
      </c>
      <c r="EH90" s="162">
        <v>27</v>
      </c>
      <c r="EI90" s="137">
        <f t="shared" si="377"/>
        <v>55</v>
      </c>
      <c r="EJ90" s="137" t="str">
        <f t="shared" si="378"/>
        <v>42</v>
      </c>
      <c r="EK90" s="137">
        <f t="shared" si="379"/>
        <v>97</v>
      </c>
      <c r="EL90" s="137">
        <f t="shared" si="380"/>
        <v>48.5</v>
      </c>
      <c r="EM90" s="135" t="str">
        <f t="shared" si="381"/>
        <v>D</v>
      </c>
      <c r="EN90" s="135" t="str">
        <f>VLOOKUP(RANK(EL90,$EL$10:$EL$109),Sheet1!$A$381:$B$480,2,FALSE)</f>
        <v>67th</v>
      </c>
      <c r="EO90" s="162">
        <v>25</v>
      </c>
      <c r="EP90" s="162">
        <v>10</v>
      </c>
      <c r="EQ90" s="137">
        <f t="shared" si="382"/>
        <v>35</v>
      </c>
      <c r="ER90" s="137" t="str">
        <f t="shared" si="383"/>
        <v>30</v>
      </c>
      <c r="ES90" s="137">
        <f t="shared" si="384"/>
        <v>65</v>
      </c>
      <c r="ET90" s="137">
        <f t="shared" si="385"/>
        <v>32.5</v>
      </c>
      <c r="EU90" s="135" t="str">
        <f t="shared" si="386"/>
        <v>F</v>
      </c>
      <c r="EV90" s="135" t="str">
        <f>VLOOKUP(RANK(ET90,$ET$10:$ET$109),Sheet1!$A$381:$B$480,2,FALSE)</f>
        <v>94th</v>
      </c>
      <c r="EW90" s="137"/>
      <c r="EX90" s="137"/>
      <c r="EY90" s="137">
        <f t="shared" si="387"/>
        <v>0</v>
      </c>
      <c r="EZ90" s="137" t="str">
        <f t="shared" si="388"/>
        <v>0</v>
      </c>
      <c r="FA90" s="137">
        <f t="shared" si="389"/>
        <v>0</v>
      </c>
      <c r="FB90" s="137">
        <f t="shared" si="390"/>
        <v>0</v>
      </c>
      <c r="FC90" s="135" t="str">
        <f t="shared" si="391"/>
        <v>F</v>
      </c>
      <c r="FD90" s="135" t="str">
        <f>VLOOKUP(RANK(FB90,$FB$10:$FB$109),Sheet1!$A$381:$B$480,2,FALSE)</f>
        <v>1st</v>
      </c>
      <c r="FE90" s="137"/>
      <c r="FF90" s="137"/>
      <c r="FG90" s="137">
        <f t="shared" si="392"/>
        <v>0</v>
      </c>
      <c r="FH90" s="137" t="str">
        <f t="shared" si="393"/>
        <v>0</v>
      </c>
      <c r="FI90" s="137">
        <f t="shared" si="394"/>
        <v>0</v>
      </c>
      <c r="FJ90" s="137">
        <f t="shared" si="395"/>
        <v>0</v>
      </c>
      <c r="FK90" s="135" t="str">
        <f t="shared" si="396"/>
        <v>F</v>
      </c>
      <c r="FL90" s="135" t="str">
        <f>VLOOKUP(RANK(FJ90,$FJ$10:$FJ$109),Sheet1!$A$381:$B$480,2,FALSE)</f>
        <v>1st</v>
      </c>
      <c r="FM90" s="166">
        <v>25</v>
      </c>
      <c r="FN90" s="166">
        <v>25</v>
      </c>
      <c r="FO90" s="137">
        <f t="shared" si="397"/>
        <v>50</v>
      </c>
      <c r="FP90" s="137" t="str">
        <f t="shared" si="398"/>
        <v>50</v>
      </c>
      <c r="FQ90" s="137">
        <f t="shared" si="399"/>
        <v>100</v>
      </c>
      <c r="FR90" s="137">
        <f t="shared" si="400"/>
        <v>50</v>
      </c>
      <c r="FS90" s="135" t="str">
        <f t="shared" si="401"/>
        <v>C</v>
      </c>
      <c r="FT90" s="135" t="str">
        <f>VLOOKUP(RANK(FR90,$FR$10:$FR$109),Sheet1!$A$381:$B$480,2,FALSE)</f>
        <v>77th</v>
      </c>
      <c r="FU90" s="149">
        <v>34</v>
      </c>
      <c r="FV90" s="149">
        <v>23</v>
      </c>
      <c r="FW90" s="137">
        <f t="shared" si="402"/>
        <v>57</v>
      </c>
      <c r="FX90" s="137" t="str">
        <f t="shared" si="403"/>
        <v>48</v>
      </c>
      <c r="FY90" s="137">
        <f t="shared" si="512"/>
        <v>57</v>
      </c>
      <c r="FZ90" s="137">
        <f t="shared" si="404"/>
        <v>28.5</v>
      </c>
      <c r="GA90" s="135" t="str">
        <f t="shared" si="405"/>
        <v>F</v>
      </c>
      <c r="GB90" s="135" t="str">
        <f>VLOOKUP(RANK(FZ90,$FZ$10:$FZ$109),Sheet1!$A$381:$B$480,2,FALSE)</f>
        <v>33rd</v>
      </c>
      <c r="GC90" s="166">
        <v>10</v>
      </c>
      <c r="GD90" s="166">
        <v>26</v>
      </c>
      <c r="GE90" s="137">
        <f t="shared" si="406"/>
        <v>36</v>
      </c>
      <c r="GF90" s="137" t="str">
        <f t="shared" si="407"/>
        <v>24</v>
      </c>
      <c r="GG90" s="135">
        <f t="shared" si="513"/>
        <v>60</v>
      </c>
      <c r="GH90" s="137">
        <f t="shared" si="514"/>
        <v>30</v>
      </c>
      <c r="GI90" s="135" t="str">
        <f t="shared" si="408"/>
        <v>F</v>
      </c>
      <c r="GJ90" s="135" t="str">
        <f>VLOOKUP(RANK(GH90,$GH$10:$GH$109),Sheet1!$A$381:$B$480,2,FALSE)</f>
        <v>80th</v>
      </c>
      <c r="GK90" s="166">
        <v>26</v>
      </c>
      <c r="GL90" s="166">
        <v>21</v>
      </c>
      <c r="GM90" s="137">
        <f t="shared" si="409"/>
        <v>47</v>
      </c>
      <c r="GN90" s="137" t="str">
        <f t="shared" si="410"/>
        <v>57</v>
      </c>
      <c r="GO90" s="135">
        <f t="shared" si="515"/>
        <v>104</v>
      </c>
      <c r="GP90" s="137">
        <f t="shared" si="411"/>
        <v>52</v>
      </c>
      <c r="GQ90" s="135" t="str">
        <f t="shared" si="412"/>
        <v>C</v>
      </c>
      <c r="GR90" s="135" t="str">
        <f>VLOOKUP(RANK(GP90,$GP$10:$GP$109),Sheet1!$A$381:$B$480,2,FALSE)</f>
        <v>9th</v>
      </c>
      <c r="GS90" s="166">
        <v>23</v>
      </c>
      <c r="GT90" s="166">
        <v>21</v>
      </c>
      <c r="GU90" s="137">
        <f t="shared" si="413"/>
        <v>44</v>
      </c>
      <c r="GV90" s="137" t="str">
        <f t="shared" si="414"/>
        <v>32</v>
      </c>
      <c r="GW90" s="137">
        <f t="shared" si="415"/>
        <v>76</v>
      </c>
      <c r="GX90" s="137">
        <f t="shared" si="416"/>
        <v>38</v>
      </c>
      <c r="GY90" s="135" t="str">
        <f t="shared" si="417"/>
        <v>E</v>
      </c>
      <c r="GZ90" s="135" t="str">
        <f>VLOOKUP(RANK(GX90,$GX$10:$GX$109),Sheet1!$A$381:$B$480,2,FALSE)</f>
        <v>78th</v>
      </c>
      <c r="HA90" s="166">
        <v>32</v>
      </c>
      <c r="HB90" s="166">
        <v>4</v>
      </c>
      <c r="HC90" s="137">
        <f t="shared" si="418"/>
        <v>36</v>
      </c>
      <c r="HD90" s="137" t="str">
        <f t="shared" si="419"/>
        <v>38</v>
      </c>
      <c r="HE90" s="137">
        <f t="shared" si="420"/>
        <v>74</v>
      </c>
      <c r="HF90" s="137">
        <f t="shared" si="421"/>
        <v>37</v>
      </c>
      <c r="HG90" s="135" t="str">
        <f t="shared" si="422"/>
        <v>E</v>
      </c>
      <c r="HH90" s="135" t="str">
        <f>VLOOKUP(RANK(HF90,$HF$10:$HF$109),Sheet1!$A$381:$B$480,2,FALSE)</f>
        <v>90th</v>
      </c>
      <c r="HI90" s="149">
        <v>26</v>
      </c>
      <c r="HJ90" s="149">
        <v>40</v>
      </c>
      <c r="HK90" s="137">
        <f t="shared" si="423"/>
        <v>66</v>
      </c>
      <c r="HL90" s="137" t="str">
        <f t="shared" si="424"/>
        <v>42</v>
      </c>
      <c r="HM90" s="137">
        <f t="shared" si="425"/>
        <v>108</v>
      </c>
      <c r="HN90" s="137">
        <f t="shared" si="426"/>
        <v>54</v>
      </c>
      <c r="HO90" s="135" t="str">
        <f t="shared" si="427"/>
        <v>C</v>
      </c>
      <c r="HP90" s="135" t="str">
        <f>VLOOKUP(RANK(HN90,$HN$10:$HN$109),Sheet1!$A$381:$B$480,2,FALSE)</f>
        <v>88th</v>
      </c>
      <c r="HQ90" s="137"/>
      <c r="HR90" s="137"/>
      <c r="HS90" s="137">
        <f t="shared" si="428"/>
        <v>0</v>
      </c>
      <c r="HT90" s="137" t="str">
        <f t="shared" si="429"/>
        <v>0</v>
      </c>
      <c r="HU90" s="137">
        <f t="shared" si="430"/>
        <v>0</v>
      </c>
      <c r="HV90" s="137">
        <f t="shared" si="431"/>
        <v>0</v>
      </c>
      <c r="HW90" s="135" t="str">
        <f t="shared" si="432"/>
        <v>F</v>
      </c>
      <c r="HX90" s="135" t="str">
        <f>VLOOKUP(RANK(HV90,$HV$10:$HV$109),Sheet1!$A$381:$B$480,2,FALSE)</f>
        <v>1st</v>
      </c>
      <c r="HY90" s="137"/>
      <c r="HZ90" s="137"/>
      <c r="IA90" s="137">
        <f t="shared" si="433"/>
        <v>0</v>
      </c>
      <c r="IB90" s="137" t="str">
        <f t="shared" si="434"/>
        <v>0</v>
      </c>
      <c r="IC90" s="137">
        <f t="shared" si="435"/>
        <v>0</v>
      </c>
      <c r="ID90" s="137">
        <f t="shared" si="436"/>
        <v>0</v>
      </c>
      <c r="IE90" s="135" t="str">
        <f t="shared" si="437"/>
        <v>F</v>
      </c>
      <c r="IF90" s="135" t="str">
        <f>VLOOKUP(RANK(ID90,$ID$10:$ID$109),Sheet1!$A$381:$B$480,2,FALSE)</f>
        <v>1st</v>
      </c>
      <c r="IG90" s="135"/>
      <c r="IH90" s="135"/>
      <c r="II90" s="135">
        <f t="shared" si="516"/>
        <v>0</v>
      </c>
      <c r="IJ90" s="135" t="str">
        <f t="shared" si="517"/>
        <v>0</v>
      </c>
      <c r="IK90" s="135">
        <f t="shared" si="518"/>
        <v>0</v>
      </c>
      <c r="IL90" s="135">
        <f t="shared" si="519"/>
        <v>0</v>
      </c>
      <c r="IM90" s="135" t="str">
        <f t="shared" si="438"/>
        <v>F</v>
      </c>
      <c r="IN90" s="135" t="str">
        <f>VLOOKUP(RANK(IL90,$IL$10:$IL$109),Sheet1!$A$381:$B$480,2,FALSE)</f>
        <v>1st</v>
      </c>
      <c r="IO90" s="135">
        <f t="shared" si="520"/>
        <v>520</v>
      </c>
      <c r="IP90" s="177">
        <f t="shared" si="521"/>
        <v>30.588235294117599</v>
      </c>
      <c r="IQ90" s="135" t="str">
        <f>VLOOKUP(RANK(IP90,$IP$10:$IP$109),Sheet1!$A$381:$B$480,2,FALSE)</f>
        <v>78th</v>
      </c>
      <c r="IR90" s="178"/>
      <c r="IS90" s="137"/>
      <c r="IT90" s="137"/>
      <c r="IU90" s="137"/>
      <c r="IV90" s="137"/>
      <c r="IW90" s="181"/>
      <c r="IX90" s="184"/>
      <c r="IY90" s="186"/>
      <c r="IZ90" s="186">
        <f t="shared" si="439"/>
        <v>0</v>
      </c>
      <c r="JA90" s="186" t="str">
        <f t="shared" si="440"/>
        <v>61</v>
      </c>
      <c r="JB90" s="186" t="str">
        <f t="shared" si="441"/>
        <v>70</v>
      </c>
      <c r="JC90" s="186">
        <f t="shared" si="522"/>
        <v>131</v>
      </c>
      <c r="JD90" s="186">
        <f t="shared" si="523"/>
        <v>43.6666666666667</v>
      </c>
      <c r="JE90" s="135" t="str">
        <f t="shared" si="442"/>
        <v>D</v>
      </c>
      <c r="JF90" s="151" t="str">
        <f>VLOOKUP(RANK(JD90,$JD$10:$JD$109),Sheet1!$A$381:$B$480,2,FALSE)</f>
        <v>55th</v>
      </c>
      <c r="JG90" s="186"/>
      <c r="JH90" s="186"/>
      <c r="JI90" s="186">
        <f t="shared" si="443"/>
        <v>0</v>
      </c>
      <c r="JJ90" s="186" t="str">
        <f t="shared" si="444"/>
        <v>38</v>
      </c>
      <c r="JK90" s="186" t="str">
        <f t="shared" si="445"/>
        <v>59</v>
      </c>
      <c r="JL90" s="186">
        <f t="shared" si="524"/>
        <v>97</v>
      </c>
      <c r="JM90" s="186">
        <f t="shared" si="525"/>
        <v>32.3333333333333</v>
      </c>
      <c r="JN90" s="135" t="str">
        <f t="shared" si="446"/>
        <v>F</v>
      </c>
      <c r="JO90" s="151" t="str">
        <f>VLOOKUP(RANK(JM90,$JM$10:$JM$109),Sheet1!$A$381:$B$480,2,FALSE)</f>
        <v>51st</v>
      </c>
      <c r="JP90" s="186"/>
      <c r="JQ90" s="186"/>
      <c r="JR90" s="186">
        <f t="shared" si="447"/>
        <v>0</v>
      </c>
      <c r="JS90" s="186" t="str">
        <f t="shared" si="448"/>
        <v>30</v>
      </c>
      <c r="JT90" s="186" t="str">
        <f t="shared" si="449"/>
        <v>41</v>
      </c>
      <c r="JU90" s="186">
        <f t="shared" si="526"/>
        <v>71</v>
      </c>
      <c r="JV90" s="186">
        <f t="shared" si="527"/>
        <v>23.6666666666667</v>
      </c>
      <c r="JW90" s="135" t="str">
        <f t="shared" si="450"/>
        <v>F</v>
      </c>
      <c r="JX90" s="151" t="str">
        <f>VLOOKUP(RANK(JV90,$JV$10:$JV$109),Sheet1!$A$381:$B$480,2,FALSE)</f>
        <v>84th</v>
      </c>
      <c r="JY90" s="186"/>
      <c r="JZ90" s="186"/>
      <c r="KA90" s="186">
        <f t="shared" si="451"/>
        <v>0</v>
      </c>
      <c r="KB90" s="186" t="str">
        <f t="shared" si="452"/>
        <v>42</v>
      </c>
      <c r="KC90" s="186" t="str">
        <f t="shared" si="453"/>
        <v>55</v>
      </c>
      <c r="KD90" s="186">
        <f t="shared" si="528"/>
        <v>97</v>
      </c>
      <c r="KE90" s="186">
        <f t="shared" si="529"/>
        <v>32.3333333333333</v>
      </c>
      <c r="KF90" s="135" t="str">
        <f t="shared" si="454"/>
        <v>F</v>
      </c>
      <c r="KG90" s="151" t="str">
        <f>VLOOKUP(RANK(KE90,$KE$10:$KE$109),Sheet1!$A$381:$B$480,2,FALSE)</f>
        <v>67th</v>
      </c>
      <c r="KH90" s="186"/>
      <c r="KI90" s="186"/>
      <c r="KJ90" s="186">
        <f t="shared" si="455"/>
        <v>0</v>
      </c>
      <c r="KK90" s="186" t="str">
        <f t="shared" si="456"/>
        <v>30</v>
      </c>
      <c r="KL90" s="186" t="str">
        <f t="shared" si="457"/>
        <v>35</v>
      </c>
      <c r="KM90" s="186">
        <f t="shared" si="530"/>
        <v>65</v>
      </c>
      <c r="KN90" s="186">
        <f t="shared" si="531"/>
        <v>21.6666666666667</v>
      </c>
      <c r="KO90" s="135" t="str">
        <f t="shared" si="458"/>
        <v>F</v>
      </c>
      <c r="KP90" s="151" t="str">
        <f>VLOOKUP(RANK(KN90,$KN$10:$KN$109),Sheet1!$A$381:$B$480,2,FALSE)</f>
        <v>94th</v>
      </c>
      <c r="KQ90" s="186"/>
      <c r="KR90" s="186"/>
      <c r="KS90" s="186">
        <f t="shared" si="459"/>
        <v>0</v>
      </c>
      <c r="KT90" s="186" t="str">
        <f t="shared" si="460"/>
        <v>0</v>
      </c>
      <c r="KU90" s="186" t="str">
        <f t="shared" si="461"/>
        <v>0</v>
      </c>
      <c r="KV90" s="186">
        <f t="shared" si="532"/>
        <v>0</v>
      </c>
      <c r="KW90" s="186">
        <f t="shared" si="533"/>
        <v>0</v>
      </c>
      <c r="KX90" s="135" t="str">
        <f t="shared" si="462"/>
        <v>F</v>
      </c>
      <c r="KY90" s="151" t="str">
        <f>VLOOKUP(RANK(KW90,$KW$10:$KW$109),Sheet1!$A$381:$B$480,2,FALSE)</f>
        <v>1st</v>
      </c>
      <c r="KZ90" s="186"/>
      <c r="LA90" s="186"/>
      <c r="LB90" s="186">
        <f t="shared" si="463"/>
        <v>0</v>
      </c>
      <c r="LC90" s="186" t="str">
        <f t="shared" si="464"/>
        <v>0</v>
      </c>
      <c r="LD90" s="186" t="str">
        <f t="shared" si="465"/>
        <v>0</v>
      </c>
      <c r="LE90" s="186">
        <f t="shared" si="534"/>
        <v>0</v>
      </c>
      <c r="LF90" s="186">
        <f t="shared" si="535"/>
        <v>0</v>
      </c>
      <c r="LG90" s="135" t="str">
        <f t="shared" si="466"/>
        <v>F</v>
      </c>
      <c r="LH90" s="151" t="str">
        <f>VLOOKUP(RANK(LF90,$LF$10:$LF$109),Sheet1!$A$381:$B$480,2,FALSE)</f>
        <v>1st</v>
      </c>
      <c r="LI90" s="186"/>
      <c r="LJ90" s="186"/>
      <c r="LK90" s="186">
        <f t="shared" si="467"/>
        <v>0</v>
      </c>
      <c r="LL90" s="186" t="str">
        <f t="shared" si="468"/>
        <v>50</v>
      </c>
      <c r="LM90" s="186" t="str">
        <f t="shared" si="469"/>
        <v>50</v>
      </c>
      <c r="LN90" s="186">
        <f t="shared" si="536"/>
        <v>100</v>
      </c>
      <c r="LO90" s="186">
        <f t="shared" si="537"/>
        <v>33.3333333333333</v>
      </c>
      <c r="LP90" s="135" t="str">
        <f t="shared" si="470"/>
        <v>F</v>
      </c>
      <c r="LQ90" s="151" t="str">
        <f>VLOOKUP(RANK(LO90,$LO$10:$LO$109),Sheet1!$A$381:$B$480,2,FALSE)</f>
        <v>77th</v>
      </c>
      <c r="LR90" s="186"/>
      <c r="LS90" s="186"/>
      <c r="LT90" s="186">
        <f t="shared" si="471"/>
        <v>0</v>
      </c>
      <c r="LU90" s="186" t="str">
        <f t="shared" si="472"/>
        <v>48</v>
      </c>
      <c r="LV90" s="186" t="str">
        <f t="shared" si="473"/>
        <v>57</v>
      </c>
      <c r="LW90" s="186">
        <f t="shared" si="538"/>
        <v>105</v>
      </c>
      <c r="LX90" s="186">
        <f t="shared" si="539"/>
        <v>35</v>
      </c>
      <c r="LY90" s="135" t="str">
        <f t="shared" si="474"/>
        <v>E</v>
      </c>
      <c r="LZ90" s="151" t="str">
        <f>VLOOKUP(RANK(LX90,$LX$10:$LX$109),Sheet1!$A$381:$B$480,2,FALSE)</f>
        <v>46th</v>
      </c>
      <c r="MA90" s="186"/>
      <c r="MB90" s="186"/>
      <c r="MC90" s="186">
        <f t="shared" si="475"/>
        <v>0</v>
      </c>
      <c r="MD90" s="186" t="str">
        <f t="shared" si="476"/>
        <v>24</v>
      </c>
      <c r="ME90" s="186" t="str">
        <f t="shared" si="477"/>
        <v>36</v>
      </c>
      <c r="MF90" s="183">
        <f t="shared" si="540"/>
        <v>60</v>
      </c>
      <c r="MG90" s="151">
        <f t="shared" si="541"/>
        <v>20</v>
      </c>
      <c r="MH90" s="135" t="str">
        <f t="shared" si="478"/>
        <v>F</v>
      </c>
      <c r="MI90" s="151" t="str">
        <f>VLOOKUP(RANK(MG90,$MG$10:$MG$109),Sheet1!$A$381:$B$480,2,FALSE)</f>
        <v>80th</v>
      </c>
      <c r="MJ90" s="186"/>
      <c r="MK90" s="186"/>
      <c r="ML90" s="186">
        <f t="shared" si="479"/>
        <v>0</v>
      </c>
      <c r="MM90" s="186" t="str">
        <f t="shared" si="480"/>
        <v>57</v>
      </c>
      <c r="MN90" s="186" t="str">
        <f t="shared" si="481"/>
        <v>47</v>
      </c>
      <c r="MO90" s="186">
        <f t="shared" si="542"/>
        <v>104</v>
      </c>
      <c r="MP90" s="186">
        <f t="shared" si="543"/>
        <v>34.6666666666667</v>
      </c>
      <c r="MQ90" s="135" t="str">
        <f t="shared" si="482"/>
        <v>F</v>
      </c>
      <c r="MR90" s="151" t="str">
        <f>VLOOKUP(RANK(MP90,$MP$10:$MP$109),Sheet1!$A$381:$B$480,2,FALSE)</f>
        <v>9th</v>
      </c>
      <c r="MS90" s="186"/>
      <c r="MT90" s="186"/>
      <c r="MU90" s="186">
        <f t="shared" si="483"/>
        <v>0</v>
      </c>
      <c r="MV90" s="186" t="str">
        <f t="shared" si="484"/>
        <v>32</v>
      </c>
      <c r="MW90" s="186" t="str">
        <f t="shared" si="485"/>
        <v>44</v>
      </c>
      <c r="MX90" s="186">
        <f t="shared" si="544"/>
        <v>76</v>
      </c>
      <c r="MY90" s="186">
        <f t="shared" si="545"/>
        <v>25.3333333333333</v>
      </c>
      <c r="MZ90" s="135" t="str">
        <f t="shared" si="486"/>
        <v>F</v>
      </c>
      <c r="NA90" s="151" t="str">
        <f>VLOOKUP(RANK(MY90,$MY$10:$MY$109),Sheet1!$A$381:$B$480,2,FALSE)</f>
        <v>78th</v>
      </c>
      <c r="NB90" s="186"/>
      <c r="NC90" s="186"/>
      <c r="ND90" s="186">
        <f t="shared" si="487"/>
        <v>0</v>
      </c>
      <c r="NE90" s="186" t="str">
        <f t="shared" si="488"/>
        <v>38</v>
      </c>
      <c r="NF90" s="186" t="str">
        <f t="shared" si="489"/>
        <v>36</v>
      </c>
      <c r="NG90" s="186">
        <f t="shared" si="546"/>
        <v>74</v>
      </c>
      <c r="NH90" s="186">
        <f t="shared" si="547"/>
        <v>24.6666666666667</v>
      </c>
      <c r="NI90" s="135" t="str">
        <f t="shared" si="490"/>
        <v>F</v>
      </c>
      <c r="NJ90" s="151" t="str">
        <f>VLOOKUP(RANK(NH90,$NH$10:$NH$109),Sheet1!$A$381:$B$480,2,FALSE)</f>
        <v>90th</v>
      </c>
      <c r="NK90" s="186"/>
      <c r="NL90" s="186"/>
      <c r="NM90" s="186">
        <f t="shared" si="491"/>
        <v>0</v>
      </c>
      <c r="NN90" s="186" t="str">
        <f t="shared" si="492"/>
        <v>42</v>
      </c>
      <c r="NO90" s="186" t="str">
        <f t="shared" si="493"/>
        <v>66</v>
      </c>
      <c r="NP90" s="186">
        <f t="shared" si="548"/>
        <v>108</v>
      </c>
      <c r="NQ90" s="186">
        <f t="shared" si="494"/>
        <v>36</v>
      </c>
      <c r="NR90" s="135" t="str">
        <f t="shared" si="495"/>
        <v>E</v>
      </c>
      <c r="NS90" s="151" t="str">
        <f>VLOOKUP(RANK(NQ90,$NQ$10:$NQ$109),Sheet1!$A$381:$B$480,2,FALSE)</f>
        <v>88th</v>
      </c>
      <c r="NT90" s="186"/>
      <c r="NU90" s="186"/>
      <c r="NV90" s="186">
        <f t="shared" si="496"/>
        <v>0</v>
      </c>
      <c r="NW90" s="186" t="str">
        <f t="shared" si="497"/>
        <v>0</v>
      </c>
      <c r="NX90" s="186" t="str">
        <f t="shared" si="498"/>
        <v>0</v>
      </c>
      <c r="NY90" s="186">
        <f t="shared" si="549"/>
        <v>0</v>
      </c>
      <c r="NZ90" s="186">
        <f t="shared" si="499"/>
        <v>0</v>
      </c>
      <c r="OA90" s="135" t="str">
        <f t="shared" si="500"/>
        <v>F</v>
      </c>
      <c r="OB90" s="151" t="str">
        <f>VLOOKUP(RANK(NZ90,$NZ$10:$NZ$109),Sheet1!$A$381:$B$480,2,FALSE)</f>
        <v>1st</v>
      </c>
      <c r="OC90" s="186"/>
      <c r="OD90" s="186"/>
      <c r="OE90" s="186">
        <f t="shared" si="501"/>
        <v>0</v>
      </c>
      <c r="OF90" s="186" t="str">
        <f t="shared" si="502"/>
        <v>0</v>
      </c>
      <c r="OG90" s="186" t="str">
        <f t="shared" si="503"/>
        <v>0</v>
      </c>
      <c r="OH90" s="186">
        <f t="shared" si="550"/>
        <v>0</v>
      </c>
      <c r="OI90" s="186">
        <f t="shared" si="504"/>
        <v>0</v>
      </c>
      <c r="OJ90" s="135" t="str">
        <f t="shared" si="505"/>
        <v>F</v>
      </c>
      <c r="OK90" s="151" t="str">
        <f>VLOOKUP(RANK(OI90,$OI$10:$OI$109),Sheet1!$A$381:$B$480,2,FALSE)</f>
        <v>1st</v>
      </c>
      <c r="OL90" s="151"/>
      <c r="OM90" s="151"/>
      <c r="ON90" s="151">
        <f t="shared" si="551"/>
        <v>0</v>
      </c>
      <c r="OO90" s="151" t="str">
        <f t="shared" si="552"/>
        <v>0</v>
      </c>
      <c r="OP90" s="151" t="str">
        <f t="shared" si="553"/>
        <v>0</v>
      </c>
      <c r="OQ90" s="151">
        <f t="shared" si="554"/>
        <v>0</v>
      </c>
      <c r="OR90" s="151">
        <f t="shared" si="555"/>
        <v>0</v>
      </c>
      <c r="OS90" s="135" t="str">
        <f t="shared" si="506"/>
        <v>F</v>
      </c>
      <c r="OT90" s="151" t="str">
        <f>VLOOKUP(RANK(OR90,$OI$10:$OI$109),Sheet1!$A$381:$B$480,2,FALSE)</f>
        <v>1st</v>
      </c>
      <c r="OU90" s="151">
        <f t="shared" si="556"/>
        <v>362.66666666666703</v>
      </c>
      <c r="OV90" s="151">
        <f t="shared" si="557"/>
        <v>21.3333333333333</v>
      </c>
      <c r="OW90" s="151" t="str">
        <f>VLOOKUP(RANK(OV90,$OV$10:$OV$109),Sheet1!$A$381:$B$480,2,FALSE)</f>
        <v>79th</v>
      </c>
      <c r="OX90" s="151"/>
      <c r="OY90" s="186"/>
      <c r="OZ90" s="186"/>
      <c r="PA90" s="186"/>
      <c r="PB90" s="186"/>
    </row>
    <row r="91" spans="1:418" s="118" customFormat="1" ht="18.75">
      <c r="A91" s="131">
        <v>82</v>
      </c>
      <c r="B91" s="132" t="s">
        <v>181</v>
      </c>
      <c r="C91" s="133" t="s">
        <v>97</v>
      </c>
      <c r="D91" s="134">
        <v>26</v>
      </c>
      <c r="E91" s="134">
        <v>41</v>
      </c>
      <c r="F91" s="137">
        <f t="shared" si="315"/>
        <v>67</v>
      </c>
      <c r="G91" s="137">
        <f t="shared" si="316"/>
        <v>67</v>
      </c>
      <c r="H91" s="135" t="str">
        <f t="shared" si="507"/>
        <v>B</v>
      </c>
      <c r="I91" s="135" t="str">
        <f>VLOOKUP(RANK(G91,$G$10:$G$109),Sheet1!$A$381:$B$480,2,FALSE)</f>
        <v>52nd</v>
      </c>
      <c r="J91" s="134">
        <v>26</v>
      </c>
      <c r="K91" s="134">
        <v>25</v>
      </c>
      <c r="L91" s="137">
        <f t="shared" si="317"/>
        <v>51</v>
      </c>
      <c r="M91" s="137">
        <f t="shared" si="318"/>
        <v>51</v>
      </c>
      <c r="N91" s="135" t="str">
        <f t="shared" si="319"/>
        <v>C</v>
      </c>
      <c r="O91" s="141" t="str">
        <f>VLOOKUP(RANK(M91,$M$10:$M$109),Sheet1!$A$381:$B$480,2,FALSE)</f>
        <v>56th</v>
      </c>
      <c r="P91" s="144">
        <v>28</v>
      </c>
      <c r="Q91" s="144">
        <v>10</v>
      </c>
      <c r="R91" s="147">
        <f t="shared" si="320"/>
        <v>38</v>
      </c>
      <c r="S91" s="137">
        <f t="shared" si="321"/>
        <v>38</v>
      </c>
      <c r="T91" s="135" t="str">
        <f t="shared" si="322"/>
        <v>E</v>
      </c>
      <c r="U91" s="135" t="str">
        <f>VLOOKUP(RANK(S91,$S$10:$S$109),Sheet1!$A$381:$B$480,2,FALSE)</f>
        <v>67th</v>
      </c>
      <c r="V91" s="134">
        <v>35</v>
      </c>
      <c r="W91" s="134">
        <v>51</v>
      </c>
      <c r="X91" s="137">
        <f t="shared" si="559"/>
        <v>86</v>
      </c>
      <c r="Y91" s="137">
        <f t="shared" si="558"/>
        <v>86</v>
      </c>
      <c r="Z91" s="135" t="str">
        <f t="shared" si="323"/>
        <v>A</v>
      </c>
      <c r="AA91" s="135" t="str">
        <f>VLOOKUP(RANK(Y91,$Y$10:$Y$109),Sheet1!$A$381:$B$480,2,FALSE)</f>
        <v>5th</v>
      </c>
      <c r="AB91" s="134">
        <v>28</v>
      </c>
      <c r="AC91" s="134">
        <v>3</v>
      </c>
      <c r="AD91" s="137">
        <f t="shared" si="324"/>
        <v>31</v>
      </c>
      <c r="AE91" s="137">
        <f t="shared" si="325"/>
        <v>31</v>
      </c>
      <c r="AF91" s="135" t="str">
        <f t="shared" si="326"/>
        <v>F</v>
      </c>
      <c r="AG91" s="135" t="str">
        <f>VLOOKUP(RANK(AE91,$AE$10:$AE$109),Sheet1!$A$381:$B$480,2,FALSE)</f>
        <v>90th</v>
      </c>
      <c r="AH91" s="137"/>
      <c r="AI91" s="137"/>
      <c r="AJ91" s="137">
        <f t="shared" si="327"/>
        <v>0</v>
      </c>
      <c r="AK91" s="137">
        <f t="shared" si="328"/>
        <v>0</v>
      </c>
      <c r="AL91" s="135" t="str">
        <f t="shared" si="329"/>
        <v>F</v>
      </c>
      <c r="AM91" s="135" t="str">
        <f>VLOOKUP(RANK(AK91,$AK$10:$AK$109),Sheet1!$A$381:$B$480,2,FALSE)</f>
        <v>1st</v>
      </c>
      <c r="AN91" s="134"/>
      <c r="AO91" s="134"/>
      <c r="AP91" s="137">
        <f t="shared" si="330"/>
        <v>0</v>
      </c>
      <c r="AQ91" s="137">
        <f t="shared" si="331"/>
        <v>0</v>
      </c>
      <c r="AR91" s="135" t="str">
        <f t="shared" si="332"/>
        <v>F</v>
      </c>
      <c r="AS91" s="135" t="str">
        <f>VLOOKUP(RANK(AQ91,$AQ$10:$AQ$109),Sheet1!$A$381:$B$480,2,FALSE)</f>
        <v>1st</v>
      </c>
      <c r="AT91" s="144">
        <v>26</v>
      </c>
      <c r="AU91" s="144">
        <v>25</v>
      </c>
      <c r="AV91" s="137">
        <f t="shared" si="333"/>
        <v>51</v>
      </c>
      <c r="AW91" s="137">
        <f t="shared" si="334"/>
        <v>51</v>
      </c>
      <c r="AX91" s="135" t="str">
        <f t="shared" si="335"/>
        <v>C</v>
      </c>
      <c r="AY91" s="141" t="str">
        <f>VLOOKUP(RANK(AW91,$AW$10:$AW$109),Sheet1!$A$381:$B$480,2,FALSE)</f>
        <v>45th</v>
      </c>
      <c r="AZ91" s="144">
        <v>30</v>
      </c>
      <c r="BA91" s="144">
        <v>10</v>
      </c>
      <c r="BB91" s="147">
        <f t="shared" si="336"/>
        <v>40</v>
      </c>
      <c r="BC91" s="137">
        <f t="shared" si="337"/>
        <v>40</v>
      </c>
      <c r="BD91" s="135" t="str">
        <f t="shared" si="338"/>
        <v>D</v>
      </c>
      <c r="BE91" s="135" t="str">
        <f>VLOOKUP(RANK(BC91,$BC$10:$BC$109),Sheet1!$A$381:$B$480,2,FALSE)</f>
        <v>85th</v>
      </c>
      <c r="BF91" s="144">
        <v>12</v>
      </c>
      <c r="BG91" s="144">
        <v>12</v>
      </c>
      <c r="BH91" s="137">
        <f t="shared" si="339"/>
        <v>24</v>
      </c>
      <c r="BI91" s="137">
        <f t="shared" si="340"/>
        <v>24</v>
      </c>
      <c r="BJ91" s="135" t="str">
        <f t="shared" si="341"/>
        <v>F</v>
      </c>
      <c r="BK91" s="141" t="str">
        <f>VLOOKUP(RANK(BI91,$BI$10:$BI$109),Sheet1!$A$381:$B$480,2,FALSE)</f>
        <v>83rd</v>
      </c>
      <c r="BL91" s="149">
        <v>25</v>
      </c>
      <c r="BM91" s="149">
        <v>25</v>
      </c>
      <c r="BN91" s="147">
        <f t="shared" si="342"/>
        <v>50</v>
      </c>
      <c r="BO91" s="137">
        <f t="shared" si="343"/>
        <v>50</v>
      </c>
      <c r="BP91" s="135" t="str">
        <f t="shared" si="344"/>
        <v>C</v>
      </c>
      <c r="BQ91" s="141" t="str">
        <f>VLOOKUP(RANK(BO91,$BO$10:$BO$109),Sheet1!$A$381:$B$480,2,FALSE)</f>
        <v>85th</v>
      </c>
      <c r="BR91" s="149">
        <v>27</v>
      </c>
      <c r="BS91" s="149">
        <v>2</v>
      </c>
      <c r="BT91" s="147">
        <f t="shared" si="345"/>
        <v>29</v>
      </c>
      <c r="BU91" s="137">
        <f t="shared" si="346"/>
        <v>29</v>
      </c>
      <c r="BV91" s="135" t="str">
        <f t="shared" si="347"/>
        <v>F</v>
      </c>
      <c r="BW91" s="135" t="str">
        <f>VLOOKUP(RANK(BU91,$BU$10:$BU$109),Sheet1!$A$381:$B$480,2,FALSE)</f>
        <v>97th</v>
      </c>
      <c r="BX91" s="149">
        <v>27</v>
      </c>
      <c r="BY91" s="149">
        <v>10</v>
      </c>
      <c r="BZ91" s="137">
        <f t="shared" si="348"/>
        <v>37</v>
      </c>
      <c r="CA91" s="137">
        <f t="shared" si="349"/>
        <v>37</v>
      </c>
      <c r="CB91" s="135" t="str">
        <f t="shared" si="350"/>
        <v>E</v>
      </c>
      <c r="CC91" s="135" t="str">
        <f>VLOOKUP(RANK(CA91,$CA$10:$CA$109),Sheet1!$A$381:$B$480,2,FALSE)</f>
        <v>70th</v>
      </c>
      <c r="CD91" s="149">
        <v>23</v>
      </c>
      <c r="CE91" s="149">
        <v>30</v>
      </c>
      <c r="CF91" s="137">
        <f t="shared" si="351"/>
        <v>53</v>
      </c>
      <c r="CG91" s="137">
        <f t="shared" si="352"/>
        <v>53</v>
      </c>
      <c r="CH91" s="135" t="str">
        <f t="shared" si="353"/>
        <v>C</v>
      </c>
      <c r="CI91" s="135" t="str">
        <f>VLOOKUP(RANK(CG91,$CG$10:$CG$109),Sheet1!$A$381:$B$480,2,FALSE)</f>
        <v>64th</v>
      </c>
      <c r="CJ91" s="137"/>
      <c r="CK91" s="137"/>
      <c r="CL91" s="137">
        <f t="shared" si="354"/>
        <v>0</v>
      </c>
      <c r="CM91" s="137">
        <f t="shared" si="355"/>
        <v>0</v>
      </c>
      <c r="CN91" s="135" t="str">
        <f t="shared" si="356"/>
        <v>F</v>
      </c>
      <c r="CO91" s="135" t="str">
        <f>VLOOKUP(RANK(CM91,$CM$10:$CM$109),Sheet1!$A$381:$B$480,2,FALSE)</f>
        <v>1st</v>
      </c>
      <c r="CP91" s="137"/>
      <c r="CQ91" s="137"/>
      <c r="CR91" s="137">
        <f t="shared" si="357"/>
        <v>0</v>
      </c>
      <c r="CS91" s="137">
        <f t="shared" si="358"/>
        <v>0</v>
      </c>
      <c r="CT91" s="135" t="str">
        <f t="shared" si="359"/>
        <v>F</v>
      </c>
      <c r="CU91" s="135" t="str">
        <f>VLOOKUP(RANK(CS91,$CS$10:$CS$109),Sheet1!$A$381:$B$480,2,FALSE)</f>
        <v>1st</v>
      </c>
      <c r="CV91" s="151"/>
      <c r="CW91" s="135"/>
      <c r="CX91" s="151">
        <f t="shared" si="508"/>
        <v>0</v>
      </c>
      <c r="CY91" s="151">
        <f t="shared" si="509"/>
        <v>0</v>
      </c>
      <c r="CZ91" s="135" t="str">
        <f t="shared" si="360"/>
        <v>F</v>
      </c>
      <c r="DA91" s="135" t="str">
        <f>VLOOKUP(RANK(CY91,$CY$10:$CY$109),Sheet1!$A$381:$B$480,2,FALSE)</f>
        <v>1st</v>
      </c>
      <c r="DB91" s="135"/>
      <c r="DC91" s="151">
        <f t="shared" si="510"/>
        <v>557</v>
      </c>
      <c r="DD91" s="151">
        <f t="shared" si="511"/>
        <v>32.764705882352899</v>
      </c>
      <c r="DE91" s="135" t="str">
        <f>VLOOKUP(RANK(DD91,$DD$10:$DD$109),Sheet1!$A$381:$B$480,2,FALSE)</f>
        <v>75th</v>
      </c>
      <c r="DF91" s="137"/>
      <c r="DG91" s="160">
        <f t="shared" si="361"/>
        <v>589.76470588235304</v>
      </c>
      <c r="DH91" s="119"/>
      <c r="DI91" s="162">
        <v>28</v>
      </c>
      <c r="DJ91" s="162">
        <v>49</v>
      </c>
      <c r="DK91" s="137">
        <f t="shared" si="362"/>
        <v>77</v>
      </c>
      <c r="DL91" s="137" t="str">
        <f t="shared" si="363"/>
        <v>67</v>
      </c>
      <c r="DM91" s="137">
        <f t="shared" si="364"/>
        <v>144</v>
      </c>
      <c r="DN91" s="137">
        <f t="shared" si="365"/>
        <v>72</v>
      </c>
      <c r="DO91" s="135" t="str">
        <f t="shared" si="366"/>
        <v>B</v>
      </c>
      <c r="DP91" s="135" t="str">
        <f>VLOOKUP(RANK(DN91,$DN$10:$DN$109),Sheet1!$A$381:$B$480,2,FALSE)</f>
        <v>29th</v>
      </c>
      <c r="DQ91" s="166">
        <v>30</v>
      </c>
      <c r="DR91" s="166">
        <v>20</v>
      </c>
      <c r="DS91" s="137">
        <f t="shared" si="367"/>
        <v>50</v>
      </c>
      <c r="DT91" s="137" t="str">
        <f t="shared" si="368"/>
        <v>51</v>
      </c>
      <c r="DU91" s="137">
        <f t="shared" si="369"/>
        <v>101</v>
      </c>
      <c r="DV91" s="137">
        <f t="shared" si="370"/>
        <v>50.5</v>
      </c>
      <c r="DW91" s="135" t="str">
        <f t="shared" si="371"/>
        <v>C</v>
      </c>
      <c r="DX91" s="135" t="str">
        <f>VLOOKUP(RANK(DV91,$DV$10:$DV$109),Sheet1!$A$381:$B$480,2,FALSE)</f>
        <v>41st</v>
      </c>
      <c r="DY91" s="168">
        <v>23</v>
      </c>
      <c r="DZ91" s="168">
        <v>20</v>
      </c>
      <c r="EA91" s="137">
        <f t="shared" si="372"/>
        <v>43</v>
      </c>
      <c r="EB91" s="137" t="str">
        <f t="shared" si="373"/>
        <v>38</v>
      </c>
      <c r="EC91" s="137">
        <f t="shared" si="374"/>
        <v>81</v>
      </c>
      <c r="ED91" s="137">
        <f t="shared" si="375"/>
        <v>40.5</v>
      </c>
      <c r="EE91" s="135" t="str">
        <f t="shared" si="376"/>
        <v>D</v>
      </c>
      <c r="EF91" s="135" t="str">
        <f>VLOOKUP(RANK(ED91,$ED$10:$ED$109),Sheet1!$A$381:$B$480,2,FALSE)</f>
        <v>67th</v>
      </c>
      <c r="EG91" s="162">
        <v>24</v>
      </c>
      <c r="EH91" s="162">
        <v>28</v>
      </c>
      <c r="EI91" s="137">
        <f t="shared" si="377"/>
        <v>52</v>
      </c>
      <c r="EJ91" s="137" t="str">
        <f t="shared" si="378"/>
        <v>86</v>
      </c>
      <c r="EK91" s="137">
        <f t="shared" si="379"/>
        <v>138</v>
      </c>
      <c r="EL91" s="137">
        <f t="shared" si="380"/>
        <v>69</v>
      </c>
      <c r="EM91" s="135" t="str">
        <f t="shared" si="381"/>
        <v>B</v>
      </c>
      <c r="EN91" s="135" t="str">
        <f>VLOOKUP(RANK(EL91,$EL$10:$EL$109),Sheet1!$A$381:$B$480,2,FALSE)</f>
        <v>11th</v>
      </c>
      <c r="EO91" s="162">
        <v>22</v>
      </c>
      <c r="EP91" s="162">
        <v>15</v>
      </c>
      <c r="EQ91" s="137">
        <f t="shared" si="382"/>
        <v>37</v>
      </c>
      <c r="ER91" s="137" t="str">
        <f t="shared" si="383"/>
        <v>31</v>
      </c>
      <c r="ES91" s="137">
        <f t="shared" si="384"/>
        <v>68</v>
      </c>
      <c r="ET91" s="137">
        <f t="shared" si="385"/>
        <v>34</v>
      </c>
      <c r="EU91" s="135" t="str">
        <f t="shared" si="386"/>
        <v>F</v>
      </c>
      <c r="EV91" s="135" t="str">
        <f>VLOOKUP(RANK(ET91,$ET$10:$ET$109),Sheet1!$A$381:$B$480,2,FALSE)</f>
        <v>90th</v>
      </c>
      <c r="EW91" s="137"/>
      <c r="EX91" s="137"/>
      <c r="EY91" s="137">
        <f t="shared" si="387"/>
        <v>0</v>
      </c>
      <c r="EZ91" s="137" t="str">
        <f t="shared" si="388"/>
        <v>0</v>
      </c>
      <c r="FA91" s="137">
        <f t="shared" si="389"/>
        <v>0</v>
      </c>
      <c r="FB91" s="137">
        <f t="shared" si="390"/>
        <v>0</v>
      </c>
      <c r="FC91" s="135" t="str">
        <f t="shared" si="391"/>
        <v>F</v>
      </c>
      <c r="FD91" s="135" t="str">
        <f>VLOOKUP(RANK(FB91,$FB$10:$FB$109),Sheet1!$A$381:$B$480,2,FALSE)</f>
        <v>1st</v>
      </c>
      <c r="FE91" s="137"/>
      <c r="FF91" s="137"/>
      <c r="FG91" s="137">
        <f t="shared" si="392"/>
        <v>0</v>
      </c>
      <c r="FH91" s="137" t="str">
        <f t="shared" si="393"/>
        <v>0</v>
      </c>
      <c r="FI91" s="137">
        <f t="shared" si="394"/>
        <v>0</v>
      </c>
      <c r="FJ91" s="137">
        <f t="shared" si="395"/>
        <v>0</v>
      </c>
      <c r="FK91" s="135" t="str">
        <f t="shared" si="396"/>
        <v>F</v>
      </c>
      <c r="FL91" s="135" t="str">
        <f>VLOOKUP(RANK(FJ91,$FJ$10:$FJ$109),Sheet1!$A$381:$B$480,2,FALSE)</f>
        <v>1st</v>
      </c>
      <c r="FM91" s="166">
        <v>27</v>
      </c>
      <c r="FN91" s="166">
        <v>25</v>
      </c>
      <c r="FO91" s="137">
        <f t="shared" si="397"/>
        <v>52</v>
      </c>
      <c r="FP91" s="137" t="str">
        <f t="shared" si="398"/>
        <v>51</v>
      </c>
      <c r="FQ91" s="137">
        <f t="shared" si="399"/>
        <v>103</v>
      </c>
      <c r="FR91" s="137">
        <f t="shared" si="400"/>
        <v>51.5</v>
      </c>
      <c r="FS91" s="135" t="str">
        <f t="shared" si="401"/>
        <v>C</v>
      </c>
      <c r="FT91" s="135" t="str">
        <f>VLOOKUP(RANK(FR91,$FR$10:$FR$109),Sheet1!$A$381:$B$480,2,FALSE)</f>
        <v>50th</v>
      </c>
      <c r="FU91" s="149">
        <v>27</v>
      </c>
      <c r="FV91" s="149">
        <v>25</v>
      </c>
      <c r="FW91" s="137">
        <f t="shared" si="402"/>
        <v>52</v>
      </c>
      <c r="FX91" s="137" t="str">
        <f t="shared" si="403"/>
        <v>40</v>
      </c>
      <c r="FY91" s="137">
        <f t="shared" si="512"/>
        <v>52</v>
      </c>
      <c r="FZ91" s="137">
        <f t="shared" si="404"/>
        <v>26</v>
      </c>
      <c r="GA91" s="135" t="str">
        <f t="shared" si="405"/>
        <v>F</v>
      </c>
      <c r="GB91" s="135" t="str">
        <f>VLOOKUP(RANK(FZ91,$FZ$10:$FZ$109),Sheet1!$A$381:$B$480,2,FALSE)</f>
        <v>48th</v>
      </c>
      <c r="GC91" s="166">
        <v>5</v>
      </c>
      <c r="GD91" s="166">
        <v>28</v>
      </c>
      <c r="GE91" s="137">
        <f t="shared" si="406"/>
        <v>33</v>
      </c>
      <c r="GF91" s="137" t="str">
        <f t="shared" si="407"/>
        <v>24</v>
      </c>
      <c r="GG91" s="135">
        <f t="shared" si="513"/>
        <v>57</v>
      </c>
      <c r="GH91" s="137">
        <f t="shared" si="514"/>
        <v>28.5</v>
      </c>
      <c r="GI91" s="135" t="str">
        <f t="shared" si="408"/>
        <v>F</v>
      </c>
      <c r="GJ91" s="135" t="str">
        <f>VLOOKUP(RANK(GH91,$GH$10:$GH$109),Sheet1!$A$381:$B$480,2,FALSE)</f>
        <v>87th</v>
      </c>
      <c r="GK91" s="166">
        <v>25</v>
      </c>
      <c r="GL91" s="166">
        <v>19</v>
      </c>
      <c r="GM91" s="137">
        <f t="shared" si="409"/>
        <v>44</v>
      </c>
      <c r="GN91" s="137" t="str">
        <f t="shared" si="410"/>
        <v>50</v>
      </c>
      <c r="GO91" s="135">
        <f t="shared" si="515"/>
        <v>94</v>
      </c>
      <c r="GP91" s="137">
        <f t="shared" si="411"/>
        <v>47</v>
      </c>
      <c r="GQ91" s="135" t="str">
        <f t="shared" si="412"/>
        <v>D</v>
      </c>
      <c r="GR91" s="135" t="str">
        <f>VLOOKUP(RANK(GP91,$GP$10:$GP$109),Sheet1!$A$381:$B$480,2,FALSE)</f>
        <v>70th</v>
      </c>
      <c r="GS91" s="166">
        <v>20</v>
      </c>
      <c r="GT91" s="166">
        <v>24</v>
      </c>
      <c r="GU91" s="137">
        <f t="shared" si="413"/>
        <v>44</v>
      </c>
      <c r="GV91" s="137" t="str">
        <f t="shared" si="414"/>
        <v>29</v>
      </c>
      <c r="GW91" s="137">
        <f t="shared" si="415"/>
        <v>73</v>
      </c>
      <c r="GX91" s="137">
        <f t="shared" si="416"/>
        <v>36.5</v>
      </c>
      <c r="GY91" s="135" t="str">
        <f t="shared" si="417"/>
        <v>E</v>
      </c>
      <c r="GZ91" s="135" t="str">
        <f>VLOOKUP(RANK(GX91,$GX$10:$GX$109),Sheet1!$A$381:$B$480,2,FALSE)</f>
        <v>83rd</v>
      </c>
      <c r="HA91" s="166">
        <v>31</v>
      </c>
      <c r="HB91" s="166">
        <v>5</v>
      </c>
      <c r="HC91" s="137">
        <f t="shared" si="418"/>
        <v>36</v>
      </c>
      <c r="HD91" s="137" t="str">
        <f t="shared" si="419"/>
        <v>37</v>
      </c>
      <c r="HE91" s="137">
        <f t="shared" si="420"/>
        <v>73</v>
      </c>
      <c r="HF91" s="137">
        <f t="shared" si="421"/>
        <v>36.5</v>
      </c>
      <c r="HG91" s="135" t="str">
        <f t="shared" si="422"/>
        <v>E</v>
      </c>
      <c r="HH91" s="135" t="str">
        <f>VLOOKUP(RANK(HF91,$HF$10:$HF$109),Sheet1!$A$381:$B$480,2,FALSE)</f>
        <v>92nd</v>
      </c>
      <c r="HI91" s="149">
        <v>28</v>
      </c>
      <c r="HJ91" s="149">
        <v>39</v>
      </c>
      <c r="HK91" s="137">
        <f t="shared" si="423"/>
        <v>67</v>
      </c>
      <c r="HL91" s="137" t="str">
        <f t="shared" si="424"/>
        <v>53</v>
      </c>
      <c r="HM91" s="137">
        <f t="shared" si="425"/>
        <v>120</v>
      </c>
      <c r="HN91" s="137">
        <f t="shared" si="426"/>
        <v>60</v>
      </c>
      <c r="HO91" s="135" t="str">
        <f t="shared" si="427"/>
        <v>B</v>
      </c>
      <c r="HP91" s="135" t="str">
        <f>VLOOKUP(RANK(HN91,$HN$10:$HN$109),Sheet1!$A$381:$B$480,2,FALSE)</f>
        <v>68th</v>
      </c>
      <c r="HQ91" s="137"/>
      <c r="HR91" s="137"/>
      <c r="HS91" s="137">
        <f t="shared" si="428"/>
        <v>0</v>
      </c>
      <c r="HT91" s="137" t="str">
        <f t="shared" si="429"/>
        <v>0</v>
      </c>
      <c r="HU91" s="137">
        <f t="shared" si="430"/>
        <v>0</v>
      </c>
      <c r="HV91" s="137">
        <f t="shared" si="431"/>
        <v>0</v>
      </c>
      <c r="HW91" s="135" t="str">
        <f t="shared" si="432"/>
        <v>F</v>
      </c>
      <c r="HX91" s="135" t="str">
        <f>VLOOKUP(RANK(HV91,$HV$10:$HV$109),Sheet1!$A$381:$B$480,2,FALSE)</f>
        <v>1st</v>
      </c>
      <c r="HY91" s="137"/>
      <c r="HZ91" s="137"/>
      <c r="IA91" s="137">
        <f t="shared" si="433"/>
        <v>0</v>
      </c>
      <c r="IB91" s="137" t="str">
        <f t="shared" si="434"/>
        <v>0</v>
      </c>
      <c r="IC91" s="137">
        <f t="shared" si="435"/>
        <v>0</v>
      </c>
      <c r="ID91" s="137">
        <f t="shared" si="436"/>
        <v>0</v>
      </c>
      <c r="IE91" s="135" t="str">
        <f t="shared" si="437"/>
        <v>F</v>
      </c>
      <c r="IF91" s="135" t="str">
        <f>VLOOKUP(RANK(ID91,$ID$10:$ID$109),Sheet1!$A$381:$B$480,2,FALSE)</f>
        <v>1st</v>
      </c>
      <c r="IG91" s="135"/>
      <c r="IH91" s="135"/>
      <c r="II91" s="135">
        <f t="shared" si="516"/>
        <v>0</v>
      </c>
      <c r="IJ91" s="135" t="str">
        <f t="shared" si="517"/>
        <v>0</v>
      </c>
      <c r="IK91" s="135">
        <f t="shared" si="518"/>
        <v>0</v>
      </c>
      <c r="IL91" s="135">
        <f t="shared" si="519"/>
        <v>0</v>
      </c>
      <c r="IM91" s="135" t="str">
        <f t="shared" si="438"/>
        <v>F</v>
      </c>
      <c r="IN91" s="135" t="str">
        <f>VLOOKUP(RANK(IL91,$IL$10:$IL$109),Sheet1!$A$381:$B$480,2,FALSE)</f>
        <v>1st</v>
      </c>
      <c r="IO91" s="135">
        <f t="shared" si="520"/>
        <v>552</v>
      </c>
      <c r="IP91" s="177">
        <f t="shared" si="521"/>
        <v>32.470588235294102</v>
      </c>
      <c r="IQ91" s="135" t="str">
        <f>VLOOKUP(RANK(IP91,$IP$10:$IP$109),Sheet1!$A$381:$B$480,2,FALSE)</f>
        <v>59th</v>
      </c>
      <c r="IR91" s="178"/>
      <c r="IS91" s="137"/>
      <c r="IT91" s="137"/>
      <c r="IU91" s="137"/>
      <c r="IV91" s="137"/>
      <c r="IW91" s="181"/>
      <c r="IX91" s="184"/>
      <c r="IY91" s="186"/>
      <c r="IZ91" s="186">
        <f t="shared" si="439"/>
        <v>0</v>
      </c>
      <c r="JA91" s="186" t="str">
        <f t="shared" si="440"/>
        <v>67</v>
      </c>
      <c r="JB91" s="186" t="str">
        <f t="shared" si="441"/>
        <v>77</v>
      </c>
      <c r="JC91" s="186">
        <f t="shared" si="522"/>
        <v>144</v>
      </c>
      <c r="JD91" s="186">
        <f t="shared" si="523"/>
        <v>48</v>
      </c>
      <c r="JE91" s="135" t="str">
        <f t="shared" si="442"/>
        <v>D</v>
      </c>
      <c r="JF91" s="151" t="str">
        <f>VLOOKUP(RANK(JD91,$JD$10:$JD$109),Sheet1!$A$381:$B$480,2,FALSE)</f>
        <v>29th</v>
      </c>
      <c r="JG91" s="186"/>
      <c r="JH91" s="186"/>
      <c r="JI91" s="186">
        <f t="shared" si="443"/>
        <v>0</v>
      </c>
      <c r="JJ91" s="186" t="str">
        <f t="shared" si="444"/>
        <v>51</v>
      </c>
      <c r="JK91" s="186" t="str">
        <f t="shared" si="445"/>
        <v>50</v>
      </c>
      <c r="JL91" s="186">
        <f t="shared" si="524"/>
        <v>101</v>
      </c>
      <c r="JM91" s="186">
        <f t="shared" si="525"/>
        <v>33.6666666666667</v>
      </c>
      <c r="JN91" s="135" t="str">
        <f t="shared" si="446"/>
        <v>F</v>
      </c>
      <c r="JO91" s="151" t="str">
        <f>VLOOKUP(RANK(JM91,$JM$10:$JM$109),Sheet1!$A$381:$B$480,2,FALSE)</f>
        <v>41st</v>
      </c>
      <c r="JP91" s="186"/>
      <c r="JQ91" s="186"/>
      <c r="JR91" s="186">
        <f t="shared" si="447"/>
        <v>0</v>
      </c>
      <c r="JS91" s="186" t="str">
        <f t="shared" si="448"/>
        <v>38</v>
      </c>
      <c r="JT91" s="186" t="str">
        <f t="shared" si="449"/>
        <v>43</v>
      </c>
      <c r="JU91" s="186">
        <f t="shared" si="526"/>
        <v>81</v>
      </c>
      <c r="JV91" s="186">
        <f t="shared" si="527"/>
        <v>27</v>
      </c>
      <c r="JW91" s="135" t="str">
        <f t="shared" si="450"/>
        <v>F</v>
      </c>
      <c r="JX91" s="151" t="str">
        <f>VLOOKUP(RANK(JV91,$JV$10:$JV$109),Sheet1!$A$381:$B$480,2,FALSE)</f>
        <v>67th</v>
      </c>
      <c r="JY91" s="186"/>
      <c r="JZ91" s="186"/>
      <c r="KA91" s="186">
        <f t="shared" si="451"/>
        <v>0</v>
      </c>
      <c r="KB91" s="186" t="str">
        <f t="shared" si="452"/>
        <v>86</v>
      </c>
      <c r="KC91" s="186" t="str">
        <f t="shared" si="453"/>
        <v>52</v>
      </c>
      <c r="KD91" s="186">
        <f t="shared" si="528"/>
        <v>138</v>
      </c>
      <c r="KE91" s="186">
        <f t="shared" si="529"/>
        <v>46</v>
      </c>
      <c r="KF91" s="135" t="str">
        <f t="shared" si="454"/>
        <v>D</v>
      </c>
      <c r="KG91" s="151" t="str">
        <f>VLOOKUP(RANK(KE91,$KE$10:$KE$109),Sheet1!$A$381:$B$480,2,FALSE)</f>
        <v>11th</v>
      </c>
      <c r="KH91" s="186"/>
      <c r="KI91" s="186"/>
      <c r="KJ91" s="186">
        <f t="shared" si="455"/>
        <v>0</v>
      </c>
      <c r="KK91" s="186" t="str">
        <f t="shared" si="456"/>
        <v>31</v>
      </c>
      <c r="KL91" s="186" t="str">
        <f t="shared" si="457"/>
        <v>37</v>
      </c>
      <c r="KM91" s="186">
        <f t="shared" si="530"/>
        <v>68</v>
      </c>
      <c r="KN91" s="186">
        <f t="shared" si="531"/>
        <v>22.6666666666667</v>
      </c>
      <c r="KO91" s="135" t="str">
        <f t="shared" si="458"/>
        <v>F</v>
      </c>
      <c r="KP91" s="151" t="str">
        <f>VLOOKUP(RANK(KN91,$KN$10:$KN$109),Sheet1!$A$381:$B$480,2,FALSE)</f>
        <v>90th</v>
      </c>
      <c r="KQ91" s="186"/>
      <c r="KR91" s="186"/>
      <c r="KS91" s="186">
        <f t="shared" si="459"/>
        <v>0</v>
      </c>
      <c r="KT91" s="186" t="str">
        <f t="shared" si="460"/>
        <v>0</v>
      </c>
      <c r="KU91" s="186" t="str">
        <f t="shared" si="461"/>
        <v>0</v>
      </c>
      <c r="KV91" s="186">
        <f t="shared" si="532"/>
        <v>0</v>
      </c>
      <c r="KW91" s="186">
        <f t="shared" si="533"/>
        <v>0</v>
      </c>
      <c r="KX91" s="135" t="str">
        <f t="shared" si="462"/>
        <v>F</v>
      </c>
      <c r="KY91" s="151" t="str">
        <f>VLOOKUP(RANK(KW91,$KW$10:$KW$109),Sheet1!$A$381:$B$480,2,FALSE)</f>
        <v>1st</v>
      </c>
      <c r="KZ91" s="186"/>
      <c r="LA91" s="186"/>
      <c r="LB91" s="186">
        <f t="shared" si="463"/>
        <v>0</v>
      </c>
      <c r="LC91" s="186" t="str">
        <f t="shared" si="464"/>
        <v>0</v>
      </c>
      <c r="LD91" s="186" t="str">
        <f t="shared" si="465"/>
        <v>0</v>
      </c>
      <c r="LE91" s="186">
        <f t="shared" si="534"/>
        <v>0</v>
      </c>
      <c r="LF91" s="186">
        <f t="shared" si="535"/>
        <v>0</v>
      </c>
      <c r="LG91" s="135" t="str">
        <f t="shared" si="466"/>
        <v>F</v>
      </c>
      <c r="LH91" s="151" t="str">
        <f>VLOOKUP(RANK(LF91,$LF$10:$LF$109),Sheet1!$A$381:$B$480,2,FALSE)</f>
        <v>1st</v>
      </c>
      <c r="LI91" s="186"/>
      <c r="LJ91" s="186"/>
      <c r="LK91" s="186">
        <f t="shared" si="467"/>
        <v>0</v>
      </c>
      <c r="LL91" s="186" t="str">
        <f t="shared" si="468"/>
        <v>51</v>
      </c>
      <c r="LM91" s="186" t="str">
        <f t="shared" si="469"/>
        <v>52</v>
      </c>
      <c r="LN91" s="186">
        <f t="shared" si="536"/>
        <v>103</v>
      </c>
      <c r="LO91" s="186">
        <f t="shared" si="537"/>
        <v>34.3333333333333</v>
      </c>
      <c r="LP91" s="135" t="str">
        <f t="shared" si="470"/>
        <v>F</v>
      </c>
      <c r="LQ91" s="151" t="str">
        <f>VLOOKUP(RANK(LO91,$LO$10:$LO$109),Sheet1!$A$381:$B$480,2,FALSE)</f>
        <v>50th</v>
      </c>
      <c r="LR91" s="186"/>
      <c r="LS91" s="186"/>
      <c r="LT91" s="186">
        <f t="shared" si="471"/>
        <v>0</v>
      </c>
      <c r="LU91" s="186" t="str">
        <f t="shared" si="472"/>
        <v>40</v>
      </c>
      <c r="LV91" s="186" t="str">
        <f t="shared" si="473"/>
        <v>52</v>
      </c>
      <c r="LW91" s="186">
        <f t="shared" si="538"/>
        <v>92</v>
      </c>
      <c r="LX91" s="186">
        <f t="shared" si="539"/>
        <v>30.6666666666667</v>
      </c>
      <c r="LY91" s="135" t="str">
        <f t="shared" si="474"/>
        <v>F</v>
      </c>
      <c r="LZ91" s="151" t="str">
        <f>VLOOKUP(RANK(LX91,$LX$10:$LX$109),Sheet1!$A$381:$B$480,2,FALSE)</f>
        <v>74th</v>
      </c>
      <c r="MA91" s="186"/>
      <c r="MB91" s="186"/>
      <c r="MC91" s="186">
        <f t="shared" si="475"/>
        <v>0</v>
      </c>
      <c r="MD91" s="186" t="str">
        <f t="shared" si="476"/>
        <v>24</v>
      </c>
      <c r="ME91" s="186" t="str">
        <f t="shared" si="477"/>
        <v>33</v>
      </c>
      <c r="MF91" s="183">
        <f t="shared" si="540"/>
        <v>57</v>
      </c>
      <c r="MG91" s="151">
        <f t="shared" si="541"/>
        <v>19</v>
      </c>
      <c r="MH91" s="135" t="str">
        <f t="shared" si="478"/>
        <v>F</v>
      </c>
      <c r="MI91" s="151" t="str">
        <f>VLOOKUP(RANK(MG91,$MG$10:$MG$109),Sheet1!$A$381:$B$480,2,FALSE)</f>
        <v>87th</v>
      </c>
      <c r="MJ91" s="186"/>
      <c r="MK91" s="186"/>
      <c r="ML91" s="186">
        <f t="shared" si="479"/>
        <v>0</v>
      </c>
      <c r="MM91" s="186" t="str">
        <f t="shared" si="480"/>
        <v>50</v>
      </c>
      <c r="MN91" s="186" t="str">
        <f t="shared" si="481"/>
        <v>44</v>
      </c>
      <c r="MO91" s="186">
        <f t="shared" si="542"/>
        <v>94</v>
      </c>
      <c r="MP91" s="186">
        <f t="shared" si="543"/>
        <v>31.3333333333333</v>
      </c>
      <c r="MQ91" s="135" t="str">
        <f t="shared" si="482"/>
        <v>F</v>
      </c>
      <c r="MR91" s="151" t="str">
        <f>VLOOKUP(RANK(MP91,$MP$10:$MP$109),Sheet1!$A$381:$B$480,2,FALSE)</f>
        <v>70th</v>
      </c>
      <c r="MS91" s="186"/>
      <c r="MT91" s="186"/>
      <c r="MU91" s="186">
        <f t="shared" si="483"/>
        <v>0</v>
      </c>
      <c r="MV91" s="186" t="str">
        <f t="shared" si="484"/>
        <v>29</v>
      </c>
      <c r="MW91" s="186" t="str">
        <f t="shared" si="485"/>
        <v>44</v>
      </c>
      <c r="MX91" s="186">
        <f t="shared" si="544"/>
        <v>73</v>
      </c>
      <c r="MY91" s="186">
        <f t="shared" si="545"/>
        <v>24.3333333333333</v>
      </c>
      <c r="MZ91" s="135" t="str">
        <f t="shared" si="486"/>
        <v>F</v>
      </c>
      <c r="NA91" s="151" t="str">
        <f>VLOOKUP(RANK(MY91,$MY$10:$MY$109),Sheet1!$A$381:$B$480,2,FALSE)</f>
        <v>83rd</v>
      </c>
      <c r="NB91" s="186"/>
      <c r="NC91" s="186"/>
      <c r="ND91" s="186">
        <f t="shared" si="487"/>
        <v>0</v>
      </c>
      <c r="NE91" s="186" t="str">
        <f t="shared" si="488"/>
        <v>37</v>
      </c>
      <c r="NF91" s="186" t="str">
        <f t="shared" si="489"/>
        <v>36</v>
      </c>
      <c r="NG91" s="186">
        <f t="shared" si="546"/>
        <v>73</v>
      </c>
      <c r="NH91" s="186">
        <f t="shared" si="547"/>
        <v>24.3333333333333</v>
      </c>
      <c r="NI91" s="135" t="str">
        <f t="shared" si="490"/>
        <v>F</v>
      </c>
      <c r="NJ91" s="151" t="str">
        <f>VLOOKUP(RANK(NH91,$NH$10:$NH$109),Sheet1!$A$381:$B$480,2,FALSE)</f>
        <v>92nd</v>
      </c>
      <c r="NK91" s="186"/>
      <c r="NL91" s="186"/>
      <c r="NM91" s="186">
        <f t="shared" si="491"/>
        <v>0</v>
      </c>
      <c r="NN91" s="186" t="str">
        <f t="shared" si="492"/>
        <v>53</v>
      </c>
      <c r="NO91" s="186" t="str">
        <f t="shared" si="493"/>
        <v>67</v>
      </c>
      <c r="NP91" s="186">
        <f t="shared" si="548"/>
        <v>120</v>
      </c>
      <c r="NQ91" s="186">
        <f t="shared" si="494"/>
        <v>40</v>
      </c>
      <c r="NR91" s="135" t="str">
        <f t="shared" si="495"/>
        <v>D</v>
      </c>
      <c r="NS91" s="151" t="str">
        <f>VLOOKUP(RANK(NQ91,$NQ$10:$NQ$109),Sheet1!$A$381:$B$480,2,FALSE)</f>
        <v>68th</v>
      </c>
      <c r="NT91" s="186"/>
      <c r="NU91" s="186"/>
      <c r="NV91" s="186">
        <f t="shared" si="496"/>
        <v>0</v>
      </c>
      <c r="NW91" s="186" t="str">
        <f t="shared" si="497"/>
        <v>0</v>
      </c>
      <c r="NX91" s="186" t="str">
        <f t="shared" si="498"/>
        <v>0</v>
      </c>
      <c r="NY91" s="186">
        <f t="shared" si="549"/>
        <v>0</v>
      </c>
      <c r="NZ91" s="186">
        <f t="shared" si="499"/>
        <v>0</v>
      </c>
      <c r="OA91" s="135" t="str">
        <f t="shared" si="500"/>
        <v>F</v>
      </c>
      <c r="OB91" s="151" t="str">
        <f>VLOOKUP(RANK(NZ91,$NZ$10:$NZ$109),Sheet1!$A$381:$B$480,2,FALSE)</f>
        <v>1st</v>
      </c>
      <c r="OC91" s="186"/>
      <c r="OD91" s="186"/>
      <c r="OE91" s="186">
        <f t="shared" si="501"/>
        <v>0</v>
      </c>
      <c r="OF91" s="186" t="str">
        <f t="shared" si="502"/>
        <v>0</v>
      </c>
      <c r="OG91" s="186" t="str">
        <f t="shared" si="503"/>
        <v>0</v>
      </c>
      <c r="OH91" s="186">
        <f t="shared" si="550"/>
        <v>0</v>
      </c>
      <c r="OI91" s="186">
        <f t="shared" si="504"/>
        <v>0</v>
      </c>
      <c r="OJ91" s="135" t="str">
        <f t="shared" si="505"/>
        <v>F</v>
      </c>
      <c r="OK91" s="151" t="str">
        <f>VLOOKUP(RANK(OI91,$OI$10:$OI$109),Sheet1!$A$381:$B$480,2,FALSE)</f>
        <v>1st</v>
      </c>
      <c r="OL91" s="151"/>
      <c r="OM91" s="151"/>
      <c r="ON91" s="151">
        <f t="shared" si="551"/>
        <v>0</v>
      </c>
      <c r="OO91" s="151" t="str">
        <f t="shared" si="552"/>
        <v>0</v>
      </c>
      <c r="OP91" s="151" t="str">
        <f t="shared" si="553"/>
        <v>0</v>
      </c>
      <c r="OQ91" s="151">
        <f t="shared" si="554"/>
        <v>0</v>
      </c>
      <c r="OR91" s="151">
        <f t="shared" si="555"/>
        <v>0</v>
      </c>
      <c r="OS91" s="135" t="str">
        <f t="shared" si="506"/>
        <v>F</v>
      </c>
      <c r="OT91" s="151" t="str">
        <f>VLOOKUP(RANK(OR91,$OI$10:$OI$109),Sheet1!$A$381:$B$480,2,FALSE)</f>
        <v>1st</v>
      </c>
      <c r="OU91" s="151">
        <f t="shared" si="556"/>
        <v>381.33333333333297</v>
      </c>
      <c r="OV91" s="151">
        <f t="shared" si="557"/>
        <v>22.431372549019599</v>
      </c>
      <c r="OW91" s="151" t="str">
        <f>VLOOKUP(RANK(OV91,$OV$10:$OV$109),Sheet1!$A$381:$B$480,2,FALSE)</f>
        <v>65th</v>
      </c>
      <c r="OX91" s="151"/>
      <c r="OY91" s="186"/>
      <c r="OZ91" s="186"/>
      <c r="PA91" s="186"/>
      <c r="PB91" s="186"/>
    </row>
    <row r="92" spans="1:418" s="118" customFormat="1" ht="18.75">
      <c r="A92" s="131">
        <v>83</v>
      </c>
      <c r="B92" s="132" t="s">
        <v>182</v>
      </c>
      <c r="C92" s="133" t="s">
        <v>97</v>
      </c>
      <c r="D92" s="134">
        <v>32</v>
      </c>
      <c r="E92" s="134">
        <v>39</v>
      </c>
      <c r="F92" s="137">
        <f t="shared" si="315"/>
        <v>71</v>
      </c>
      <c r="G92" s="137">
        <f t="shared" si="316"/>
        <v>71</v>
      </c>
      <c r="H92" s="135" t="str">
        <f t="shared" si="507"/>
        <v>B</v>
      </c>
      <c r="I92" s="135" t="str">
        <f>VLOOKUP(RANK(G92,$G$10:$G$109),Sheet1!$A$381:$B$480,2,FALSE)</f>
        <v>30th</v>
      </c>
      <c r="J92" s="134">
        <v>30</v>
      </c>
      <c r="K92" s="134">
        <v>25</v>
      </c>
      <c r="L92" s="137">
        <f t="shared" si="317"/>
        <v>55</v>
      </c>
      <c r="M92" s="137">
        <f t="shared" si="318"/>
        <v>55</v>
      </c>
      <c r="N92" s="135" t="str">
        <f t="shared" si="319"/>
        <v>C</v>
      </c>
      <c r="O92" s="141" t="str">
        <f>VLOOKUP(RANK(M92,$M$10:$M$109),Sheet1!$A$381:$B$480,2,FALSE)</f>
        <v>36th</v>
      </c>
      <c r="P92" s="144">
        <v>25</v>
      </c>
      <c r="Q92" s="144">
        <v>5</v>
      </c>
      <c r="R92" s="147">
        <f t="shared" si="320"/>
        <v>30</v>
      </c>
      <c r="S92" s="137">
        <f t="shared" si="321"/>
        <v>30</v>
      </c>
      <c r="T92" s="135" t="str">
        <f t="shared" si="322"/>
        <v>F</v>
      </c>
      <c r="U92" s="135" t="str">
        <f>VLOOKUP(RANK(S92,$S$10:$S$109),Sheet1!$A$381:$B$480,2,FALSE)</f>
        <v>80th</v>
      </c>
      <c r="V92" s="134">
        <v>34</v>
      </c>
      <c r="W92" s="134">
        <v>28</v>
      </c>
      <c r="X92" s="137">
        <f t="shared" si="559"/>
        <v>62</v>
      </c>
      <c r="Y92" s="137">
        <f t="shared" si="558"/>
        <v>62</v>
      </c>
      <c r="Z92" s="135" t="str">
        <f t="shared" si="323"/>
        <v>B</v>
      </c>
      <c r="AA92" s="135" t="str">
        <f>VLOOKUP(RANK(Y92,$Y$10:$Y$109),Sheet1!$A$381:$B$480,2,FALSE)</f>
        <v>31st</v>
      </c>
      <c r="AB92" s="134">
        <v>29</v>
      </c>
      <c r="AC92" s="134">
        <v>2</v>
      </c>
      <c r="AD92" s="137">
        <f t="shared" si="324"/>
        <v>31</v>
      </c>
      <c r="AE92" s="137">
        <f t="shared" si="325"/>
        <v>31</v>
      </c>
      <c r="AF92" s="135" t="str">
        <f t="shared" si="326"/>
        <v>F</v>
      </c>
      <c r="AG92" s="135" t="str">
        <f>VLOOKUP(RANK(AE92,$AE$10:$AE$109),Sheet1!$A$381:$B$480,2,FALSE)</f>
        <v>90th</v>
      </c>
      <c r="AH92" s="137"/>
      <c r="AI92" s="137"/>
      <c r="AJ92" s="137">
        <f t="shared" si="327"/>
        <v>0</v>
      </c>
      <c r="AK92" s="137">
        <f t="shared" si="328"/>
        <v>0</v>
      </c>
      <c r="AL92" s="135" t="str">
        <f t="shared" si="329"/>
        <v>F</v>
      </c>
      <c r="AM92" s="135" t="str">
        <f>VLOOKUP(RANK(AK92,$AK$10:$AK$109),Sheet1!$A$381:$B$480,2,FALSE)</f>
        <v>1st</v>
      </c>
      <c r="AN92" s="134"/>
      <c r="AO92" s="139"/>
      <c r="AP92" s="137">
        <f t="shared" si="330"/>
        <v>0</v>
      </c>
      <c r="AQ92" s="137">
        <f t="shared" si="331"/>
        <v>0</v>
      </c>
      <c r="AR92" s="135" t="str">
        <f t="shared" si="332"/>
        <v>F</v>
      </c>
      <c r="AS92" s="135" t="str">
        <f>VLOOKUP(RANK(AQ92,$AQ$10:$AQ$109),Sheet1!$A$381:$B$480,2,FALSE)</f>
        <v>1st</v>
      </c>
      <c r="AT92" s="144">
        <v>24</v>
      </c>
      <c r="AU92" s="144">
        <v>26</v>
      </c>
      <c r="AV92" s="137">
        <f t="shared" si="333"/>
        <v>50</v>
      </c>
      <c r="AW92" s="137">
        <f t="shared" si="334"/>
        <v>50</v>
      </c>
      <c r="AX92" s="135" t="str">
        <f t="shared" si="335"/>
        <v>C</v>
      </c>
      <c r="AY92" s="141" t="str">
        <f>VLOOKUP(RANK(AW92,$AW$10:$AW$109),Sheet1!$A$381:$B$480,2,FALSE)</f>
        <v>58th</v>
      </c>
      <c r="AZ92" s="144">
        <v>32</v>
      </c>
      <c r="BA92" s="144">
        <v>19</v>
      </c>
      <c r="BB92" s="147">
        <f t="shared" si="336"/>
        <v>51</v>
      </c>
      <c r="BC92" s="137">
        <f t="shared" si="337"/>
        <v>51</v>
      </c>
      <c r="BD92" s="135" t="str">
        <f t="shared" si="338"/>
        <v>C</v>
      </c>
      <c r="BE92" s="135" t="str">
        <f>VLOOKUP(RANK(BC92,$BC$10:$BC$109),Sheet1!$A$381:$B$480,2,FALSE)</f>
        <v>54th</v>
      </c>
      <c r="BF92" s="144">
        <v>12</v>
      </c>
      <c r="BG92" s="144">
        <v>12</v>
      </c>
      <c r="BH92" s="137">
        <f t="shared" si="339"/>
        <v>24</v>
      </c>
      <c r="BI92" s="137">
        <f t="shared" si="340"/>
        <v>24</v>
      </c>
      <c r="BJ92" s="135" t="str">
        <f t="shared" si="341"/>
        <v>F</v>
      </c>
      <c r="BK92" s="141" t="str">
        <f>VLOOKUP(RANK(BI92,$BI$10:$BI$109),Sheet1!$A$381:$B$480,2,FALSE)</f>
        <v>83rd</v>
      </c>
      <c r="BL92" s="149">
        <v>27</v>
      </c>
      <c r="BM92" s="149">
        <v>27</v>
      </c>
      <c r="BN92" s="147">
        <f t="shared" si="342"/>
        <v>54</v>
      </c>
      <c r="BO92" s="137">
        <f t="shared" si="343"/>
        <v>54</v>
      </c>
      <c r="BP92" s="135" t="str">
        <f t="shared" si="344"/>
        <v>C</v>
      </c>
      <c r="BQ92" s="141" t="str">
        <f>VLOOKUP(RANK(BO92,$BO$10:$BO$109),Sheet1!$A$381:$B$480,2,FALSE)</f>
        <v>23rd</v>
      </c>
      <c r="BR92" s="149">
        <v>27</v>
      </c>
      <c r="BS92" s="149">
        <v>6</v>
      </c>
      <c r="BT92" s="147">
        <f t="shared" si="345"/>
        <v>33</v>
      </c>
      <c r="BU92" s="137">
        <f t="shared" si="346"/>
        <v>33</v>
      </c>
      <c r="BV92" s="135" t="str">
        <f t="shared" si="347"/>
        <v>F</v>
      </c>
      <c r="BW92" s="135" t="str">
        <f>VLOOKUP(RANK(BU92,$BU$10:$BU$109),Sheet1!$A$381:$B$480,2,FALSE)</f>
        <v>84th</v>
      </c>
      <c r="BX92" s="149">
        <v>34</v>
      </c>
      <c r="BY92" s="149">
        <v>10</v>
      </c>
      <c r="BZ92" s="137">
        <f t="shared" si="348"/>
        <v>44</v>
      </c>
      <c r="CA92" s="137">
        <f t="shared" si="349"/>
        <v>44</v>
      </c>
      <c r="CB92" s="135" t="str">
        <f t="shared" si="350"/>
        <v>D</v>
      </c>
      <c r="CC92" s="135" t="str">
        <f>VLOOKUP(RANK(CA92,$CA$10:$CA$109),Sheet1!$A$381:$B$480,2,FALSE)</f>
        <v>20th</v>
      </c>
      <c r="CD92" s="149">
        <v>25</v>
      </c>
      <c r="CE92" s="149">
        <v>30</v>
      </c>
      <c r="CF92" s="137">
        <f t="shared" si="351"/>
        <v>55</v>
      </c>
      <c r="CG92" s="137">
        <f t="shared" si="352"/>
        <v>55</v>
      </c>
      <c r="CH92" s="135" t="str">
        <f t="shared" si="353"/>
        <v>C</v>
      </c>
      <c r="CI92" s="135" t="str">
        <f>VLOOKUP(RANK(CG92,$CG$10:$CG$109),Sheet1!$A$381:$B$480,2,FALSE)</f>
        <v>46th</v>
      </c>
      <c r="CJ92" s="137"/>
      <c r="CK92" s="137"/>
      <c r="CL92" s="137">
        <f t="shared" si="354"/>
        <v>0</v>
      </c>
      <c r="CM92" s="137">
        <f t="shared" si="355"/>
        <v>0</v>
      </c>
      <c r="CN92" s="135" t="str">
        <f t="shared" si="356"/>
        <v>F</v>
      </c>
      <c r="CO92" s="135" t="str">
        <f>VLOOKUP(RANK(CM92,$CM$10:$CM$109),Sheet1!$A$381:$B$480,2,FALSE)</f>
        <v>1st</v>
      </c>
      <c r="CP92" s="137"/>
      <c r="CQ92" s="137"/>
      <c r="CR92" s="137">
        <f t="shared" si="357"/>
        <v>0</v>
      </c>
      <c r="CS92" s="137">
        <f t="shared" si="358"/>
        <v>0</v>
      </c>
      <c r="CT92" s="135" t="str">
        <f t="shared" si="359"/>
        <v>F</v>
      </c>
      <c r="CU92" s="135" t="str">
        <f>VLOOKUP(RANK(CS92,$CS$10:$CS$109),Sheet1!$A$381:$B$480,2,FALSE)</f>
        <v>1st</v>
      </c>
      <c r="CV92" s="151"/>
      <c r="CW92" s="135"/>
      <c r="CX92" s="151">
        <f t="shared" si="508"/>
        <v>0</v>
      </c>
      <c r="CY92" s="151">
        <f t="shared" si="509"/>
        <v>0</v>
      </c>
      <c r="CZ92" s="135" t="str">
        <f t="shared" si="360"/>
        <v>F</v>
      </c>
      <c r="DA92" s="135" t="str">
        <f>VLOOKUP(RANK(CY92,$CY$10:$CY$109),Sheet1!$A$381:$B$480,2,FALSE)</f>
        <v>1st</v>
      </c>
      <c r="DB92" s="135"/>
      <c r="DC92" s="151">
        <f t="shared" si="510"/>
        <v>560</v>
      </c>
      <c r="DD92" s="151">
        <f t="shared" si="511"/>
        <v>32.941176470588204</v>
      </c>
      <c r="DE92" s="135" t="str">
        <f>VLOOKUP(RANK(DD92,$DD$10:$DD$109),Sheet1!$A$381:$B$480,2,FALSE)</f>
        <v>71st</v>
      </c>
      <c r="DF92" s="137"/>
      <c r="DG92" s="160">
        <f t="shared" si="361"/>
        <v>592.94117647058795</v>
      </c>
      <c r="DH92" s="119"/>
      <c r="DI92" s="162">
        <v>31</v>
      </c>
      <c r="DJ92" s="162">
        <v>56</v>
      </c>
      <c r="DK92" s="137">
        <f t="shared" si="362"/>
        <v>87</v>
      </c>
      <c r="DL92" s="137" t="str">
        <f t="shared" si="363"/>
        <v>71</v>
      </c>
      <c r="DM92" s="137">
        <f t="shared" si="364"/>
        <v>158</v>
      </c>
      <c r="DN92" s="137">
        <f t="shared" si="365"/>
        <v>79</v>
      </c>
      <c r="DO92" s="135" t="str">
        <f t="shared" si="366"/>
        <v>A</v>
      </c>
      <c r="DP92" s="135" t="str">
        <f>VLOOKUP(RANK(DN92,$DN$10:$DN$109),Sheet1!$A$381:$B$480,2,FALSE)</f>
        <v>7th</v>
      </c>
      <c r="DQ92" s="166">
        <v>29</v>
      </c>
      <c r="DR92" s="166">
        <v>26</v>
      </c>
      <c r="DS92" s="137">
        <f t="shared" si="367"/>
        <v>55</v>
      </c>
      <c r="DT92" s="137" t="str">
        <f t="shared" si="368"/>
        <v>55</v>
      </c>
      <c r="DU92" s="137">
        <f t="shared" si="369"/>
        <v>110</v>
      </c>
      <c r="DV92" s="137">
        <f t="shared" si="370"/>
        <v>55</v>
      </c>
      <c r="DW92" s="135" t="str">
        <f t="shared" si="371"/>
        <v>C</v>
      </c>
      <c r="DX92" s="135" t="str">
        <f>VLOOKUP(RANK(DV92,$DV$10:$DV$109),Sheet1!$A$381:$B$480,2,FALSE)</f>
        <v>26th</v>
      </c>
      <c r="DY92" s="168">
        <v>25</v>
      </c>
      <c r="DZ92" s="168">
        <v>19</v>
      </c>
      <c r="EA92" s="137">
        <f t="shared" si="372"/>
        <v>44</v>
      </c>
      <c r="EB92" s="137" t="str">
        <f t="shared" si="373"/>
        <v>30</v>
      </c>
      <c r="EC92" s="137">
        <f t="shared" si="374"/>
        <v>74</v>
      </c>
      <c r="ED92" s="137">
        <f t="shared" si="375"/>
        <v>37</v>
      </c>
      <c r="EE92" s="135" t="str">
        <f t="shared" si="376"/>
        <v>E</v>
      </c>
      <c r="EF92" s="135" t="str">
        <f>VLOOKUP(RANK(ED92,$ED$10:$ED$109),Sheet1!$A$381:$B$480,2,FALSE)</f>
        <v>76th</v>
      </c>
      <c r="EG92" s="162">
        <v>21</v>
      </c>
      <c r="EH92" s="162">
        <v>30</v>
      </c>
      <c r="EI92" s="137">
        <f t="shared" si="377"/>
        <v>51</v>
      </c>
      <c r="EJ92" s="137" t="str">
        <f t="shared" si="378"/>
        <v>62</v>
      </c>
      <c r="EK92" s="137">
        <f t="shared" si="379"/>
        <v>113</v>
      </c>
      <c r="EL92" s="137">
        <f t="shared" si="380"/>
        <v>56.5</v>
      </c>
      <c r="EM92" s="135" t="str">
        <f t="shared" si="381"/>
        <v>C</v>
      </c>
      <c r="EN92" s="135" t="str">
        <f>VLOOKUP(RANK(EL92,$EL$10:$EL$109),Sheet1!$A$381:$B$480,2,FALSE)</f>
        <v>45th</v>
      </c>
      <c r="EO92" s="162">
        <v>29</v>
      </c>
      <c r="EP92" s="162">
        <v>14</v>
      </c>
      <c r="EQ92" s="137">
        <f t="shared" si="382"/>
        <v>43</v>
      </c>
      <c r="ER92" s="137" t="str">
        <f t="shared" si="383"/>
        <v>31</v>
      </c>
      <c r="ES92" s="137">
        <f t="shared" si="384"/>
        <v>74</v>
      </c>
      <c r="ET92" s="137">
        <f t="shared" si="385"/>
        <v>37</v>
      </c>
      <c r="EU92" s="135" t="str">
        <f t="shared" si="386"/>
        <v>E</v>
      </c>
      <c r="EV92" s="135" t="str">
        <f>VLOOKUP(RANK(ET92,$ET$10:$ET$109),Sheet1!$A$381:$B$480,2,FALSE)</f>
        <v>81st</v>
      </c>
      <c r="EW92" s="137"/>
      <c r="EX92" s="137"/>
      <c r="EY92" s="137">
        <f t="shared" si="387"/>
        <v>0</v>
      </c>
      <c r="EZ92" s="137" t="str">
        <f t="shared" si="388"/>
        <v>0</v>
      </c>
      <c r="FA92" s="137">
        <f t="shared" si="389"/>
        <v>0</v>
      </c>
      <c r="FB92" s="137">
        <f t="shared" si="390"/>
        <v>0</v>
      </c>
      <c r="FC92" s="135" t="str">
        <f t="shared" si="391"/>
        <v>F</v>
      </c>
      <c r="FD92" s="135" t="str">
        <f>VLOOKUP(RANK(FB92,$FB$10:$FB$109),Sheet1!$A$381:$B$480,2,FALSE)</f>
        <v>1st</v>
      </c>
      <c r="FE92" s="137"/>
      <c r="FF92" s="137"/>
      <c r="FG92" s="137">
        <f t="shared" si="392"/>
        <v>0</v>
      </c>
      <c r="FH92" s="137" t="str">
        <f t="shared" si="393"/>
        <v>0</v>
      </c>
      <c r="FI92" s="137">
        <f t="shared" si="394"/>
        <v>0</v>
      </c>
      <c r="FJ92" s="137">
        <f t="shared" si="395"/>
        <v>0</v>
      </c>
      <c r="FK92" s="135" t="str">
        <f t="shared" si="396"/>
        <v>F</v>
      </c>
      <c r="FL92" s="135" t="str">
        <f>VLOOKUP(RANK(FJ92,$FJ$10:$FJ$109),Sheet1!$A$381:$B$480,2,FALSE)</f>
        <v>1st</v>
      </c>
      <c r="FM92" s="166">
        <v>28</v>
      </c>
      <c r="FN92" s="166">
        <v>22</v>
      </c>
      <c r="FO92" s="137">
        <f t="shared" si="397"/>
        <v>50</v>
      </c>
      <c r="FP92" s="137" t="str">
        <f t="shared" si="398"/>
        <v>50</v>
      </c>
      <c r="FQ92" s="137">
        <f t="shared" si="399"/>
        <v>100</v>
      </c>
      <c r="FR92" s="137">
        <f t="shared" si="400"/>
        <v>50</v>
      </c>
      <c r="FS92" s="135" t="str">
        <f t="shared" si="401"/>
        <v>C</v>
      </c>
      <c r="FT92" s="135" t="str">
        <f>VLOOKUP(RANK(FR92,$FR$10:$FR$109),Sheet1!$A$381:$B$480,2,FALSE)</f>
        <v>77th</v>
      </c>
      <c r="FU92" s="149">
        <v>27</v>
      </c>
      <c r="FV92" s="149">
        <v>20</v>
      </c>
      <c r="FW92" s="137">
        <f t="shared" si="402"/>
        <v>47</v>
      </c>
      <c r="FX92" s="137" t="str">
        <f t="shared" si="403"/>
        <v>51</v>
      </c>
      <c r="FY92" s="137">
        <f t="shared" si="512"/>
        <v>47</v>
      </c>
      <c r="FZ92" s="137">
        <f t="shared" si="404"/>
        <v>23.5</v>
      </c>
      <c r="GA92" s="135" t="str">
        <f t="shared" si="405"/>
        <v>F</v>
      </c>
      <c r="GB92" s="135" t="str">
        <f>VLOOKUP(RANK(FZ92,$FZ$10:$FZ$109),Sheet1!$A$381:$B$480,2,FALSE)</f>
        <v>57th</v>
      </c>
      <c r="GC92" s="166">
        <v>17</v>
      </c>
      <c r="GD92" s="166">
        <v>28</v>
      </c>
      <c r="GE92" s="137">
        <f t="shared" si="406"/>
        <v>45</v>
      </c>
      <c r="GF92" s="137" t="str">
        <f t="shared" si="407"/>
        <v>24</v>
      </c>
      <c r="GG92" s="135">
        <f t="shared" si="513"/>
        <v>69</v>
      </c>
      <c r="GH92" s="137">
        <f t="shared" si="514"/>
        <v>34.5</v>
      </c>
      <c r="GI92" s="135" t="str">
        <f t="shared" si="408"/>
        <v>F</v>
      </c>
      <c r="GJ92" s="135" t="str">
        <f>VLOOKUP(RANK(GH92,$GH$10:$GH$109),Sheet1!$A$381:$B$480,2,FALSE)</f>
        <v>62nd</v>
      </c>
      <c r="GK92" s="166">
        <v>28</v>
      </c>
      <c r="GL92" s="166">
        <v>19</v>
      </c>
      <c r="GM92" s="137">
        <f t="shared" si="409"/>
        <v>47</v>
      </c>
      <c r="GN92" s="137" t="str">
        <f t="shared" si="410"/>
        <v>54</v>
      </c>
      <c r="GO92" s="135">
        <f t="shared" si="515"/>
        <v>101</v>
      </c>
      <c r="GP92" s="137">
        <f t="shared" si="411"/>
        <v>50.5</v>
      </c>
      <c r="GQ92" s="135" t="str">
        <f t="shared" si="412"/>
        <v>C</v>
      </c>
      <c r="GR92" s="135" t="str">
        <f>VLOOKUP(RANK(GP92,$GP$10:$GP$109),Sheet1!$A$381:$B$480,2,FALSE)</f>
        <v>19th</v>
      </c>
      <c r="GS92" s="166">
        <v>29</v>
      </c>
      <c r="GT92" s="166">
        <v>30</v>
      </c>
      <c r="GU92" s="137">
        <f t="shared" si="413"/>
        <v>59</v>
      </c>
      <c r="GV92" s="137" t="str">
        <f t="shared" si="414"/>
        <v>33</v>
      </c>
      <c r="GW92" s="137">
        <f t="shared" si="415"/>
        <v>92</v>
      </c>
      <c r="GX92" s="137">
        <f t="shared" si="416"/>
        <v>46</v>
      </c>
      <c r="GY92" s="135" t="str">
        <f t="shared" si="417"/>
        <v>D</v>
      </c>
      <c r="GZ92" s="135" t="str">
        <f>VLOOKUP(RANK(GX92,$GX$10:$GX$109),Sheet1!$A$381:$B$480,2,FALSE)</f>
        <v>58th</v>
      </c>
      <c r="HA92" s="166">
        <v>29</v>
      </c>
      <c r="HB92" s="166">
        <v>7</v>
      </c>
      <c r="HC92" s="137">
        <f t="shared" si="418"/>
        <v>36</v>
      </c>
      <c r="HD92" s="137" t="str">
        <f t="shared" si="419"/>
        <v>44</v>
      </c>
      <c r="HE92" s="137">
        <f t="shared" si="420"/>
        <v>80</v>
      </c>
      <c r="HF92" s="137">
        <f t="shared" si="421"/>
        <v>40</v>
      </c>
      <c r="HG92" s="135" t="str">
        <f t="shared" si="422"/>
        <v>D</v>
      </c>
      <c r="HH92" s="135" t="str">
        <f>VLOOKUP(RANK(HF92,$HF$10:$HF$109),Sheet1!$A$381:$B$480,2,FALSE)</f>
        <v>66th</v>
      </c>
      <c r="HI92" s="149">
        <v>27</v>
      </c>
      <c r="HJ92" s="149">
        <v>50</v>
      </c>
      <c r="HK92" s="137">
        <f t="shared" si="423"/>
        <v>77</v>
      </c>
      <c r="HL92" s="137" t="str">
        <f t="shared" si="424"/>
        <v>55</v>
      </c>
      <c r="HM92" s="137">
        <f t="shared" si="425"/>
        <v>132</v>
      </c>
      <c r="HN92" s="137">
        <f t="shared" si="426"/>
        <v>66</v>
      </c>
      <c r="HO92" s="135" t="str">
        <f t="shared" si="427"/>
        <v>B</v>
      </c>
      <c r="HP92" s="135" t="str">
        <f>VLOOKUP(RANK(HN92,$HN$10:$HN$109),Sheet1!$A$381:$B$480,2,FALSE)</f>
        <v>42nd</v>
      </c>
      <c r="HQ92" s="137"/>
      <c r="HR92" s="137"/>
      <c r="HS92" s="137">
        <f t="shared" si="428"/>
        <v>0</v>
      </c>
      <c r="HT92" s="137" t="str">
        <f t="shared" si="429"/>
        <v>0</v>
      </c>
      <c r="HU92" s="137">
        <f t="shared" si="430"/>
        <v>0</v>
      </c>
      <c r="HV92" s="137">
        <f t="shared" si="431"/>
        <v>0</v>
      </c>
      <c r="HW92" s="135" t="str">
        <f t="shared" si="432"/>
        <v>F</v>
      </c>
      <c r="HX92" s="135" t="str">
        <f>VLOOKUP(RANK(HV92,$HV$10:$HV$109),Sheet1!$A$381:$B$480,2,FALSE)</f>
        <v>1st</v>
      </c>
      <c r="HY92" s="137"/>
      <c r="HZ92" s="137"/>
      <c r="IA92" s="137">
        <f t="shared" si="433"/>
        <v>0</v>
      </c>
      <c r="IB92" s="137" t="str">
        <f t="shared" si="434"/>
        <v>0</v>
      </c>
      <c r="IC92" s="137">
        <f t="shared" si="435"/>
        <v>0</v>
      </c>
      <c r="ID92" s="137">
        <f t="shared" si="436"/>
        <v>0</v>
      </c>
      <c r="IE92" s="135" t="str">
        <f t="shared" si="437"/>
        <v>F</v>
      </c>
      <c r="IF92" s="135" t="str">
        <f>VLOOKUP(RANK(ID92,$ID$10:$ID$109),Sheet1!$A$381:$B$480,2,FALSE)</f>
        <v>1st</v>
      </c>
      <c r="IG92" s="135"/>
      <c r="IH92" s="135"/>
      <c r="II92" s="135">
        <f t="shared" si="516"/>
        <v>0</v>
      </c>
      <c r="IJ92" s="135" t="str">
        <f t="shared" si="517"/>
        <v>0</v>
      </c>
      <c r="IK92" s="135">
        <f t="shared" si="518"/>
        <v>0</v>
      </c>
      <c r="IL92" s="135">
        <f t="shared" si="519"/>
        <v>0</v>
      </c>
      <c r="IM92" s="135" t="str">
        <f t="shared" si="438"/>
        <v>F</v>
      </c>
      <c r="IN92" s="135" t="str">
        <f>VLOOKUP(RANK(IL92,$IL$10:$IL$109),Sheet1!$A$381:$B$480,2,FALSE)</f>
        <v>1st</v>
      </c>
      <c r="IO92" s="135">
        <f t="shared" si="520"/>
        <v>575</v>
      </c>
      <c r="IP92" s="177">
        <f t="shared" si="521"/>
        <v>33.823529411764703</v>
      </c>
      <c r="IQ92" s="135" t="str">
        <f>VLOOKUP(RANK(IP92,$IP$10:$IP$109),Sheet1!$A$381:$B$480,2,FALSE)</f>
        <v>55th</v>
      </c>
      <c r="IR92" s="178"/>
      <c r="IS92" s="137"/>
      <c r="IT92" s="137"/>
      <c r="IU92" s="137"/>
      <c r="IV92" s="137"/>
      <c r="IW92" s="181"/>
      <c r="IX92" s="184"/>
      <c r="IY92" s="186"/>
      <c r="IZ92" s="186">
        <f t="shared" si="439"/>
        <v>0</v>
      </c>
      <c r="JA92" s="186" t="str">
        <f t="shared" si="440"/>
        <v>71</v>
      </c>
      <c r="JB92" s="186" t="str">
        <f t="shared" si="441"/>
        <v>87</v>
      </c>
      <c r="JC92" s="186">
        <f t="shared" si="522"/>
        <v>158</v>
      </c>
      <c r="JD92" s="186">
        <f t="shared" si="523"/>
        <v>52.6666666666667</v>
      </c>
      <c r="JE92" s="135" t="str">
        <f t="shared" si="442"/>
        <v>C</v>
      </c>
      <c r="JF92" s="151" t="str">
        <f>VLOOKUP(RANK(JD92,$JD$10:$JD$109),Sheet1!$A$381:$B$480,2,FALSE)</f>
        <v>7th</v>
      </c>
      <c r="JG92" s="186"/>
      <c r="JH92" s="186"/>
      <c r="JI92" s="186">
        <f t="shared" si="443"/>
        <v>0</v>
      </c>
      <c r="JJ92" s="186" t="str">
        <f t="shared" si="444"/>
        <v>55</v>
      </c>
      <c r="JK92" s="186" t="str">
        <f t="shared" si="445"/>
        <v>55</v>
      </c>
      <c r="JL92" s="186">
        <f t="shared" si="524"/>
        <v>110</v>
      </c>
      <c r="JM92" s="186">
        <f t="shared" si="525"/>
        <v>36.6666666666667</v>
      </c>
      <c r="JN92" s="135" t="str">
        <f t="shared" si="446"/>
        <v>E</v>
      </c>
      <c r="JO92" s="151" t="str">
        <f>VLOOKUP(RANK(JM92,$JM$10:$JM$109),Sheet1!$A$381:$B$480,2,FALSE)</f>
        <v>26th</v>
      </c>
      <c r="JP92" s="186"/>
      <c r="JQ92" s="186"/>
      <c r="JR92" s="186">
        <f t="shared" si="447"/>
        <v>0</v>
      </c>
      <c r="JS92" s="186" t="str">
        <f t="shared" si="448"/>
        <v>30</v>
      </c>
      <c r="JT92" s="186" t="str">
        <f t="shared" si="449"/>
        <v>44</v>
      </c>
      <c r="JU92" s="186">
        <f t="shared" si="526"/>
        <v>74</v>
      </c>
      <c r="JV92" s="186">
        <f t="shared" si="527"/>
        <v>24.6666666666667</v>
      </c>
      <c r="JW92" s="135" t="str">
        <f t="shared" si="450"/>
        <v>F</v>
      </c>
      <c r="JX92" s="151" t="str">
        <f>VLOOKUP(RANK(JV92,$JV$10:$JV$109),Sheet1!$A$381:$B$480,2,FALSE)</f>
        <v>76th</v>
      </c>
      <c r="JY92" s="186"/>
      <c r="JZ92" s="186"/>
      <c r="KA92" s="186">
        <f t="shared" si="451"/>
        <v>0</v>
      </c>
      <c r="KB92" s="186" t="str">
        <f t="shared" si="452"/>
        <v>62</v>
      </c>
      <c r="KC92" s="186" t="str">
        <f t="shared" si="453"/>
        <v>51</v>
      </c>
      <c r="KD92" s="186">
        <f t="shared" si="528"/>
        <v>113</v>
      </c>
      <c r="KE92" s="186">
        <f t="shared" si="529"/>
        <v>37.6666666666667</v>
      </c>
      <c r="KF92" s="135" t="str">
        <f t="shared" si="454"/>
        <v>E</v>
      </c>
      <c r="KG92" s="151" t="str">
        <f>VLOOKUP(RANK(KE92,$KE$10:$KE$109),Sheet1!$A$381:$B$480,2,FALSE)</f>
        <v>45th</v>
      </c>
      <c r="KH92" s="186"/>
      <c r="KI92" s="186"/>
      <c r="KJ92" s="186">
        <f t="shared" si="455"/>
        <v>0</v>
      </c>
      <c r="KK92" s="186" t="str">
        <f t="shared" si="456"/>
        <v>31</v>
      </c>
      <c r="KL92" s="186" t="str">
        <f t="shared" si="457"/>
        <v>43</v>
      </c>
      <c r="KM92" s="186">
        <f t="shared" si="530"/>
        <v>74</v>
      </c>
      <c r="KN92" s="186">
        <f t="shared" si="531"/>
        <v>24.6666666666667</v>
      </c>
      <c r="KO92" s="135" t="str">
        <f t="shared" si="458"/>
        <v>F</v>
      </c>
      <c r="KP92" s="151" t="str">
        <f>VLOOKUP(RANK(KN92,$KN$10:$KN$109),Sheet1!$A$381:$B$480,2,FALSE)</f>
        <v>81st</v>
      </c>
      <c r="KQ92" s="186"/>
      <c r="KR92" s="186"/>
      <c r="KS92" s="186">
        <f t="shared" si="459"/>
        <v>0</v>
      </c>
      <c r="KT92" s="186" t="str">
        <f t="shared" si="460"/>
        <v>0</v>
      </c>
      <c r="KU92" s="186" t="str">
        <f t="shared" si="461"/>
        <v>0</v>
      </c>
      <c r="KV92" s="186">
        <f t="shared" si="532"/>
        <v>0</v>
      </c>
      <c r="KW92" s="186">
        <f t="shared" si="533"/>
        <v>0</v>
      </c>
      <c r="KX92" s="135" t="str">
        <f t="shared" si="462"/>
        <v>F</v>
      </c>
      <c r="KY92" s="151" t="str">
        <f>VLOOKUP(RANK(KW92,$KW$10:$KW$109),Sheet1!$A$381:$B$480,2,FALSE)</f>
        <v>1st</v>
      </c>
      <c r="KZ92" s="186"/>
      <c r="LA92" s="186"/>
      <c r="LB92" s="186">
        <f t="shared" si="463"/>
        <v>0</v>
      </c>
      <c r="LC92" s="186" t="str">
        <f t="shared" si="464"/>
        <v>0</v>
      </c>
      <c r="LD92" s="186" t="str">
        <f t="shared" si="465"/>
        <v>0</v>
      </c>
      <c r="LE92" s="186">
        <f t="shared" si="534"/>
        <v>0</v>
      </c>
      <c r="LF92" s="186">
        <f t="shared" si="535"/>
        <v>0</v>
      </c>
      <c r="LG92" s="135" t="str">
        <f t="shared" si="466"/>
        <v>F</v>
      </c>
      <c r="LH92" s="151" t="str">
        <f>VLOOKUP(RANK(LF92,$LF$10:$LF$109),Sheet1!$A$381:$B$480,2,FALSE)</f>
        <v>1st</v>
      </c>
      <c r="LI92" s="186"/>
      <c r="LJ92" s="186"/>
      <c r="LK92" s="186">
        <f t="shared" si="467"/>
        <v>0</v>
      </c>
      <c r="LL92" s="186" t="str">
        <f t="shared" si="468"/>
        <v>50</v>
      </c>
      <c r="LM92" s="186" t="str">
        <f t="shared" si="469"/>
        <v>50</v>
      </c>
      <c r="LN92" s="186">
        <f t="shared" si="536"/>
        <v>100</v>
      </c>
      <c r="LO92" s="186">
        <f t="shared" si="537"/>
        <v>33.3333333333333</v>
      </c>
      <c r="LP92" s="135" t="str">
        <f t="shared" si="470"/>
        <v>F</v>
      </c>
      <c r="LQ92" s="151" t="str">
        <f>VLOOKUP(RANK(LO92,$LO$10:$LO$109),Sheet1!$A$381:$B$480,2,FALSE)</f>
        <v>77th</v>
      </c>
      <c r="LR92" s="186"/>
      <c r="LS92" s="186"/>
      <c r="LT92" s="186">
        <f t="shared" si="471"/>
        <v>0</v>
      </c>
      <c r="LU92" s="186" t="str">
        <f t="shared" si="472"/>
        <v>51</v>
      </c>
      <c r="LV92" s="186" t="str">
        <f t="shared" si="473"/>
        <v>47</v>
      </c>
      <c r="LW92" s="186">
        <f t="shared" si="538"/>
        <v>98</v>
      </c>
      <c r="LX92" s="186">
        <f t="shared" si="539"/>
        <v>32.6666666666667</v>
      </c>
      <c r="LY92" s="135" t="str">
        <f t="shared" si="474"/>
        <v>F</v>
      </c>
      <c r="LZ92" s="151" t="str">
        <f>VLOOKUP(RANK(LX92,$LX$10:$LX$109),Sheet1!$A$381:$B$480,2,FALSE)</f>
        <v>60th</v>
      </c>
      <c r="MA92" s="186"/>
      <c r="MB92" s="186"/>
      <c r="MC92" s="186">
        <f t="shared" si="475"/>
        <v>0</v>
      </c>
      <c r="MD92" s="186" t="str">
        <f t="shared" si="476"/>
        <v>24</v>
      </c>
      <c r="ME92" s="186" t="str">
        <f t="shared" si="477"/>
        <v>45</v>
      </c>
      <c r="MF92" s="183">
        <f t="shared" si="540"/>
        <v>69</v>
      </c>
      <c r="MG92" s="151">
        <f t="shared" si="541"/>
        <v>23</v>
      </c>
      <c r="MH92" s="135" t="str">
        <f t="shared" si="478"/>
        <v>F</v>
      </c>
      <c r="MI92" s="151" t="str">
        <f>VLOOKUP(RANK(MG92,$MG$10:$MG$109),Sheet1!$A$381:$B$480,2,FALSE)</f>
        <v>62nd</v>
      </c>
      <c r="MJ92" s="186"/>
      <c r="MK92" s="186"/>
      <c r="ML92" s="186">
        <f t="shared" si="479"/>
        <v>0</v>
      </c>
      <c r="MM92" s="186" t="str">
        <f t="shared" si="480"/>
        <v>54</v>
      </c>
      <c r="MN92" s="186" t="str">
        <f t="shared" si="481"/>
        <v>47</v>
      </c>
      <c r="MO92" s="186">
        <f t="shared" si="542"/>
        <v>101</v>
      </c>
      <c r="MP92" s="186">
        <f t="shared" si="543"/>
        <v>33.6666666666667</v>
      </c>
      <c r="MQ92" s="135" t="str">
        <f t="shared" si="482"/>
        <v>F</v>
      </c>
      <c r="MR92" s="151" t="str">
        <f>VLOOKUP(RANK(MP92,$MP$10:$MP$109),Sheet1!$A$381:$B$480,2,FALSE)</f>
        <v>19th</v>
      </c>
      <c r="MS92" s="186"/>
      <c r="MT92" s="186"/>
      <c r="MU92" s="186">
        <f t="shared" si="483"/>
        <v>0</v>
      </c>
      <c r="MV92" s="186" t="str">
        <f t="shared" si="484"/>
        <v>33</v>
      </c>
      <c r="MW92" s="186" t="str">
        <f t="shared" si="485"/>
        <v>59</v>
      </c>
      <c r="MX92" s="186">
        <f t="shared" si="544"/>
        <v>92</v>
      </c>
      <c r="MY92" s="186">
        <f t="shared" si="545"/>
        <v>30.6666666666667</v>
      </c>
      <c r="MZ92" s="135" t="str">
        <f t="shared" si="486"/>
        <v>F</v>
      </c>
      <c r="NA92" s="151" t="str">
        <f>VLOOKUP(RANK(MY92,$MY$10:$MY$109),Sheet1!$A$381:$B$480,2,FALSE)</f>
        <v>58th</v>
      </c>
      <c r="NB92" s="186"/>
      <c r="NC92" s="186"/>
      <c r="ND92" s="186">
        <f t="shared" si="487"/>
        <v>0</v>
      </c>
      <c r="NE92" s="186" t="str">
        <f t="shared" si="488"/>
        <v>44</v>
      </c>
      <c r="NF92" s="186" t="str">
        <f t="shared" si="489"/>
        <v>36</v>
      </c>
      <c r="NG92" s="186">
        <f t="shared" si="546"/>
        <v>80</v>
      </c>
      <c r="NH92" s="186">
        <f t="shared" si="547"/>
        <v>26.6666666666667</v>
      </c>
      <c r="NI92" s="135" t="str">
        <f t="shared" si="490"/>
        <v>F</v>
      </c>
      <c r="NJ92" s="151" t="str">
        <f>VLOOKUP(RANK(NH92,$NH$10:$NH$109),Sheet1!$A$381:$B$480,2,FALSE)</f>
        <v>66th</v>
      </c>
      <c r="NK92" s="186"/>
      <c r="NL92" s="186"/>
      <c r="NM92" s="186">
        <f t="shared" si="491"/>
        <v>0</v>
      </c>
      <c r="NN92" s="186" t="str">
        <f t="shared" si="492"/>
        <v>55</v>
      </c>
      <c r="NO92" s="186" t="str">
        <f t="shared" si="493"/>
        <v>77</v>
      </c>
      <c r="NP92" s="186">
        <f t="shared" si="548"/>
        <v>132</v>
      </c>
      <c r="NQ92" s="186">
        <f t="shared" si="494"/>
        <v>44</v>
      </c>
      <c r="NR92" s="135" t="str">
        <f t="shared" si="495"/>
        <v>D</v>
      </c>
      <c r="NS92" s="151" t="str">
        <f>VLOOKUP(RANK(NQ92,$NQ$10:$NQ$109),Sheet1!$A$381:$B$480,2,FALSE)</f>
        <v>42nd</v>
      </c>
      <c r="NT92" s="186"/>
      <c r="NU92" s="186"/>
      <c r="NV92" s="186">
        <f t="shared" si="496"/>
        <v>0</v>
      </c>
      <c r="NW92" s="186" t="str">
        <f t="shared" si="497"/>
        <v>0</v>
      </c>
      <c r="NX92" s="186" t="str">
        <f t="shared" si="498"/>
        <v>0</v>
      </c>
      <c r="NY92" s="186">
        <f t="shared" si="549"/>
        <v>0</v>
      </c>
      <c r="NZ92" s="186">
        <f t="shared" si="499"/>
        <v>0</v>
      </c>
      <c r="OA92" s="135" t="str">
        <f t="shared" si="500"/>
        <v>F</v>
      </c>
      <c r="OB92" s="151" t="str">
        <f>VLOOKUP(RANK(NZ92,$NZ$10:$NZ$109),Sheet1!$A$381:$B$480,2,FALSE)</f>
        <v>1st</v>
      </c>
      <c r="OC92" s="186"/>
      <c r="OD92" s="186"/>
      <c r="OE92" s="186">
        <f t="shared" si="501"/>
        <v>0</v>
      </c>
      <c r="OF92" s="186" t="str">
        <f t="shared" si="502"/>
        <v>0</v>
      </c>
      <c r="OG92" s="186" t="str">
        <f t="shared" si="503"/>
        <v>0</v>
      </c>
      <c r="OH92" s="186">
        <f t="shared" si="550"/>
        <v>0</v>
      </c>
      <c r="OI92" s="186">
        <f t="shared" si="504"/>
        <v>0</v>
      </c>
      <c r="OJ92" s="135" t="str">
        <f t="shared" si="505"/>
        <v>F</v>
      </c>
      <c r="OK92" s="151" t="str">
        <f>VLOOKUP(RANK(OI92,$OI$10:$OI$109),Sheet1!$A$381:$B$480,2,FALSE)</f>
        <v>1st</v>
      </c>
      <c r="OL92" s="151"/>
      <c r="OM92" s="151"/>
      <c r="ON92" s="151">
        <f t="shared" si="551"/>
        <v>0</v>
      </c>
      <c r="OO92" s="151" t="str">
        <f t="shared" si="552"/>
        <v>0</v>
      </c>
      <c r="OP92" s="151" t="str">
        <f t="shared" si="553"/>
        <v>0</v>
      </c>
      <c r="OQ92" s="151">
        <f t="shared" si="554"/>
        <v>0</v>
      </c>
      <c r="OR92" s="151">
        <f t="shared" si="555"/>
        <v>0</v>
      </c>
      <c r="OS92" s="135" t="str">
        <f t="shared" si="506"/>
        <v>F</v>
      </c>
      <c r="OT92" s="151" t="str">
        <f>VLOOKUP(RANK(OR92,$OI$10:$OI$109),Sheet1!$A$381:$B$480,2,FALSE)</f>
        <v>1st</v>
      </c>
      <c r="OU92" s="151">
        <f t="shared" si="556"/>
        <v>400.33333333333297</v>
      </c>
      <c r="OV92" s="151">
        <f t="shared" si="557"/>
        <v>23.5490196078431</v>
      </c>
      <c r="OW92" s="151" t="str">
        <f>VLOOKUP(RANK(OV92,$OV$10:$OV$109),Sheet1!$A$381:$B$480,2,FALSE)</f>
        <v>55th</v>
      </c>
      <c r="OX92" s="151"/>
      <c r="OY92" s="186"/>
      <c r="OZ92" s="186"/>
      <c r="PA92" s="186"/>
      <c r="PB92" s="186"/>
    </row>
    <row r="93" spans="1:418" s="118" customFormat="1" ht="18.75">
      <c r="A93" s="131">
        <v>84</v>
      </c>
      <c r="B93" s="132" t="s">
        <v>183</v>
      </c>
      <c r="C93" s="133" t="s">
        <v>97</v>
      </c>
      <c r="D93" s="134">
        <v>24</v>
      </c>
      <c r="E93" s="134">
        <v>41</v>
      </c>
      <c r="F93" s="137">
        <f t="shared" si="315"/>
        <v>65</v>
      </c>
      <c r="G93" s="137">
        <f t="shared" si="316"/>
        <v>65</v>
      </c>
      <c r="H93" s="135" t="str">
        <f t="shared" si="507"/>
        <v>B</v>
      </c>
      <c r="I93" s="135" t="str">
        <f>VLOOKUP(RANK(G93,$G$10:$G$109),Sheet1!$A$381:$B$480,2,FALSE)</f>
        <v>56th</v>
      </c>
      <c r="J93" s="134">
        <v>29</v>
      </c>
      <c r="K93" s="134">
        <v>26</v>
      </c>
      <c r="L93" s="137">
        <f t="shared" si="317"/>
        <v>55</v>
      </c>
      <c r="M93" s="137">
        <f t="shared" si="318"/>
        <v>55</v>
      </c>
      <c r="N93" s="135" t="str">
        <f t="shared" si="319"/>
        <v>C</v>
      </c>
      <c r="O93" s="141" t="str">
        <f>VLOOKUP(RANK(M93,$M$10:$M$109),Sheet1!$A$381:$B$480,2,FALSE)</f>
        <v>36th</v>
      </c>
      <c r="P93" s="144">
        <v>28</v>
      </c>
      <c r="Q93" s="144">
        <v>2</v>
      </c>
      <c r="R93" s="147">
        <f t="shared" si="320"/>
        <v>30</v>
      </c>
      <c r="S93" s="137">
        <f t="shared" si="321"/>
        <v>30</v>
      </c>
      <c r="T93" s="135" t="str">
        <f t="shared" si="322"/>
        <v>F</v>
      </c>
      <c r="U93" s="135" t="str">
        <f>VLOOKUP(RANK(S93,$S$10:$S$109),Sheet1!$A$381:$B$480,2,FALSE)</f>
        <v>80th</v>
      </c>
      <c r="V93" s="134">
        <v>0</v>
      </c>
      <c r="W93" s="134">
        <v>0</v>
      </c>
      <c r="X93" s="137">
        <f t="shared" si="559"/>
        <v>0</v>
      </c>
      <c r="Y93" s="137">
        <f t="shared" si="558"/>
        <v>0</v>
      </c>
      <c r="Z93" s="135" t="str">
        <f t="shared" si="323"/>
        <v>F</v>
      </c>
      <c r="AA93" s="135" t="str">
        <f>VLOOKUP(RANK(Y93,$Y$10:$Y$109),Sheet1!$A$381:$B$480,2,FALSE)</f>
        <v>100th</v>
      </c>
      <c r="AB93" s="134">
        <v>27</v>
      </c>
      <c r="AC93" s="134">
        <v>1</v>
      </c>
      <c r="AD93" s="137">
        <f t="shared" si="324"/>
        <v>28</v>
      </c>
      <c r="AE93" s="137">
        <f t="shared" si="325"/>
        <v>28</v>
      </c>
      <c r="AF93" s="135" t="str">
        <f t="shared" si="326"/>
        <v>F</v>
      </c>
      <c r="AG93" s="135" t="str">
        <f>VLOOKUP(RANK(AE93,$AE$10:$AE$109),Sheet1!$A$381:$B$480,2,FALSE)</f>
        <v>100th</v>
      </c>
      <c r="AH93" s="137"/>
      <c r="AI93" s="137"/>
      <c r="AJ93" s="137">
        <f t="shared" si="327"/>
        <v>0</v>
      </c>
      <c r="AK93" s="137">
        <f t="shared" si="328"/>
        <v>0</v>
      </c>
      <c r="AL93" s="135" t="str">
        <f t="shared" si="329"/>
        <v>F</v>
      </c>
      <c r="AM93" s="135" t="str">
        <f>VLOOKUP(RANK(AK93,$AK$10:$AK$109),Sheet1!$A$381:$B$480,2,FALSE)</f>
        <v>1st</v>
      </c>
      <c r="AN93" s="139"/>
      <c r="AO93" s="139"/>
      <c r="AP93" s="137">
        <f t="shared" si="330"/>
        <v>0</v>
      </c>
      <c r="AQ93" s="137">
        <f t="shared" si="331"/>
        <v>0</v>
      </c>
      <c r="AR93" s="135" t="str">
        <f t="shared" si="332"/>
        <v>F</v>
      </c>
      <c r="AS93" s="135" t="str">
        <f>VLOOKUP(RANK(AQ93,$AQ$10:$AQ$109),Sheet1!$A$381:$B$480,2,FALSE)</f>
        <v>1st</v>
      </c>
      <c r="AT93" s="144">
        <v>24</v>
      </c>
      <c r="AU93" s="144">
        <v>28</v>
      </c>
      <c r="AV93" s="137">
        <f t="shared" si="333"/>
        <v>52</v>
      </c>
      <c r="AW93" s="137">
        <f t="shared" si="334"/>
        <v>52</v>
      </c>
      <c r="AX93" s="135" t="str">
        <f t="shared" si="335"/>
        <v>C</v>
      </c>
      <c r="AY93" s="141" t="str">
        <f>VLOOKUP(RANK(AW93,$AW$10:$AW$109),Sheet1!$A$381:$B$480,2,FALSE)</f>
        <v>34th</v>
      </c>
      <c r="AZ93" s="144">
        <v>30</v>
      </c>
      <c r="BA93" s="144">
        <v>10</v>
      </c>
      <c r="BB93" s="147">
        <f t="shared" si="336"/>
        <v>40</v>
      </c>
      <c r="BC93" s="137">
        <f t="shared" si="337"/>
        <v>40</v>
      </c>
      <c r="BD93" s="135" t="str">
        <f t="shared" si="338"/>
        <v>D</v>
      </c>
      <c r="BE93" s="135" t="str">
        <f>VLOOKUP(RANK(BC93,$BC$10:$BC$109),Sheet1!$A$381:$B$480,2,FALSE)</f>
        <v>85th</v>
      </c>
      <c r="BF93" s="144">
        <v>10</v>
      </c>
      <c r="BG93" s="144">
        <v>33</v>
      </c>
      <c r="BH93" s="137">
        <f t="shared" si="339"/>
        <v>43</v>
      </c>
      <c r="BI93" s="137">
        <f t="shared" si="340"/>
        <v>43</v>
      </c>
      <c r="BJ93" s="135" t="str">
        <f t="shared" si="341"/>
        <v>D</v>
      </c>
      <c r="BK93" s="141" t="str">
        <f>VLOOKUP(RANK(BI93,$BI$10:$BI$109),Sheet1!$A$381:$B$480,2,FALSE)</f>
        <v>26th</v>
      </c>
      <c r="BL93" s="149">
        <v>29</v>
      </c>
      <c r="BM93" s="149">
        <v>26</v>
      </c>
      <c r="BN93" s="147">
        <f t="shared" si="342"/>
        <v>55</v>
      </c>
      <c r="BO93" s="137">
        <f t="shared" si="343"/>
        <v>55</v>
      </c>
      <c r="BP93" s="135" t="str">
        <f t="shared" si="344"/>
        <v>C</v>
      </c>
      <c r="BQ93" s="141" t="str">
        <f>VLOOKUP(RANK(BO93,$BO$10:$BO$109),Sheet1!$A$381:$B$480,2,FALSE)</f>
        <v>14th</v>
      </c>
      <c r="BR93" s="149">
        <v>20</v>
      </c>
      <c r="BS93" s="149">
        <v>0</v>
      </c>
      <c r="BT93" s="147">
        <f t="shared" si="345"/>
        <v>20</v>
      </c>
      <c r="BU93" s="137">
        <f t="shared" si="346"/>
        <v>20</v>
      </c>
      <c r="BV93" s="135" t="str">
        <f t="shared" si="347"/>
        <v>F</v>
      </c>
      <c r="BW93" s="135" t="str">
        <f>VLOOKUP(RANK(BU93,$BU$10:$BU$109),Sheet1!$A$381:$B$480,2,FALSE)</f>
        <v>100th</v>
      </c>
      <c r="BX93" s="149">
        <v>28</v>
      </c>
      <c r="BY93" s="149">
        <v>10</v>
      </c>
      <c r="BZ93" s="137">
        <f t="shared" si="348"/>
        <v>38</v>
      </c>
      <c r="CA93" s="137">
        <f t="shared" si="349"/>
        <v>38</v>
      </c>
      <c r="CB93" s="135" t="str">
        <f t="shared" si="350"/>
        <v>E</v>
      </c>
      <c r="CC93" s="135" t="str">
        <f>VLOOKUP(RANK(CA93,$CA$10:$CA$109),Sheet1!$A$381:$B$480,2,FALSE)</f>
        <v>61st</v>
      </c>
      <c r="CD93" s="149">
        <v>26</v>
      </c>
      <c r="CE93" s="149">
        <v>30</v>
      </c>
      <c r="CF93" s="137">
        <f t="shared" si="351"/>
        <v>56</v>
      </c>
      <c r="CG93" s="137">
        <f t="shared" si="352"/>
        <v>56</v>
      </c>
      <c r="CH93" s="135" t="str">
        <f t="shared" si="353"/>
        <v>C</v>
      </c>
      <c r="CI93" s="135" t="str">
        <f>VLOOKUP(RANK(CG93,$CG$10:$CG$109),Sheet1!$A$381:$B$480,2,FALSE)</f>
        <v>41st</v>
      </c>
      <c r="CJ93" s="137"/>
      <c r="CK93" s="137"/>
      <c r="CL93" s="137">
        <f t="shared" si="354"/>
        <v>0</v>
      </c>
      <c r="CM93" s="137">
        <f t="shared" si="355"/>
        <v>0</v>
      </c>
      <c r="CN93" s="135" t="str">
        <f t="shared" si="356"/>
        <v>F</v>
      </c>
      <c r="CO93" s="135" t="str">
        <f>VLOOKUP(RANK(CM93,$CM$10:$CM$109),Sheet1!$A$381:$B$480,2,FALSE)</f>
        <v>1st</v>
      </c>
      <c r="CP93" s="137"/>
      <c r="CQ93" s="137"/>
      <c r="CR93" s="137">
        <f t="shared" si="357"/>
        <v>0</v>
      </c>
      <c r="CS93" s="137">
        <f t="shared" si="358"/>
        <v>0</v>
      </c>
      <c r="CT93" s="135" t="str">
        <f t="shared" si="359"/>
        <v>F</v>
      </c>
      <c r="CU93" s="135" t="str">
        <f>VLOOKUP(RANK(CS93,$CS$10:$CS$109),Sheet1!$A$381:$B$480,2,FALSE)</f>
        <v>1st</v>
      </c>
      <c r="CV93" s="151"/>
      <c r="CW93" s="135"/>
      <c r="CX93" s="151">
        <f t="shared" si="508"/>
        <v>0</v>
      </c>
      <c r="CY93" s="151">
        <f t="shared" si="509"/>
        <v>0</v>
      </c>
      <c r="CZ93" s="135" t="str">
        <f t="shared" si="360"/>
        <v>F</v>
      </c>
      <c r="DA93" s="135" t="str">
        <f>VLOOKUP(RANK(CY93,$CY$10:$CY$109),Sheet1!$A$381:$B$480,2,FALSE)</f>
        <v>1st</v>
      </c>
      <c r="DB93" s="135"/>
      <c r="DC93" s="151">
        <f t="shared" si="510"/>
        <v>482</v>
      </c>
      <c r="DD93" s="151">
        <f t="shared" si="511"/>
        <v>28.352941176470601</v>
      </c>
      <c r="DE93" s="135" t="str">
        <f>VLOOKUP(RANK(DD93,$DD$10:$DD$109),Sheet1!$A$381:$B$480,2,FALSE)</f>
        <v>97th</v>
      </c>
      <c r="DF93" s="137"/>
      <c r="DG93" s="160">
        <f t="shared" si="361"/>
        <v>510.35294117647101</v>
      </c>
      <c r="DH93" s="119"/>
      <c r="DI93" s="162">
        <v>16</v>
      </c>
      <c r="DJ93" s="162">
        <v>10</v>
      </c>
      <c r="DK93" s="137">
        <f t="shared" si="362"/>
        <v>26</v>
      </c>
      <c r="DL93" s="137" t="str">
        <f t="shared" si="363"/>
        <v>65</v>
      </c>
      <c r="DM93" s="137">
        <f t="shared" si="364"/>
        <v>91</v>
      </c>
      <c r="DN93" s="137">
        <f t="shared" si="365"/>
        <v>45.5</v>
      </c>
      <c r="DO93" s="135" t="str">
        <f t="shared" si="366"/>
        <v>D</v>
      </c>
      <c r="DP93" s="135" t="str">
        <f>VLOOKUP(RANK(DN93,$DN$10:$DN$109),Sheet1!$A$381:$B$480,2,FALSE)</f>
        <v>91st</v>
      </c>
      <c r="DQ93" s="166">
        <v>29</v>
      </c>
      <c r="DR93" s="166">
        <v>17</v>
      </c>
      <c r="DS93" s="137">
        <f t="shared" si="367"/>
        <v>46</v>
      </c>
      <c r="DT93" s="137" t="str">
        <f t="shared" si="368"/>
        <v>55</v>
      </c>
      <c r="DU93" s="137">
        <f t="shared" si="369"/>
        <v>101</v>
      </c>
      <c r="DV93" s="137">
        <f t="shared" si="370"/>
        <v>50.5</v>
      </c>
      <c r="DW93" s="135" t="str">
        <f t="shared" si="371"/>
        <v>C</v>
      </c>
      <c r="DX93" s="135" t="str">
        <f>VLOOKUP(RANK(DV93,$DV$10:$DV$109),Sheet1!$A$381:$B$480,2,FALSE)</f>
        <v>41st</v>
      </c>
      <c r="DY93" s="168">
        <v>24</v>
      </c>
      <c r="DZ93" s="168">
        <v>0</v>
      </c>
      <c r="EA93" s="137">
        <f t="shared" si="372"/>
        <v>24</v>
      </c>
      <c r="EB93" s="137" t="str">
        <f t="shared" si="373"/>
        <v>30</v>
      </c>
      <c r="EC93" s="137">
        <f t="shared" si="374"/>
        <v>54</v>
      </c>
      <c r="ED93" s="137">
        <f t="shared" si="375"/>
        <v>27</v>
      </c>
      <c r="EE93" s="135" t="str">
        <f t="shared" si="376"/>
        <v>F</v>
      </c>
      <c r="EF93" s="135" t="str">
        <f>VLOOKUP(RANK(ED93,$ED$10:$ED$109),Sheet1!$A$381:$B$480,2,FALSE)</f>
        <v>95th</v>
      </c>
      <c r="EG93" s="162">
        <v>4</v>
      </c>
      <c r="EH93" s="162">
        <v>21</v>
      </c>
      <c r="EI93" s="137">
        <f t="shared" si="377"/>
        <v>25</v>
      </c>
      <c r="EJ93" s="137" t="str">
        <f t="shared" si="378"/>
        <v>0</v>
      </c>
      <c r="EK93" s="137">
        <f t="shared" si="379"/>
        <v>25</v>
      </c>
      <c r="EL93" s="137">
        <f t="shared" si="380"/>
        <v>12.5</v>
      </c>
      <c r="EM93" s="135" t="str">
        <f t="shared" si="381"/>
        <v>F</v>
      </c>
      <c r="EN93" s="135" t="str">
        <f>VLOOKUP(RANK(EL93,$EL$10:$EL$109),Sheet1!$A$381:$B$480,2,FALSE)</f>
        <v>100th</v>
      </c>
      <c r="EO93" s="162">
        <v>20</v>
      </c>
      <c r="EP93" s="162">
        <v>20</v>
      </c>
      <c r="EQ93" s="137">
        <f t="shared" si="382"/>
        <v>40</v>
      </c>
      <c r="ER93" s="137" t="str">
        <f t="shared" si="383"/>
        <v>28</v>
      </c>
      <c r="ES93" s="137">
        <f t="shared" si="384"/>
        <v>68</v>
      </c>
      <c r="ET93" s="137">
        <f t="shared" si="385"/>
        <v>34</v>
      </c>
      <c r="EU93" s="135" t="str">
        <f t="shared" si="386"/>
        <v>F</v>
      </c>
      <c r="EV93" s="135" t="str">
        <f>VLOOKUP(RANK(ET93,$ET$10:$ET$109),Sheet1!$A$381:$B$480,2,FALSE)</f>
        <v>90th</v>
      </c>
      <c r="EW93" s="137"/>
      <c r="EX93" s="137"/>
      <c r="EY93" s="137">
        <f t="shared" si="387"/>
        <v>0</v>
      </c>
      <c r="EZ93" s="137" t="str">
        <f t="shared" si="388"/>
        <v>0</v>
      </c>
      <c r="FA93" s="137">
        <f t="shared" si="389"/>
        <v>0</v>
      </c>
      <c r="FB93" s="137">
        <f t="shared" si="390"/>
        <v>0</v>
      </c>
      <c r="FC93" s="135" t="str">
        <f t="shared" si="391"/>
        <v>F</v>
      </c>
      <c r="FD93" s="135" t="str">
        <f>VLOOKUP(RANK(FB93,$FB$10:$FB$109),Sheet1!$A$381:$B$480,2,FALSE)</f>
        <v>1st</v>
      </c>
      <c r="FE93" s="137"/>
      <c r="FF93" s="137"/>
      <c r="FG93" s="137">
        <f t="shared" si="392"/>
        <v>0</v>
      </c>
      <c r="FH93" s="137" t="str">
        <f t="shared" si="393"/>
        <v>0</v>
      </c>
      <c r="FI93" s="137">
        <f t="shared" si="394"/>
        <v>0</v>
      </c>
      <c r="FJ93" s="137">
        <f t="shared" si="395"/>
        <v>0</v>
      </c>
      <c r="FK93" s="135" t="str">
        <f t="shared" si="396"/>
        <v>F</v>
      </c>
      <c r="FL93" s="135" t="str">
        <f>VLOOKUP(RANK(FJ93,$FJ$10:$FJ$109),Sheet1!$A$381:$B$480,2,FALSE)</f>
        <v>1st</v>
      </c>
      <c r="FM93" s="166">
        <v>25</v>
      </c>
      <c r="FN93" s="166">
        <v>26</v>
      </c>
      <c r="FO93" s="137">
        <f t="shared" si="397"/>
        <v>51</v>
      </c>
      <c r="FP93" s="137" t="str">
        <f t="shared" si="398"/>
        <v>52</v>
      </c>
      <c r="FQ93" s="137">
        <f t="shared" si="399"/>
        <v>103</v>
      </c>
      <c r="FR93" s="137">
        <f t="shared" si="400"/>
        <v>51.5</v>
      </c>
      <c r="FS93" s="135" t="str">
        <f t="shared" si="401"/>
        <v>C</v>
      </c>
      <c r="FT93" s="135" t="str">
        <f>VLOOKUP(RANK(FR93,$FR$10:$FR$109),Sheet1!$A$381:$B$480,2,FALSE)</f>
        <v>50th</v>
      </c>
      <c r="FU93" s="149">
        <v>0</v>
      </c>
      <c r="FV93" s="149">
        <v>30</v>
      </c>
      <c r="FW93" s="137">
        <f t="shared" si="402"/>
        <v>30</v>
      </c>
      <c r="FX93" s="137" t="str">
        <f t="shared" si="403"/>
        <v>40</v>
      </c>
      <c r="FY93" s="137">
        <f t="shared" si="512"/>
        <v>30</v>
      </c>
      <c r="FZ93" s="137">
        <f t="shared" si="404"/>
        <v>15</v>
      </c>
      <c r="GA93" s="135" t="str">
        <f t="shared" si="405"/>
        <v>F</v>
      </c>
      <c r="GB93" s="135" t="str">
        <f>VLOOKUP(RANK(FZ93,$FZ$10:$FZ$109),Sheet1!$A$381:$B$480,2,FALSE)</f>
        <v>85th</v>
      </c>
      <c r="GC93" s="166">
        <v>3</v>
      </c>
      <c r="GD93" s="166">
        <v>26</v>
      </c>
      <c r="GE93" s="137">
        <f t="shared" si="406"/>
        <v>29</v>
      </c>
      <c r="GF93" s="137" t="str">
        <f t="shared" si="407"/>
        <v>43</v>
      </c>
      <c r="GG93" s="135">
        <f t="shared" si="513"/>
        <v>72</v>
      </c>
      <c r="GH93" s="137">
        <f t="shared" si="514"/>
        <v>36</v>
      </c>
      <c r="GI93" s="135" t="str">
        <f t="shared" si="408"/>
        <v>E</v>
      </c>
      <c r="GJ93" s="135" t="str">
        <f>VLOOKUP(RANK(GH93,$GH$10:$GH$109),Sheet1!$A$381:$B$480,2,FALSE)</f>
        <v>57th</v>
      </c>
      <c r="GK93" s="166">
        <v>26</v>
      </c>
      <c r="GL93" s="166">
        <v>16</v>
      </c>
      <c r="GM93" s="137">
        <f t="shared" si="409"/>
        <v>42</v>
      </c>
      <c r="GN93" s="137" t="str">
        <f t="shared" si="410"/>
        <v>55</v>
      </c>
      <c r="GO93" s="135">
        <f t="shared" si="515"/>
        <v>97</v>
      </c>
      <c r="GP93" s="137">
        <f t="shared" si="411"/>
        <v>48.5</v>
      </c>
      <c r="GQ93" s="135" t="str">
        <f t="shared" si="412"/>
        <v>D</v>
      </c>
      <c r="GR93" s="135" t="str">
        <f>VLOOKUP(RANK(GP93,$GP$10:$GP$109),Sheet1!$A$381:$B$480,2,FALSE)</f>
        <v>38th</v>
      </c>
      <c r="GS93" s="166">
        <v>0</v>
      </c>
      <c r="GT93" s="166">
        <v>0</v>
      </c>
      <c r="GU93" s="137">
        <f t="shared" si="413"/>
        <v>0</v>
      </c>
      <c r="GV93" s="137" t="str">
        <f t="shared" si="414"/>
        <v>20</v>
      </c>
      <c r="GW93" s="137">
        <f t="shared" si="415"/>
        <v>20</v>
      </c>
      <c r="GX93" s="137">
        <f t="shared" si="416"/>
        <v>10</v>
      </c>
      <c r="GY93" s="135" t="str">
        <f t="shared" si="417"/>
        <v>F</v>
      </c>
      <c r="GZ93" s="135" t="str">
        <f>VLOOKUP(RANK(GX93,$GX$10:$GX$109),Sheet1!$A$381:$B$480,2,FALSE)</f>
        <v>100th</v>
      </c>
      <c r="HA93" s="166">
        <v>29</v>
      </c>
      <c r="HB93" s="166">
        <v>7</v>
      </c>
      <c r="HC93" s="137">
        <f t="shared" si="418"/>
        <v>36</v>
      </c>
      <c r="HD93" s="137" t="str">
        <f t="shared" si="419"/>
        <v>38</v>
      </c>
      <c r="HE93" s="137">
        <f t="shared" si="420"/>
        <v>74</v>
      </c>
      <c r="HF93" s="137">
        <f t="shared" si="421"/>
        <v>37</v>
      </c>
      <c r="HG93" s="135" t="str">
        <f t="shared" si="422"/>
        <v>E</v>
      </c>
      <c r="HH93" s="135" t="str">
        <f>VLOOKUP(RANK(HF93,$HF$10:$HF$109),Sheet1!$A$381:$B$480,2,FALSE)</f>
        <v>90th</v>
      </c>
      <c r="HI93" s="149">
        <v>27</v>
      </c>
      <c r="HJ93" s="149">
        <v>45</v>
      </c>
      <c r="HK93" s="137">
        <f t="shared" si="423"/>
        <v>72</v>
      </c>
      <c r="HL93" s="137" t="str">
        <f t="shared" si="424"/>
        <v>56</v>
      </c>
      <c r="HM93" s="137">
        <f t="shared" si="425"/>
        <v>128</v>
      </c>
      <c r="HN93" s="137">
        <f t="shared" si="426"/>
        <v>64</v>
      </c>
      <c r="HO93" s="135" t="str">
        <f t="shared" si="427"/>
        <v>B</v>
      </c>
      <c r="HP93" s="135" t="str">
        <f>VLOOKUP(RANK(HN93,$HN$10:$HN$109),Sheet1!$A$381:$B$480,2,FALSE)</f>
        <v>50th</v>
      </c>
      <c r="HQ93" s="137"/>
      <c r="HR93" s="137"/>
      <c r="HS93" s="137">
        <f t="shared" si="428"/>
        <v>0</v>
      </c>
      <c r="HT93" s="137" t="str">
        <f t="shared" si="429"/>
        <v>0</v>
      </c>
      <c r="HU93" s="137">
        <f t="shared" si="430"/>
        <v>0</v>
      </c>
      <c r="HV93" s="137">
        <f t="shared" si="431"/>
        <v>0</v>
      </c>
      <c r="HW93" s="135" t="str">
        <f t="shared" si="432"/>
        <v>F</v>
      </c>
      <c r="HX93" s="135" t="str">
        <f>VLOOKUP(RANK(HV93,$HV$10:$HV$109),Sheet1!$A$381:$B$480,2,FALSE)</f>
        <v>1st</v>
      </c>
      <c r="HY93" s="137"/>
      <c r="HZ93" s="137"/>
      <c r="IA93" s="137">
        <f t="shared" si="433"/>
        <v>0</v>
      </c>
      <c r="IB93" s="137" t="str">
        <f t="shared" si="434"/>
        <v>0</v>
      </c>
      <c r="IC93" s="137">
        <f t="shared" si="435"/>
        <v>0</v>
      </c>
      <c r="ID93" s="137">
        <f t="shared" si="436"/>
        <v>0</v>
      </c>
      <c r="IE93" s="135" t="str">
        <f t="shared" si="437"/>
        <v>F</v>
      </c>
      <c r="IF93" s="135" t="str">
        <f>VLOOKUP(RANK(ID93,$ID$10:$ID$109),Sheet1!$A$381:$B$480,2,FALSE)</f>
        <v>1st</v>
      </c>
      <c r="IG93" s="135"/>
      <c r="IH93" s="135"/>
      <c r="II93" s="135">
        <f t="shared" si="516"/>
        <v>0</v>
      </c>
      <c r="IJ93" s="135" t="str">
        <f t="shared" si="517"/>
        <v>0</v>
      </c>
      <c r="IK93" s="135">
        <f t="shared" si="518"/>
        <v>0</v>
      </c>
      <c r="IL93" s="135">
        <f t="shared" si="519"/>
        <v>0</v>
      </c>
      <c r="IM93" s="135" t="str">
        <f t="shared" si="438"/>
        <v>F</v>
      </c>
      <c r="IN93" s="135" t="str">
        <f>VLOOKUP(RANK(IL93,$IL$10:$IL$109),Sheet1!$A$381:$B$480,2,FALSE)</f>
        <v>1st</v>
      </c>
      <c r="IO93" s="135">
        <f t="shared" si="520"/>
        <v>431.5</v>
      </c>
      <c r="IP93" s="177">
        <f t="shared" si="521"/>
        <v>25.382352941176499</v>
      </c>
      <c r="IQ93" s="135" t="str">
        <f>VLOOKUP(RANK(IP93,$IP$10:$IP$109),Sheet1!$A$381:$B$480,2,FALSE)</f>
        <v>95th</v>
      </c>
      <c r="IR93" s="178"/>
      <c r="IS93" s="137"/>
      <c r="IT93" s="137"/>
      <c r="IU93" s="137"/>
      <c r="IV93" s="137"/>
      <c r="IW93" s="181"/>
      <c r="IX93" s="184"/>
      <c r="IY93" s="186"/>
      <c r="IZ93" s="186">
        <f t="shared" si="439"/>
        <v>0</v>
      </c>
      <c r="JA93" s="186" t="str">
        <f t="shared" si="440"/>
        <v>65</v>
      </c>
      <c r="JB93" s="186" t="str">
        <f t="shared" si="441"/>
        <v>26</v>
      </c>
      <c r="JC93" s="186">
        <f t="shared" si="522"/>
        <v>91</v>
      </c>
      <c r="JD93" s="186">
        <f t="shared" si="523"/>
        <v>30.3333333333333</v>
      </c>
      <c r="JE93" s="135" t="str">
        <f t="shared" si="442"/>
        <v>F</v>
      </c>
      <c r="JF93" s="151" t="str">
        <f>VLOOKUP(RANK(JD93,$JD$10:$JD$109),Sheet1!$A$381:$B$480,2,FALSE)</f>
        <v>91st</v>
      </c>
      <c r="JG93" s="186"/>
      <c r="JH93" s="186"/>
      <c r="JI93" s="186">
        <f t="shared" si="443"/>
        <v>0</v>
      </c>
      <c r="JJ93" s="186" t="str">
        <f t="shared" si="444"/>
        <v>55</v>
      </c>
      <c r="JK93" s="186" t="str">
        <f t="shared" si="445"/>
        <v>46</v>
      </c>
      <c r="JL93" s="186">
        <f t="shared" si="524"/>
        <v>101</v>
      </c>
      <c r="JM93" s="186">
        <f t="shared" si="525"/>
        <v>33.6666666666667</v>
      </c>
      <c r="JN93" s="135" t="str">
        <f t="shared" si="446"/>
        <v>F</v>
      </c>
      <c r="JO93" s="151" t="str">
        <f>VLOOKUP(RANK(JM93,$JM$10:$JM$109),Sheet1!$A$381:$B$480,2,FALSE)</f>
        <v>41st</v>
      </c>
      <c r="JP93" s="186"/>
      <c r="JQ93" s="186"/>
      <c r="JR93" s="186">
        <f t="shared" si="447"/>
        <v>0</v>
      </c>
      <c r="JS93" s="186" t="str">
        <f t="shared" si="448"/>
        <v>30</v>
      </c>
      <c r="JT93" s="186" t="str">
        <f t="shared" si="449"/>
        <v>24</v>
      </c>
      <c r="JU93" s="186">
        <f t="shared" si="526"/>
        <v>54</v>
      </c>
      <c r="JV93" s="186">
        <f t="shared" si="527"/>
        <v>18</v>
      </c>
      <c r="JW93" s="135" t="str">
        <f t="shared" si="450"/>
        <v>F</v>
      </c>
      <c r="JX93" s="151" t="str">
        <f>VLOOKUP(RANK(JV93,$JV$10:$JV$109),Sheet1!$A$381:$B$480,2,FALSE)</f>
        <v>95th</v>
      </c>
      <c r="JY93" s="186"/>
      <c r="JZ93" s="186"/>
      <c r="KA93" s="186">
        <f t="shared" si="451"/>
        <v>0</v>
      </c>
      <c r="KB93" s="186" t="str">
        <f t="shared" si="452"/>
        <v>0</v>
      </c>
      <c r="KC93" s="186" t="str">
        <f t="shared" si="453"/>
        <v>25</v>
      </c>
      <c r="KD93" s="186">
        <f t="shared" si="528"/>
        <v>25</v>
      </c>
      <c r="KE93" s="186">
        <f t="shared" si="529"/>
        <v>8.3333333333333304</v>
      </c>
      <c r="KF93" s="135" t="str">
        <f t="shared" si="454"/>
        <v>F</v>
      </c>
      <c r="KG93" s="151" t="str">
        <f>VLOOKUP(RANK(KE93,$KE$10:$KE$109),Sheet1!$A$381:$B$480,2,FALSE)</f>
        <v>100th</v>
      </c>
      <c r="KH93" s="186"/>
      <c r="KI93" s="186"/>
      <c r="KJ93" s="186">
        <f t="shared" si="455"/>
        <v>0</v>
      </c>
      <c r="KK93" s="186" t="str">
        <f t="shared" si="456"/>
        <v>28</v>
      </c>
      <c r="KL93" s="186" t="str">
        <f t="shared" si="457"/>
        <v>40</v>
      </c>
      <c r="KM93" s="186">
        <f t="shared" si="530"/>
        <v>68</v>
      </c>
      <c r="KN93" s="186">
        <f t="shared" si="531"/>
        <v>22.6666666666667</v>
      </c>
      <c r="KO93" s="135" t="str">
        <f t="shared" si="458"/>
        <v>F</v>
      </c>
      <c r="KP93" s="151" t="str">
        <f>VLOOKUP(RANK(KN93,$KN$10:$KN$109),Sheet1!$A$381:$B$480,2,FALSE)</f>
        <v>90th</v>
      </c>
      <c r="KQ93" s="186"/>
      <c r="KR93" s="186"/>
      <c r="KS93" s="186">
        <f t="shared" si="459"/>
        <v>0</v>
      </c>
      <c r="KT93" s="186" t="str">
        <f t="shared" si="460"/>
        <v>0</v>
      </c>
      <c r="KU93" s="186" t="str">
        <f t="shared" si="461"/>
        <v>0</v>
      </c>
      <c r="KV93" s="186">
        <f t="shared" si="532"/>
        <v>0</v>
      </c>
      <c r="KW93" s="186">
        <f t="shared" si="533"/>
        <v>0</v>
      </c>
      <c r="KX93" s="135" t="str">
        <f t="shared" si="462"/>
        <v>F</v>
      </c>
      <c r="KY93" s="151" t="str">
        <f>VLOOKUP(RANK(KW93,$KW$10:$KW$109),Sheet1!$A$381:$B$480,2,FALSE)</f>
        <v>1st</v>
      </c>
      <c r="KZ93" s="186"/>
      <c r="LA93" s="186"/>
      <c r="LB93" s="186">
        <f t="shared" si="463"/>
        <v>0</v>
      </c>
      <c r="LC93" s="186" t="str">
        <f t="shared" si="464"/>
        <v>0</v>
      </c>
      <c r="LD93" s="186" t="str">
        <f t="shared" si="465"/>
        <v>0</v>
      </c>
      <c r="LE93" s="186">
        <f t="shared" si="534"/>
        <v>0</v>
      </c>
      <c r="LF93" s="186">
        <f t="shared" si="535"/>
        <v>0</v>
      </c>
      <c r="LG93" s="135" t="str">
        <f t="shared" si="466"/>
        <v>F</v>
      </c>
      <c r="LH93" s="151" t="str">
        <f>VLOOKUP(RANK(LF93,$LF$10:$LF$109),Sheet1!$A$381:$B$480,2,FALSE)</f>
        <v>1st</v>
      </c>
      <c r="LI93" s="186"/>
      <c r="LJ93" s="186"/>
      <c r="LK93" s="186">
        <f t="shared" si="467"/>
        <v>0</v>
      </c>
      <c r="LL93" s="186" t="str">
        <f t="shared" si="468"/>
        <v>52</v>
      </c>
      <c r="LM93" s="186" t="str">
        <f t="shared" si="469"/>
        <v>51</v>
      </c>
      <c r="LN93" s="186">
        <f t="shared" si="536"/>
        <v>103</v>
      </c>
      <c r="LO93" s="186">
        <f t="shared" si="537"/>
        <v>34.3333333333333</v>
      </c>
      <c r="LP93" s="135" t="str">
        <f t="shared" si="470"/>
        <v>F</v>
      </c>
      <c r="LQ93" s="151" t="str">
        <f>VLOOKUP(RANK(LO93,$LO$10:$LO$109),Sheet1!$A$381:$B$480,2,FALSE)</f>
        <v>50th</v>
      </c>
      <c r="LR93" s="186"/>
      <c r="LS93" s="186"/>
      <c r="LT93" s="186">
        <f t="shared" si="471"/>
        <v>0</v>
      </c>
      <c r="LU93" s="186" t="str">
        <f t="shared" si="472"/>
        <v>40</v>
      </c>
      <c r="LV93" s="186" t="str">
        <f t="shared" si="473"/>
        <v>30</v>
      </c>
      <c r="LW93" s="186">
        <f t="shared" si="538"/>
        <v>70</v>
      </c>
      <c r="LX93" s="186">
        <f t="shared" si="539"/>
        <v>23.3333333333333</v>
      </c>
      <c r="LY93" s="135" t="str">
        <f t="shared" si="474"/>
        <v>F</v>
      </c>
      <c r="LZ93" s="151" t="str">
        <f>VLOOKUP(RANK(LX93,$LX$10:$LX$109),Sheet1!$A$381:$B$480,2,FALSE)</f>
        <v>90th</v>
      </c>
      <c r="MA93" s="186"/>
      <c r="MB93" s="186"/>
      <c r="MC93" s="186">
        <f t="shared" si="475"/>
        <v>0</v>
      </c>
      <c r="MD93" s="186" t="str">
        <f t="shared" si="476"/>
        <v>43</v>
      </c>
      <c r="ME93" s="186" t="str">
        <f t="shared" si="477"/>
        <v>29</v>
      </c>
      <c r="MF93" s="183">
        <f t="shared" si="540"/>
        <v>72</v>
      </c>
      <c r="MG93" s="151">
        <f t="shared" si="541"/>
        <v>24</v>
      </c>
      <c r="MH93" s="135" t="str">
        <f t="shared" si="478"/>
        <v>F</v>
      </c>
      <c r="MI93" s="151" t="str">
        <f>VLOOKUP(RANK(MG93,$MG$10:$MG$109),Sheet1!$A$381:$B$480,2,FALSE)</f>
        <v>57th</v>
      </c>
      <c r="MJ93" s="186"/>
      <c r="MK93" s="186"/>
      <c r="ML93" s="186">
        <f t="shared" si="479"/>
        <v>0</v>
      </c>
      <c r="MM93" s="186" t="str">
        <f t="shared" si="480"/>
        <v>55</v>
      </c>
      <c r="MN93" s="186" t="str">
        <f t="shared" si="481"/>
        <v>42</v>
      </c>
      <c r="MO93" s="186">
        <f t="shared" si="542"/>
        <v>97</v>
      </c>
      <c r="MP93" s="186">
        <f t="shared" si="543"/>
        <v>32.3333333333333</v>
      </c>
      <c r="MQ93" s="135" t="str">
        <f t="shared" si="482"/>
        <v>F</v>
      </c>
      <c r="MR93" s="151" t="str">
        <f>VLOOKUP(RANK(MP93,$MP$10:$MP$109),Sheet1!$A$381:$B$480,2,FALSE)</f>
        <v>38th</v>
      </c>
      <c r="MS93" s="186"/>
      <c r="MT93" s="186"/>
      <c r="MU93" s="186">
        <f t="shared" si="483"/>
        <v>0</v>
      </c>
      <c r="MV93" s="186" t="str">
        <f t="shared" si="484"/>
        <v>20</v>
      </c>
      <c r="MW93" s="186" t="str">
        <f t="shared" si="485"/>
        <v>0</v>
      </c>
      <c r="MX93" s="186">
        <f t="shared" si="544"/>
        <v>20</v>
      </c>
      <c r="MY93" s="186">
        <f t="shared" si="545"/>
        <v>6.6666666666666696</v>
      </c>
      <c r="MZ93" s="135" t="str">
        <f t="shared" si="486"/>
        <v>F</v>
      </c>
      <c r="NA93" s="151" t="str">
        <f>VLOOKUP(RANK(MY93,$MY$10:$MY$109),Sheet1!$A$381:$B$480,2,FALSE)</f>
        <v>100th</v>
      </c>
      <c r="NB93" s="186"/>
      <c r="NC93" s="186"/>
      <c r="ND93" s="186">
        <f t="shared" si="487"/>
        <v>0</v>
      </c>
      <c r="NE93" s="186" t="str">
        <f t="shared" si="488"/>
        <v>38</v>
      </c>
      <c r="NF93" s="186" t="str">
        <f t="shared" si="489"/>
        <v>36</v>
      </c>
      <c r="NG93" s="186">
        <f t="shared" si="546"/>
        <v>74</v>
      </c>
      <c r="NH93" s="186">
        <f t="shared" si="547"/>
        <v>24.6666666666667</v>
      </c>
      <c r="NI93" s="135" t="str">
        <f t="shared" si="490"/>
        <v>F</v>
      </c>
      <c r="NJ93" s="151" t="str">
        <f>VLOOKUP(RANK(NH93,$NH$10:$NH$109),Sheet1!$A$381:$B$480,2,FALSE)</f>
        <v>90th</v>
      </c>
      <c r="NK93" s="186"/>
      <c r="NL93" s="186"/>
      <c r="NM93" s="186">
        <f t="shared" si="491"/>
        <v>0</v>
      </c>
      <c r="NN93" s="186" t="str">
        <f t="shared" si="492"/>
        <v>56</v>
      </c>
      <c r="NO93" s="186" t="str">
        <f t="shared" si="493"/>
        <v>72</v>
      </c>
      <c r="NP93" s="186">
        <f t="shared" si="548"/>
        <v>128</v>
      </c>
      <c r="NQ93" s="186">
        <f t="shared" si="494"/>
        <v>42.6666666666667</v>
      </c>
      <c r="NR93" s="135" t="str">
        <f t="shared" si="495"/>
        <v>D</v>
      </c>
      <c r="NS93" s="151" t="str">
        <f>VLOOKUP(RANK(NQ93,$NQ$10:$NQ$109),Sheet1!$A$381:$B$480,2,FALSE)</f>
        <v>50th</v>
      </c>
      <c r="NT93" s="186"/>
      <c r="NU93" s="186"/>
      <c r="NV93" s="186">
        <f t="shared" si="496"/>
        <v>0</v>
      </c>
      <c r="NW93" s="186" t="str">
        <f t="shared" si="497"/>
        <v>0</v>
      </c>
      <c r="NX93" s="186" t="str">
        <f t="shared" si="498"/>
        <v>0</v>
      </c>
      <c r="NY93" s="186">
        <f t="shared" si="549"/>
        <v>0</v>
      </c>
      <c r="NZ93" s="186">
        <f t="shared" si="499"/>
        <v>0</v>
      </c>
      <c r="OA93" s="135" t="str">
        <f t="shared" si="500"/>
        <v>F</v>
      </c>
      <c r="OB93" s="151" t="str">
        <f>VLOOKUP(RANK(NZ93,$NZ$10:$NZ$109),Sheet1!$A$381:$B$480,2,FALSE)</f>
        <v>1st</v>
      </c>
      <c r="OC93" s="186"/>
      <c r="OD93" s="186"/>
      <c r="OE93" s="186">
        <f t="shared" si="501"/>
        <v>0</v>
      </c>
      <c r="OF93" s="186" t="str">
        <f t="shared" si="502"/>
        <v>0</v>
      </c>
      <c r="OG93" s="186" t="str">
        <f t="shared" si="503"/>
        <v>0</v>
      </c>
      <c r="OH93" s="186">
        <f t="shared" si="550"/>
        <v>0</v>
      </c>
      <c r="OI93" s="186">
        <f t="shared" si="504"/>
        <v>0</v>
      </c>
      <c r="OJ93" s="135" t="str">
        <f t="shared" si="505"/>
        <v>F</v>
      </c>
      <c r="OK93" s="151" t="str">
        <f>VLOOKUP(RANK(OI93,$OI$10:$OI$109),Sheet1!$A$381:$B$480,2,FALSE)</f>
        <v>1st</v>
      </c>
      <c r="OL93" s="151"/>
      <c r="OM93" s="151"/>
      <c r="ON93" s="151">
        <f t="shared" si="551"/>
        <v>0</v>
      </c>
      <c r="OO93" s="151" t="str">
        <f t="shared" si="552"/>
        <v>0</v>
      </c>
      <c r="OP93" s="151" t="str">
        <f t="shared" si="553"/>
        <v>0</v>
      </c>
      <c r="OQ93" s="151">
        <f t="shared" si="554"/>
        <v>0</v>
      </c>
      <c r="OR93" s="151">
        <f t="shared" si="555"/>
        <v>0</v>
      </c>
      <c r="OS93" s="135" t="str">
        <f t="shared" si="506"/>
        <v>F</v>
      </c>
      <c r="OT93" s="151" t="str">
        <f>VLOOKUP(RANK(OR93,$OI$10:$OI$109),Sheet1!$A$381:$B$480,2,FALSE)</f>
        <v>1st</v>
      </c>
      <c r="OU93" s="151">
        <f t="shared" si="556"/>
        <v>301</v>
      </c>
      <c r="OV93" s="151">
        <f t="shared" si="557"/>
        <v>17.705882352941199</v>
      </c>
      <c r="OW93" s="151" t="str">
        <f>VLOOKUP(RANK(OV93,$OV$10:$OV$109),Sheet1!$A$381:$B$480,2,FALSE)</f>
        <v>95th</v>
      </c>
      <c r="OX93" s="151"/>
      <c r="OY93" s="186"/>
      <c r="OZ93" s="186"/>
      <c r="PA93" s="186"/>
      <c r="PB93" s="186"/>
    </row>
    <row r="94" spans="1:418" s="118" customFormat="1" ht="18.75">
      <c r="A94" s="131">
        <v>85</v>
      </c>
      <c r="B94" s="132" t="s">
        <v>184</v>
      </c>
      <c r="C94" s="133" t="s">
        <v>97</v>
      </c>
      <c r="D94" s="134">
        <v>26</v>
      </c>
      <c r="E94" s="134">
        <v>50</v>
      </c>
      <c r="F94" s="137">
        <f t="shared" si="315"/>
        <v>76</v>
      </c>
      <c r="G94" s="137">
        <f t="shared" si="316"/>
        <v>76</v>
      </c>
      <c r="H94" s="135" t="str">
        <f t="shared" si="507"/>
        <v>A</v>
      </c>
      <c r="I94" s="135" t="str">
        <f>VLOOKUP(RANK(G94,$G$10:$G$109),Sheet1!$A$381:$B$480,2,FALSE)</f>
        <v>16th</v>
      </c>
      <c r="J94" s="134">
        <v>26</v>
      </c>
      <c r="K94" s="134">
        <v>25</v>
      </c>
      <c r="L94" s="137">
        <f t="shared" si="317"/>
        <v>51</v>
      </c>
      <c r="M94" s="137">
        <f t="shared" si="318"/>
        <v>51</v>
      </c>
      <c r="N94" s="135" t="str">
        <f t="shared" si="319"/>
        <v>C</v>
      </c>
      <c r="O94" s="141" t="str">
        <f>VLOOKUP(RANK(M94,$M$10:$M$109),Sheet1!$A$381:$B$480,2,FALSE)</f>
        <v>56th</v>
      </c>
      <c r="P94" s="144">
        <v>29</v>
      </c>
      <c r="Q94" s="144">
        <v>1</v>
      </c>
      <c r="R94" s="147">
        <f t="shared" si="320"/>
        <v>30</v>
      </c>
      <c r="S94" s="137">
        <f t="shared" si="321"/>
        <v>30</v>
      </c>
      <c r="T94" s="135" t="str">
        <f t="shared" si="322"/>
        <v>F</v>
      </c>
      <c r="U94" s="135" t="str">
        <f>VLOOKUP(RANK(S94,$S$10:$S$109),Sheet1!$A$381:$B$480,2,FALSE)</f>
        <v>80th</v>
      </c>
      <c r="V94" s="134">
        <v>31</v>
      </c>
      <c r="W94" s="134">
        <v>26</v>
      </c>
      <c r="X94" s="137">
        <f t="shared" si="559"/>
        <v>57</v>
      </c>
      <c r="Y94" s="137">
        <f t="shared" si="558"/>
        <v>57</v>
      </c>
      <c r="Z94" s="135" t="str">
        <f t="shared" si="323"/>
        <v>C</v>
      </c>
      <c r="AA94" s="135" t="str">
        <f>VLOOKUP(RANK(Y94,$Y$10:$Y$109),Sheet1!$A$381:$B$480,2,FALSE)</f>
        <v>40th</v>
      </c>
      <c r="AB94" s="134">
        <v>31</v>
      </c>
      <c r="AC94" s="134">
        <v>48</v>
      </c>
      <c r="AD94" s="137">
        <f t="shared" si="324"/>
        <v>79</v>
      </c>
      <c r="AE94" s="137">
        <f t="shared" si="325"/>
        <v>79</v>
      </c>
      <c r="AF94" s="135" t="str">
        <f t="shared" si="326"/>
        <v>A</v>
      </c>
      <c r="AG94" s="135" t="str">
        <f>VLOOKUP(RANK(AE94,$AE$10:$AE$109),Sheet1!$A$381:$B$480,2,FALSE)</f>
        <v>16th</v>
      </c>
      <c r="AH94" s="137"/>
      <c r="AI94" s="137"/>
      <c r="AJ94" s="137">
        <f t="shared" si="327"/>
        <v>0</v>
      </c>
      <c r="AK94" s="137">
        <f t="shared" si="328"/>
        <v>0</v>
      </c>
      <c r="AL94" s="135" t="str">
        <f t="shared" si="329"/>
        <v>F</v>
      </c>
      <c r="AM94" s="135" t="str">
        <f>VLOOKUP(RANK(AK94,$AK$10:$AK$109),Sheet1!$A$381:$B$480,2,FALSE)</f>
        <v>1st</v>
      </c>
      <c r="AN94" s="134"/>
      <c r="AO94" s="134"/>
      <c r="AP94" s="137">
        <f t="shared" si="330"/>
        <v>0</v>
      </c>
      <c r="AQ94" s="137">
        <f t="shared" si="331"/>
        <v>0</v>
      </c>
      <c r="AR94" s="135" t="str">
        <f t="shared" si="332"/>
        <v>F</v>
      </c>
      <c r="AS94" s="135" t="str">
        <f>VLOOKUP(RANK(AQ94,$AQ$10:$AQ$109),Sheet1!$A$381:$B$480,2,FALSE)</f>
        <v>1st</v>
      </c>
      <c r="AT94" s="144">
        <v>24</v>
      </c>
      <c r="AU94" s="144">
        <v>28</v>
      </c>
      <c r="AV94" s="137">
        <f t="shared" si="333"/>
        <v>52</v>
      </c>
      <c r="AW94" s="137">
        <f t="shared" si="334"/>
        <v>52</v>
      </c>
      <c r="AX94" s="135" t="str">
        <f t="shared" si="335"/>
        <v>C</v>
      </c>
      <c r="AY94" s="141" t="str">
        <f>VLOOKUP(RANK(AW94,$AW$10:$AW$109),Sheet1!$A$381:$B$480,2,FALSE)</f>
        <v>34th</v>
      </c>
      <c r="AZ94" s="144">
        <v>30</v>
      </c>
      <c r="BA94" s="144">
        <v>10</v>
      </c>
      <c r="BB94" s="147">
        <f t="shared" si="336"/>
        <v>40</v>
      </c>
      <c r="BC94" s="137">
        <f t="shared" si="337"/>
        <v>40</v>
      </c>
      <c r="BD94" s="135" t="str">
        <f t="shared" si="338"/>
        <v>D</v>
      </c>
      <c r="BE94" s="135" t="str">
        <f>VLOOKUP(RANK(BC94,$BC$10:$BC$109),Sheet1!$A$381:$B$480,2,FALSE)</f>
        <v>85th</v>
      </c>
      <c r="BF94" s="144">
        <v>12</v>
      </c>
      <c r="BG94" s="144">
        <v>13</v>
      </c>
      <c r="BH94" s="137">
        <f t="shared" si="339"/>
        <v>25</v>
      </c>
      <c r="BI94" s="137">
        <f t="shared" si="340"/>
        <v>25</v>
      </c>
      <c r="BJ94" s="135" t="str">
        <f t="shared" si="341"/>
        <v>F</v>
      </c>
      <c r="BK94" s="141" t="str">
        <f>VLOOKUP(RANK(BI94,$BI$10:$BI$109),Sheet1!$A$381:$B$480,2,FALSE)</f>
        <v>78th</v>
      </c>
      <c r="BL94" s="149">
        <v>31</v>
      </c>
      <c r="BM94" s="149">
        <v>28</v>
      </c>
      <c r="BN94" s="147">
        <f t="shared" si="342"/>
        <v>59</v>
      </c>
      <c r="BO94" s="137">
        <f t="shared" si="343"/>
        <v>59</v>
      </c>
      <c r="BP94" s="135" t="str">
        <f t="shared" si="344"/>
        <v>C</v>
      </c>
      <c r="BQ94" s="141" t="str">
        <f>VLOOKUP(RANK(BO94,$BO$10:$BO$109),Sheet1!$A$381:$B$480,2,FALSE)</f>
        <v>2nd</v>
      </c>
      <c r="BR94" s="149">
        <v>28</v>
      </c>
      <c r="BS94" s="149">
        <v>18</v>
      </c>
      <c r="BT94" s="147">
        <f t="shared" si="345"/>
        <v>46</v>
      </c>
      <c r="BU94" s="137">
        <f t="shared" si="346"/>
        <v>46</v>
      </c>
      <c r="BV94" s="135" t="str">
        <f t="shared" si="347"/>
        <v>D</v>
      </c>
      <c r="BW94" s="135" t="str">
        <f>VLOOKUP(RANK(BU94,$BU$10:$BU$109),Sheet1!$A$381:$B$480,2,FALSE)</f>
        <v>45th</v>
      </c>
      <c r="BX94" s="149">
        <v>30</v>
      </c>
      <c r="BY94" s="149">
        <v>14</v>
      </c>
      <c r="BZ94" s="137">
        <f t="shared" si="348"/>
        <v>44</v>
      </c>
      <c r="CA94" s="137">
        <f t="shared" si="349"/>
        <v>44</v>
      </c>
      <c r="CB94" s="135" t="str">
        <f t="shared" si="350"/>
        <v>D</v>
      </c>
      <c r="CC94" s="135" t="str">
        <f>VLOOKUP(RANK(CA94,$CA$10:$CA$109),Sheet1!$A$381:$B$480,2,FALSE)</f>
        <v>20th</v>
      </c>
      <c r="CD94" s="149">
        <v>25</v>
      </c>
      <c r="CE94" s="149">
        <v>30</v>
      </c>
      <c r="CF94" s="137">
        <f t="shared" si="351"/>
        <v>55</v>
      </c>
      <c r="CG94" s="137">
        <f t="shared" si="352"/>
        <v>55</v>
      </c>
      <c r="CH94" s="135" t="str">
        <f t="shared" si="353"/>
        <v>C</v>
      </c>
      <c r="CI94" s="135" t="str">
        <f>VLOOKUP(RANK(CG94,$CG$10:$CG$109),Sheet1!$A$381:$B$480,2,FALSE)</f>
        <v>46th</v>
      </c>
      <c r="CJ94" s="137"/>
      <c r="CK94" s="137"/>
      <c r="CL94" s="137">
        <f t="shared" si="354"/>
        <v>0</v>
      </c>
      <c r="CM94" s="137">
        <f t="shared" si="355"/>
        <v>0</v>
      </c>
      <c r="CN94" s="135" t="str">
        <f t="shared" si="356"/>
        <v>F</v>
      </c>
      <c r="CO94" s="135" t="str">
        <f>VLOOKUP(RANK(CM94,$CM$10:$CM$109),Sheet1!$A$381:$B$480,2,FALSE)</f>
        <v>1st</v>
      </c>
      <c r="CP94" s="137"/>
      <c r="CQ94" s="137"/>
      <c r="CR94" s="137">
        <f t="shared" si="357"/>
        <v>0</v>
      </c>
      <c r="CS94" s="137">
        <f t="shared" si="358"/>
        <v>0</v>
      </c>
      <c r="CT94" s="135" t="str">
        <f t="shared" si="359"/>
        <v>F</v>
      </c>
      <c r="CU94" s="135" t="str">
        <f>VLOOKUP(RANK(CS94,$CS$10:$CS$109),Sheet1!$A$381:$B$480,2,FALSE)</f>
        <v>1st</v>
      </c>
      <c r="CV94" s="151"/>
      <c r="CW94" s="135"/>
      <c r="CX94" s="151">
        <f t="shared" si="508"/>
        <v>0</v>
      </c>
      <c r="CY94" s="151">
        <f t="shared" si="509"/>
        <v>0</v>
      </c>
      <c r="CZ94" s="135" t="str">
        <f t="shared" si="360"/>
        <v>F</v>
      </c>
      <c r="DA94" s="135" t="str">
        <f>VLOOKUP(RANK(CY94,$CY$10:$CY$109),Sheet1!$A$381:$B$480,2,FALSE)</f>
        <v>1st</v>
      </c>
      <c r="DB94" s="135"/>
      <c r="DC94" s="151">
        <f t="shared" si="510"/>
        <v>614</v>
      </c>
      <c r="DD94" s="151">
        <f t="shared" si="511"/>
        <v>36.117647058823501</v>
      </c>
      <c r="DE94" s="135" t="str">
        <f>VLOOKUP(RANK(DD94,$DD$10:$DD$109),Sheet1!$A$381:$B$480,2,FALSE)</f>
        <v>50th</v>
      </c>
      <c r="DF94" s="137"/>
      <c r="DG94" s="160">
        <f t="shared" si="361"/>
        <v>650.11764705882399</v>
      </c>
      <c r="DH94" s="119"/>
      <c r="DI94" s="162">
        <v>23</v>
      </c>
      <c r="DJ94" s="162">
        <v>48</v>
      </c>
      <c r="DK94" s="137">
        <f t="shared" si="362"/>
        <v>71</v>
      </c>
      <c r="DL94" s="137" t="str">
        <f t="shared" si="363"/>
        <v>76</v>
      </c>
      <c r="DM94" s="137">
        <f t="shared" si="364"/>
        <v>147</v>
      </c>
      <c r="DN94" s="137">
        <f t="shared" si="365"/>
        <v>73.5</v>
      </c>
      <c r="DO94" s="135" t="str">
        <f t="shared" si="366"/>
        <v>B</v>
      </c>
      <c r="DP94" s="135" t="str">
        <f>VLOOKUP(RANK(DN94,$DN$10:$DN$109),Sheet1!$A$381:$B$480,2,FALSE)</f>
        <v>21st</v>
      </c>
      <c r="DQ94" s="166">
        <v>28</v>
      </c>
      <c r="DR94" s="166">
        <v>24</v>
      </c>
      <c r="DS94" s="137">
        <f t="shared" si="367"/>
        <v>52</v>
      </c>
      <c r="DT94" s="137" t="str">
        <f t="shared" si="368"/>
        <v>51</v>
      </c>
      <c r="DU94" s="137">
        <f t="shared" si="369"/>
        <v>103</v>
      </c>
      <c r="DV94" s="137">
        <f t="shared" si="370"/>
        <v>51.5</v>
      </c>
      <c r="DW94" s="135" t="str">
        <f t="shared" si="371"/>
        <v>C</v>
      </c>
      <c r="DX94" s="135" t="str">
        <f>VLOOKUP(RANK(DV94,$DV$10:$DV$109),Sheet1!$A$381:$B$480,2,FALSE)</f>
        <v>38th</v>
      </c>
      <c r="DY94" s="168">
        <v>22</v>
      </c>
      <c r="DZ94" s="168">
        <v>20</v>
      </c>
      <c r="EA94" s="137">
        <f t="shared" si="372"/>
        <v>42</v>
      </c>
      <c r="EB94" s="137" t="str">
        <f t="shared" si="373"/>
        <v>30</v>
      </c>
      <c r="EC94" s="137">
        <f t="shared" si="374"/>
        <v>72</v>
      </c>
      <c r="ED94" s="137">
        <f t="shared" si="375"/>
        <v>36</v>
      </c>
      <c r="EE94" s="135" t="str">
        <f t="shared" si="376"/>
        <v>E</v>
      </c>
      <c r="EF94" s="135" t="str">
        <f>VLOOKUP(RANK(ED94,$ED$10:$ED$109),Sheet1!$A$381:$B$480,2,FALSE)</f>
        <v>81st</v>
      </c>
      <c r="EG94" s="162">
        <v>24</v>
      </c>
      <c r="EH94" s="162">
        <v>33</v>
      </c>
      <c r="EI94" s="137">
        <f t="shared" si="377"/>
        <v>57</v>
      </c>
      <c r="EJ94" s="137" t="str">
        <f t="shared" si="378"/>
        <v>57</v>
      </c>
      <c r="EK94" s="137">
        <f t="shared" si="379"/>
        <v>114</v>
      </c>
      <c r="EL94" s="137">
        <f t="shared" si="380"/>
        <v>57</v>
      </c>
      <c r="EM94" s="135" t="str">
        <f t="shared" si="381"/>
        <v>C</v>
      </c>
      <c r="EN94" s="135" t="str">
        <f>VLOOKUP(RANK(EL94,$EL$10:$EL$109),Sheet1!$A$381:$B$480,2,FALSE)</f>
        <v>43rd</v>
      </c>
      <c r="EO94" s="162">
        <v>23</v>
      </c>
      <c r="EP94" s="162">
        <v>26</v>
      </c>
      <c r="EQ94" s="137">
        <f t="shared" si="382"/>
        <v>49</v>
      </c>
      <c r="ER94" s="137" t="str">
        <f t="shared" si="383"/>
        <v>79</v>
      </c>
      <c r="ES94" s="137">
        <f t="shared" si="384"/>
        <v>128</v>
      </c>
      <c r="ET94" s="137">
        <f t="shared" si="385"/>
        <v>64</v>
      </c>
      <c r="EU94" s="135" t="str">
        <f t="shared" si="386"/>
        <v>B</v>
      </c>
      <c r="EV94" s="135" t="str">
        <f>VLOOKUP(RANK(ET94,$ET$10:$ET$109),Sheet1!$A$381:$B$480,2,FALSE)</f>
        <v>33rd</v>
      </c>
      <c r="EW94" s="137"/>
      <c r="EX94" s="137"/>
      <c r="EY94" s="137">
        <f t="shared" si="387"/>
        <v>0</v>
      </c>
      <c r="EZ94" s="137" t="str">
        <f t="shared" si="388"/>
        <v>0</v>
      </c>
      <c r="FA94" s="137">
        <f t="shared" si="389"/>
        <v>0</v>
      </c>
      <c r="FB94" s="137">
        <f t="shared" si="390"/>
        <v>0</v>
      </c>
      <c r="FC94" s="135" t="str">
        <f t="shared" si="391"/>
        <v>F</v>
      </c>
      <c r="FD94" s="135" t="str">
        <f>VLOOKUP(RANK(FB94,$FB$10:$FB$109),Sheet1!$A$381:$B$480,2,FALSE)</f>
        <v>1st</v>
      </c>
      <c r="FE94" s="137"/>
      <c r="FF94" s="137"/>
      <c r="FG94" s="137">
        <f t="shared" si="392"/>
        <v>0</v>
      </c>
      <c r="FH94" s="137" t="str">
        <f t="shared" si="393"/>
        <v>0</v>
      </c>
      <c r="FI94" s="137">
        <f t="shared" si="394"/>
        <v>0</v>
      </c>
      <c r="FJ94" s="137">
        <f t="shared" si="395"/>
        <v>0</v>
      </c>
      <c r="FK94" s="135" t="str">
        <f t="shared" si="396"/>
        <v>F</v>
      </c>
      <c r="FL94" s="135" t="str">
        <f>VLOOKUP(RANK(FJ94,$FJ$10:$FJ$109),Sheet1!$A$381:$B$480,2,FALSE)</f>
        <v>1st</v>
      </c>
      <c r="FM94" s="166">
        <v>27</v>
      </c>
      <c r="FN94" s="166">
        <v>25</v>
      </c>
      <c r="FO94" s="137">
        <f t="shared" si="397"/>
        <v>52</v>
      </c>
      <c r="FP94" s="137" t="str">
        <f t="shared" si="398"/>
        <v>52</v>
      </c>
      <c r="FQ94" s="137">
        <f t="shared" si="399"/>
        <v>104</v>
      </c>
      <c r="FR94" s="137">
        <f t="shared" si="400"/>
        <v>52</v>
      </c>
      <c r="FS94" s="135" t="str">
        <f t="shared" si="401"/>
        <v>C</v>
      </c>
      <c r="FT94" s="135" t="str">
        <f>VLOOKUP(RANK(FR94,$FR$10:$FR$109),Sheet1!$A$381:$B$480,2,FALSE)</f>
        <v>45th</v>
      </c>
      <c r="FU94" s="149">
        <v>28</v>
      </c>
      <c r="FV94" s="149">
        <v>30</v>
      </c>
      <c r="FW94" s="137">
        <f t="shared" si="402"/>
        <v>58</v>
      </c>
      <c r="FX94" s="137" t="str">
        <f t="shared" si="403"/>
        <v>40</v>
      </c>
      <c r="FY94" s="137">
        <f t="shared" si="512"/>
        <v>58</v>
      </c>
      <c r="FZ94" s="137">
        <f t="shared" si="404"/>
        <v>29</v>
      </c>
      <c r="GA94" s="135" t="str">
        <f t="shared" si="405"/>
        <v>F</v>
      </c>
      <c r="GB94" s="135" t="str">
        <f>VLOOKUP(RANK(FZ94,$FZ$10:$FZ$109),Sheet1!$A$381:$B$480,2,FALSE)</f>
        <v>28th</v>
      </c>
      <c r="GC94" s="166">
        <v>16</v>
      </c>
      <c r="GD94" s="166">
        <v>29</v>
      </c>
      <c r="GE94" s="137">
        <f t="shared" si="406"/>
        <v>45</v>
      </c>
      <c r="GF94" s="137" t="str">
        <f t="shared" si="407"/>
        <v>25</v>
      </c>
      <c r="GG94" s="135">
        <f t="shared" si="513"/>
        <v>70</v>
      </c>
      <c r="GH94" s="137">
        <f t="shared" si="514"/>
        <v>35</v>
      </c>
      <c r="GI94" s="135" t="str">
        <f t="shared" si="408"/>
        <v>E</v>
      </c>
      <c r="GJ94" s="135" t="str">
        <f>VLOOKUP(RANK(GH94,$GH$10:$GH$109),Sheet1!$A$381:$B$480,2,FALSE)</f>
        <v>59th</v>
      </c>
      <c r="GK94" s="166">
        <v>29</v>
      </c>
      <c r="GL94" s="166">
        <v>19</v>
      </c>
      <c r="GM94" s="137">
        <f t="shared" si="409"/>
        <v>48</v>
      </c>
      <c r="GN94" s="137" t="str">
        <f t="shared" si="410"/>
        <v>59</v>
      </c>
      <c r="GO94" s="135">
        <f t="shared" si="515"/>
        <v>107</v>
      </c>
      <c r="GP94" s="137">
        <f t="shared" si="411"/>
        <v>53.5</v>
      </c>
      <c r="GQ94" s="135" t="str">
        <f t="shared" si="412"/>
        <v>C</v>
      </c>
      <c r="GR94" s="135" t="str">
        <f>VLOOKUP(RANK(GP94,$GP$10:$GP$109),Sheet1!$A$381:$B$480,2,FALSE)</f>
        <v>5th</v>
      </c>
      <c r="GS94" s="166">
        <v>35</v>
      </c>
      <c r="GT94" s="166">
        <v>28</v>
      </c>
      <c r="GU94" s="137">
        <f t="shared" si="413"/>
        <v>63</v>
      </c>
      <c r="GV94" s="137" t="str">
        <f t="shared" si="414"/>
        <v>46</v>
      </c>
      <c r="GW94" s="137">
        <f t="shared" si="415"/>
        <v>109</v>
      </c>
      <c r="GX94" s="137">
        <f t="shared" si="416"/>
        <v>54.5</v>
      </c>
      <c r="GY94" s="135" t="str">
        <f t="shared" si="417"/>
        <v>C</v>
      </c>
      <c r="GZ94" s="135" t="str">
        <f>VLOOKUP(RANK(GX94,$GX$10:$GX$109),Sheet1!$A$381:$B$480,2,FALSE)</f>
        <v>38th</v>
      </c>
      <c r="HA94" s="166">
        <v>29</v>
      </c>
      <c r="HB94" s="166">
        <v>14</v>
      </c>
      <c r="HC94" s="137">
        <f t="shared" si="418"/>
        <v>43</v>
      </c>
      <c r="HD94" s="137" t="str">
        <f t="shared" si="419"/>
        <v>44</v>
      </c>
      <c r="HE94" s="137">
        <f t="shared" si="420"/>
        <v>87</v>
      </c>
      <c r="HF94" s="137">
        <f t="shared" si="421"/>
        <v>43.5</v>
      </c>
      <c r="HG94" s="135" t="str">
        <f t="shared" si="422"/>
        <v>D</v>
      </c>
      <c r="HH94" s="135" t="str">
        <f>VLOOKUP(RANK(HF94,$HF$10:$HF$109),Sheet1!$A$381:$B$480,2,FALSE)</f>
        <v>33rd</v>
      </c>
      <c r="HI94" s="149">
        <v>26</v>
      </c>
      <c r="HJ94" s="149">
        <v>35</v>
      </c>
      <c r="HK94" s="137">
        <f t="shared" si="423"/>
        <v>61</v>
      </c>
      <c r="HL94" s="137" t="str">
        <f t="shared" si="424"/>
        <v>55</v>
      </c>
      <c r="HM94" s="137">
        <f t="shared" si="425"/>
        <v>116</v>
      </c>
      <c r="HN94" s="137">
        <f t="shared" si="426"/>
        <v>58</v>
      </c>
      <c r="HO94" s="135" t="str">
        <f t="shared" si="427"/>
        <v>C</v>
      </c>
      <c r="HP94" s="135" t="str">
        <f>VLOOKUP(RANK(HN94,$HN$10:$HN$109),Sheet1!$A$381:$B$480,2,FALSE)</f>
        <v>80th</v>
      </c>
      <c r="HQ94" s="137"/>
      <c r="HR94" s="137"/>
      <c r="HS94" s="137">
        <f t="shared" si="428"/>
        <v>0</v>
      </c>
      <c r="HT94" s="137" t="str">
        <f t="shared" si="429"/>
        <v>0</v>
      </c>
      <c r="HU94" s="137">
        <f t="shared" si="430"/>
        <v>0</v>
      </c>
      <c r="HV94" s="137">
        <f t="shared" si="431"/>
        <v>0</v>
      </c>
      <c r="HW94" s="135" t="str">
        <f t="shared" si="432"/>
        <v>F</v>
      </c>
      <c r="HX94" s="135" t="str">
        <f>VLOOKUP(RANK(HV94,$HV$10:$HV$109),Sheet1!$A$381:$B$480,2,FALSE)</f>
        <v>1st</v>
      </c>
      <c r="HY94" s="137"/>
      <c r="HZ94" s="137"/>
      <c r="IA94" s="137">
        <f t="shared" si="433"/>
        <v>0</v>
      </c>
      <c r="IB94" s="137" t="str">
        <f t="shared" si="434"/>
        <v>0</v>
      </c>
      <c r="IC94" s="137">
        <f t="shared" si="435"/>
        <v>0</v>
      </c>
      <c r="ID94" s="137">
        <f t="shared" si="436"/>
        <v>0</v>
      </c>
      <c r="IE94" s="135" t="str">
        <f t="shared" si="437"/>
        <v>F</v>
      </c>
      <c r="IF94" s="135" t="str">
        <f>VLOOKUP(RANK(ID94,$ID$10:$ID$109),Sheet1!$A$381:$B$480,2,FALSE)</f>
        <v>1st</v>
      </c>
      <c r="IG94" s="135"/>
      <c r="IH94" s="135"/>
      <c r="II94" s="135">
        <f t="shared" si="516"/>
        <v>0</v>
      </c>
      <c r="IJ94" s="135" t="str">
        <f t="shared" si="517"/>
        <v>0</v>
      </c>
      <c r="IK94" s="135">
        <f t="shared" si="518"/>
        <v>0</v>
      </c>
      <c r="IL94" s="135">
        <f t="shared" si="519"/>
        <v>0</v>
      </c>
      <c r="IM94" s="135" t="str">
        <f t="shared" si="438"/>
        <v>F</v>
      </c>
      <c r="IN94" s="135" t="str">
        <f>VLOOKUP(RANK(IL94,$IL$10:$IL$109),Sheet1!$A$381:$B$480,2,FALSE)</f>
        <v>1st</v>
      </c>
      <c r="IO94" s="135">
        <f t="shared" si="520"/>
        <v>607.5</v>
      </c>
      <c r="IP94" s="177">
        <f t="shared" si="521"/>
        <v>35.735294117647101</v>
      </c>
      <c r="IQ94" s="135" t="str">
        <f>VLOOKUP(RANK(IP94,$IP$10:$IP$109),Sheet1!$A$381:$B$480,2,FALSE)</f>
        <v>44th</v>
      </c>
      <c r="IR94" s="178"/>
      <c r="IS94" s="137"/>
      <c r="IT94" s="137"/>
      <c r="IU94" s="137"/>
      <c r="IV94" s="137"/>
      <c r="IW94" s="181"/>
      <c r="IX94" s="184"/>
      <c r="IY94" s="186"/>
      <c r="IZ94" s="186">
        <f t="shared" si="439"/>
        <v>0</v>
      </c>
      <c r="JA94" s="186" t="str">
        <f t="shared" si="440"/>
        <v>76</v>
      </c>
      <c r="JB94" s="186" t="str">
        <f t="shared" si="441"/>
        <v>71</v>
      </c>
      <c r="JC94" s="186">
        <f t="shared" si="522"/>
        <v>147</v>
      </c>
      <c r="JD94" s="186">
        <f t="shared" si="523"/>
        <v>49</v>
      </c>
      <c r="JE94" s="135" t="str">
        <f t="shared" si="442"/>
        <v>D</v>
      </c>
      <c r="JF94" s="151" t="str">
        <f>VLOOKUP(RANK(JD94,$JD$10:$JD$109),Sheet1!$A$381:$B$480,2,FALSE)</f>
        <v>21st</v>
      </c>
      <c r="JG94" s="186"/>
      <c r="JH94" s="186"/>
      <c r="JI94" s="186">
        <f t="shared" si="443"/>
        <v>0</v>
      </c>
      <c r="JJ94" s="186" t="str">
        <f t="shared" si="444"/>
        <v>51</v>
      </c>
      <c r="JK94" s="186" t="str">
        <f t="shared" si="445"/>
        <v>52</v>
      </c>
      <c r="JL94" s="186">
        <f t="shared" si="524"/>
        <v>103</v>
      </c>
      <c r="JM94" s="186">
        <f t="shared" si="525"/>
        <v>34.3333333333333</v>
      </c>
      <c r="JN94" s="135" t="str">
        <f t="shared" si="446"/>
        <v>F</v>
      </c>
      <c r="JO94" s="151" t="str">
        <f>VLOOKUP(RANK(JM94,$JM$10:$JM$109),Sheet1!$A$381:$B$480,2,FALSE)</f>
        <v>38th</v>
      </c>
      <c r="JP94" s="186"/>
      <c r="JQ94" s="186"/>
      <c r="JR94" s="186">
        <f t="shared" si="447"/>
        <v>0</v>
      </c>
      <c r="JS94" s="186" t="str">
        <f t="shared" si="448"/>
        <v>30</v>
      </c>
      <c r="JT94" s="186" t="str">
        <f t="shared" si="449"/>
        <v>42</v>
      </c>
      <c r="JU94" s="186">
        <f t="shared" si="526"/>
        <v>72</v>
      </c>
      <c r="JV94" s="186">
        <f t="shared" si="527"/>
        <v>24</v>
      </c>
      <c r="JW94" s="135" t="str">
        <f t="shared" si="450"/>
        <v>F</v>
      </c>
      <c r="JX94" s="151" t="str">
        <f>VLOOKUP(RANK(JV94,$JV$10:$JV$109),Sheet1!$A$381:$B$480,2,FALSE)</f>
        <v>81st</v>
      </c>
      <c r="JY94" s="186"/>
      <c r="JZ94" s="186"/>
      <c r="KA94" s="186">
        <f t="shared" si="451"/>
        <v>0</v>
      </c>
      <c r="KB94" s="186" t="str">
        <f t="shared" si="452"/>
        <v>57</v>
      </c>
      <c r="KC94" s="186" t="str">
        <f t="shared" si="453"/>
        <v>57</v>
      </c>
      <c r="KD94" s="186">
        <f t="shared" si="528"/>
        <v>114</v>
      </c>
      <c r="KE94" s="186">
        <f t="shared" si="529"/>
        <v>38</v>
      </c>
      <c r="KF94" s="135" t="str">
        <f t="shared" si="454"/>
        <v>E</v>
      </c>
      <c r="KG94" s="151" t="str">
        <f>VLOOKUP(RANK(KE94,$KE$10:$KE$109),Sheet1!$A$381:$B$480,2,FALSE)</f>
        <v>43rd</v>
      </c>
      <c r="KH94" s="186"/>
      <c r="KI94" s="186"/>
      <c r="KJ94" s="186">
        <f t="shared" si="455"/>
        <v>0</v>
      </c>
      <c r="KK94" s="186" t="str">
        <f t="shared" si="456"/>
        <v>79</v>
      </c>
      <c r="KL94" s="186" t="str">
        <f t="shared" si="457"/>
        <v>49</v>
      </c>
      <c r="KM94" s="186">
        <f t="shared" si="530"/>
        <v>128</v>
      </c>
      <c r="KN94" s="186">
        <f t="shared" si="531"/>
        <v>42.6666666666667</v>
      </c>
      <c r="KO94" s="135" t="str">
        <f t="shared" si="458"/>
        <v>D</v>
      </c>
      <c r="KP94" s="151" t="str">
        <f>VLOOKUP(RANK(KN94,$KN$10:$KN$109),Sheet1!$A$381:$B$480,2,FALSE)</f>
        <v>33rd</v>
      </c>
      <c r="KQ94" s="186"/>
      <c r="KR94" s="186"/>
      <c r="KS94" s="186">
        <f t="shared" si="459"/>
        <v>0</v>
      </c>
      <c r="KT94" s="186" t="str">
        <f t="shared" si="460"/>
        <v>0</v>
      </c>
      <c r="KU94" s="186" t="str">
        <f t="shared" si="461"/>
        <v>0</v>
      </c>
      <c r="KV94" s="186">
        <f t="shared" si="532"/>
        <v>0</v>
      </c>
      <c r="KW94" s="186">
        <f t="shared" si="533"/>
        <v>0</v>
      </c>
      <c r="KX94" s="135" t="str">
        <f t="shared" si="462"/>
        <v>F</v>
      </c>
      <c r="KY94" s="151" t="str">
        <f>VLOOKUP(RANK(KW94,$KW$10:$KW$109),Sheet1!$A$381:$B$480,2,FALSE)</f>
        <v>1st</v>
      </c>
      <c r="KZ94" s="186"/>
      <c r="LA94" s="186"/>
      <c r="LB94" s="186">
        <f t="shared" si="463"/>
        <v>0</v>
      </c>
      <c r="LC94" s="186" t="str">
        <f t="shared" si="464"/>
        <v>0</v>
      </c>
      <c r="LD94" s="186" t="str">
        <f t="shared" si="465"/>
        <v>0</v>
      </c>
      <c r="LE94" s="186">
        <f t="shared" si="534"/>
        <v>0</v>
      </c>
      <c r="LF94" s="186">
        <f t="shared" si="535"/>
        <v>0</v>
      </c>
      <c r="LG94" s="135" t="str">
        <f t="shared" si="466"/>
        <v>F</v>
      </c>
      <c r="LH94" s="151" t="str">
        <f>VLOOKUP(RANK(LF94,$LF$10:$LF$109),Sheet1!$A$381:$B$480,2,FALSE)</f>
        <v>1st</v>
      </c>
      <c r="LI94" s="186"/>
      <c r="LJ94" s="186"/>
      <c r="LK94" s="186">
        <f t="shared" si="467"/>
        <v>0</v>
      </c>
      <c r="LL94" s="186" t="str">
        <f t="shared" si="468"/>
        <v>52</v>
      </c>
      <c r="LM94" s="186" t="str">
        <f t="shared" si="469"/>
        <v>52</v>
      </c>
      <c r="LN94" s="186">
        <f t="shared" si="536"/>
        <v>104</v>
      </c>
      <c r="LO94" s="186">
        <f t="shared" si="537"/>
        <v>34.6666666666667</v>
      </c>
      <c r="LP94" s="135" t="str">
        <f t="shared" si="470"/>
        <v>F</v>
      </c>
      <c r="LQ94" s="151" t="str">
        <f>VLOOKUP(RANK(LO94,$LO$10:$LO$109),Sheet1!$A$381:$B$480,2,FALSE)</f>
        <v>45th</v>
      </c>
      <c r="LR94" s="186"/>
      <c r="LS94" s="186"/>
      <c r="LT94" s="186">
        <f t="shared" si="471"/>
        <v>0</v>
      </c>
      <c r="LU94" s="186" t="str">
        <f t="shared" si="472"/>
        <v>40</v>
      </c>
      <c r="LV94" s="186" t="str">
        <f t="shared" si="473"/>
        <v>58</v>
      </c>
      <c r="LW94" s="186">
        <f t="shared" si="538"/>
        <v>98</v>
      </c>
      <c r="LX94" s="186">
        <f t="shared" si="539"/>
        <v>32.6666666666667</v>
      </c>
      <c r="LY94" s="135" t="str">
        <f t="shared" si="474"/>
        <v>F</v>
      </c>
      <c r="LZ94" s="151" t="str">
        <f>VLOOKUP(RANK(LX94,$LX$10:$LX$109),Sheet1!$A$381:$B$480,2,FALSE)</f>
        <v>60th</v>
      </c>
      <c r="MA94" s="186"/>
      <c r="MB94" s="186"/>
      <c r="MC94" s="186">
        <f t="shared" si="475"/>
        <v>0</v>
      </c>
      <c r="MD94" s="186" t="str">
        <f t="shared" si="476"/>
        <v>25</v>
      </c>
      <c r="ME94" s="186" t="str">
        <f t="shared" si="477"/>
        <v>45</v>
      </c>
      <c r="MF94" s="183">
        <f t="shared" si="540"/>
        <v>70</v>
      </c>
      <c r="MG94" s="151">
        <f t="shared" si="541"/>
        <v>23.3333333333333</v>
      </c>
      <c r="MH94" s="135" t="str">
        <f t="shared" si="478"/>
        <v>F</v>
      </c>
      <c r="MI94" s="151" t="str">
        <f>VLOOKUP(RANK(MG94,$MG$10:$MG$109),Sheet1!$A$381:$B$480,2,FALSE)</f>
        <v>59th</v>
      </c>
      <c r="MJ94" s="186"/>
      <c r="MK94" s="186"/>
      <c r="ML94" s="186">
        <f t="shared" si="479"/>
        <v>0</v>
      </c>
      <c r="MM94" s="186" t="str">
        <f t="shared" si="480"/>
        <v>59</v>
      </c>
      <c r="MN94" s="186" t="str">
        <f t="shared" si="481"/>
        <v>48</v>
      </c>
      <c r="MO94" s="186">
        <f t="shared" si="542"/>
        <v>107</v>
      </c>
      <c r="MP94" s="186">
        <f t="shared" si="543"/>
        <v>35.6666666666667</v>
      </c>
      <c r="MQ94" s="135" t="str">
        <f t="shared" si="482"/>
        <v>E</v>
      </c>
      <c r="MR94" s="151" t="str">
        <f>VLOOKUP(RANK(MP94,$MP$10:$MP$109),Sheet1!$A$381:$B$480,2,FALSE)</f>
        <v>5th</v>
      </c>
      <c r="MS94" s="186"/>
      <c r="MT94" s="186"/>
      <c r="MU94" s="186">
        <f t="shared" si="483"/>
        <v>0</v>
      </c>
      <c r="MV94" s="186" t="str">
        <f t="shared" si="484"/>
        <v>46</v>
      </c>
      <c r="MW94" s="186" t="str">
        <f t="shared" si="485"/>
        <v>63</v>
      </c>
      <c r="MX94" s="186">
        <f t="shared" si="544"/>
        <v>109</v>
      </c>
      <c r="MY94" s="186">
        <f t="shared" si="545"/>
        <v>36.3333333333333</v>
      </c>
      <c r="MZ94" s="135" t="str">
        <f t="shared" si="486"/>
        <v>E</v>
      </c>
      <c r="NA94" s="151" t="str">
        <f>VLOOKUP(RANK(MY94,$MY$10:$MY$109),Sheet1!$A$381:$B$480,2,FALSE)</f>
        <v>38th</v>
      </c>
      <c r="NB94" s="186"/>
      <c r="NC94" s="186"/>
      <c r="ND94" s="186">
        <f t="shared" si="487"/>
        <v>0</v>
      </c>
      <c r="NE94" s="186" t="str">
        <f t="shared" si="488"/>
        <v>44</v>
      </c>
      <c r="NF94" s="186" t="str">
        <f t="shared" si="489"/>
        <v>43</v>
      </c>
      <c r="NG94" s="186">
        <f t="shared" si="546"/>
        <v>87</v>
      </c>
      <c r="NH94" s="186">
        <f t="shared" si="547"/>
        <v>29</v>
      </c>
      <c r="NI94" s="135" t="str">
        <f t="shared" si="490"/>
        <v>F</v>
      </c>
      <c r="NJ94" s="151" t="str">
        <f>VLOOKUP(RANK(NH94,$NH$10:$NH$109),Sheet1!$A$381:$B$480,2,FALSE)</f>
        <v>33rd</v>
      </c>
      <c r="NK94" s="186"/>
      <c r="NL94" s="186"/>
      <c r="NM94" s="186">
        <f t="shared" si="491"/>
        <v>0</v>
      </c>
      <c r="NN94" s="186" t="str">
        <f t="shared" si="492"/>
        <v>55</v>
      </c>
      <c r="NO94" s="186" t="str">
        <f t="shared" si="493"/>
        <v>61</v>
      </c>
      <c r="NP94" s="186">
        <f t="shared" si="548"/>
        <v>116</v>
      </c>
      <c r="NQ94" s="186">
        <f t="shared" si="494"/>
        <v>38.6666666666667</v>
      </c>
      <c r="NR94" s="135" t="str">
        <f t="shared" si="495"/>
        <v>E</v>
      </c>
      <c r="NS94" s="151" t="str">
        <f>VLOOKUP(RANK(NQ94,$NQ$10:$NQ$109),Sheet1!$A$381:$B$480,2,FALSE)</f>
        <v>80th</v>
      </c>
      <c r="NT94" s="186"/>
      <c r="NU94" s="186"/>
      <c r="NV94" s="186">
        <f t="shared" si="496"/>
        <v>0</v>
      </c>
      <c r="NW94" s="186" t="str">
        <f t="shared" si="497"/>
        <v>0</v>
      </c>
      <c r="NX94" s="186" t="str">
        <f t="shared" si="498"/>
        <v>0</v>
      </c>
      <c r="NY94" s="186">
        <f t="shared" si="549"/>
        <v>0</v>
      </c>
      <c r="NZ94" s="186">
        <f t="shared" si="499"/>
        <v>0</v>
      </c>
      <c r="OA94" s="135" t="str">
        <f t="shared" si="500"/>
        <v>F</v>
      </c>
      <c r="OB94" s="151" t="str">
        <f>VLOOKUP(RANK(NZ94,$NZ$10:$NZ$109),Sheet1!$A$381:$B$480,2,FALSE)</f>
        <v>1st</v>
      </c>
      <c r="OC94" s="186"/>
      <c r="OD94" s="186"/>
      <c r="OE94" s="186">
        <f t="shared" si="501"/>
        <v>0</v>
      </c>
      <c r="OF94" s="186" t="str">
        <f t="shared" si="502"/>
        <v>0</v>
      </c>
      <c r="OG94" s="186" t="str">
        <f t="shared" si="503"/>
        <v>0</v>
      </c>
      <c r="OH94" s="186">
        <f t="shared" si="550"/>
        <v>0</v>
      </c>
      <c r="OI94" s="186">
        <f t="shared" si="504"/>
        <v>0</v>
      </c>
      <c r="OJ94" s="135" t="str">
        <f t="shared" si="505"/>
        <v>F</v>
      </c>
      <c r="OK94" s="151" t="str">
        <f>VLOOKUP(RANK(OI94,$OI$10:$OI$109),Sheet1!$A$381:$B$480,2,FALSE)</f>
        <v>1st</v>
      </c>
      <c r="OL94" s="151"/>
      <c r="OM94" s="151"/>
      <c r="ON94" s="151">
        <f t="shared" si="551"/>
        <v>0</v>
      </c>
      <c r="OO94" s="151" t="str">
        <f t="shared" si="552"/>
        <v>0</v>
      </c>
      <c r="OP94" s="151" t="str">
        <f t="shared" si="553"/>
        <v>0</v>
      </c>
      <c r="OQ94" s="151">
        <f t="shared" si="554"/>
        <v>0</v>
      </c>
      <c r="OR94" s="151">
        <f t="shared" si="555"/>
        <v>0</v>
      </c>
      <c r="OS94" s="135" t="str">
        <f t="shared" si="506"/>
        <v>F</v>
      </c>
      <c r="OT94" s="151" t="str">
        <f>VLOOKUP(RANK(OR94,$OI$10:$OI$109),Sheet1!$A$381:$B$480,2,FALSE)</f>
        <v>1st</v>
      </c>
      <c r="OU94" s="151">
        <f t="shared" si="556"/>
        <v>418.33333333333297</v>
      </c>
      <c r="OV94" s="151">
        <f t="shared" si="557"/>
        <v>24.6078431372549</v>
      </c>
      <c r="OW94" s="151" t="str">
        <f>VLOOKUP(RANK(OV94,$OV$10:$OV$109),Sheet1!$A$381:$B$480,2,FALSE)</f>
        <v>45th</v>
      </c>
      <c r="OX94" s="151"/>
      <c r="OY94" s="186"/>
      <c r="OZ94" s="186"/>
      <c r="PA94" s="186"/>
      <c r="PB94" s="186"/>
    </row>
    <row r="95" spans="1:418" s="118" customFormat="1" ht="18.75">
      <c r="A95" s="131">
        <v>86</v>
      </c>
      <c r="B95" s="132" t="s">
        <v>185</v>
      </c>
      <c r="C95" s="133" t="s">
        <v>97</v>
      </c>
      <c r="D95" s="134">
        <v>24</v>
      </c>
      <c r="E95" s="134">
        <v>40</v>
      </c>
      <c r="F95" s="137">
        <f t="shared" si="315"/>
        <v>64</v>
      </c>
      <c r="G95" s="137">
        <f t="shared" si="316"/>
        <v>64</v>
      </c>
      <c r="H95" s="135" t="str">
        <f t="shared" si="507"/>
        <v>B</v>
      </c>
      <c r="I95" s="135" t="str">
        <f>VLOOKUP(RANK(G95,$G$10:$G$109),Sheet1!$A$381:$B$480,2,FALSE)</f>
        <v>67th</v>
      </c>
      <c r="J95" s="134">
        <v>28</v>
      </c>
      <c r="K95" s="134">
        <v>20</v>
      </c>
      <c r="L95" s="137">
        <f t="shared" si="317"/>
        <v>48</v>
      </c>
      <c r="M95" s="137">
        <f t="shared" si="318"/>
        <v>48</v>
      </c>
      <c r="N95" s="135" t="str">
        <f t="shared" si="319"/>
        <v>D</v>
      </c>
      <c r="O95" s="141" t="str">
        <f>VLOOKUP(RANK(M95,$M$10:$M$109),Sheet1!$A$381:$B$480,2,FALSE)</f>
        <v>73rd</v>
      </c>
      <c r="P95" s="144">
        <v>32</v>
      </c>
      <c r="Q95" s="144">
        <v>20</v>
      </c>
      <c r="R95" s="147">
        <f t="shared" si="320"/>
        <v>52</v>
      </c>
      <c r="S95" s="137">
        <f t="shared" si="321"/>
        <v>52</v>
      </c>
      <c r="T95" s="135" t="str">
        <f t="shared" si="322"/>
        <v>C</v>
      </c>
      <c r="U95" s="135" t="str">
        <f>VLOOKUP(RANK(S95,$S$10:$S$109),Sheet1!$A$381:$B$480,2,FALSE)</f>
        <v>25th</v>
      </c>
      <c r="V95" s="134">
        <v>26</v>
      </c>
      <c r="W95" s="134">
        <v>27</v>
      </c>
      <c r="X95" s="137">
        <f t="shared" si="559"/>
        <v>53</v>
      </c>
      <c r="Y95" s="137">
        <f t="shared" si="558"/>
        <v>53</v>
      </c>
      <c r="Z95" s="135" t="str">
        <f t="shared" si="323"/>
        <v>C</v>
      </c>
      <c r="AA95" s="135" t="str">
        <f>VLOOKUP(RANK(Y95,$Y$10:$Y$109),Sheet1!$A$381:$B$480,2,FALSE)</f>
        <v>50th</v>
      </c>
      <c r="AB95" s="134">
        <v>30</v>
      </c>
      <c r="AC95" s="134">
        <v>33</v>
      </c>
      <c r="AD95" s="137">
        <f t="shared" si="324"/>
        <v>63</v>
      </c>
      <c r="AE95" s="137">
        <f t="shared" si="325"/>
        <v>63</v>
      </c>
      <c r="AF95" s="135" t="str">
        <f t="shared" si="326"/>
        <v>B</v>
      </c>
      <c r="AG95" s="135" t="str">
        <f>VLOOKUP(RANK(AE95,$AE$10:$AE$109),Sheet1!$A$381:$B$480,2,FALSE)</f>
        <v>46th</v>
      </c>
      <c r="AH95" s="137"/>
      <c r="AI95" s="137"/>
      <c r="AJ95" s="137">
        <f t="shared" si="327"/>
        <v>0</v>
      </c>
      <c r="AK95" s="137">
        <f t="shared" si="328"/>
        <v>0</v>
      </c>
      <c r="AL95" s="135" t="str">
        <f t="shared" si="329"/>
        <v>F</v>
      </c>
      <c r="AM95" s="135" t="str">
        <f>VLOOKUP(RANK(AK95,$AK$10:$AK$109),Sheet1!$A$381:$B$480,2,FALSE)</f>
        <v>1st</v>
      </c>
      <c r="AN95" s="134"/>
      <c r="AO95" s="134"/>
      <c r="AP95" s="137">
        <f t="shared" si="330"/>
        <v>0</v>
      </c>
      <c r="AQ95" s="137">
        <f t="shared" si="331"/>
        <v>0</v>
      </c>
      <c r="AR95" s="135" t="str">
        <f t="shared" si="332"/>
        <v>F</v>
      </c>
      <c r="AS95" s="135" t="str">
        <f>VLOOKUP(RANK(AQ95,$AQ$10:$AQ$109),Sheet1!$A$381:$B$480,2,FALSE)</f>
        <v>1st</v>
      </c>
      <c r="AT95" s="144">
        <v>21</v>
      </c>
      <c r="AU95" s="144">
        <v>29</v>
      </c>
      <c r="AV95" s="137">
        <f t="shared" si="333"/>
        <v>50</v>
      </c>
      <c r="AW95" s="137">
        <f t="shared" si="334"/>
        <v>50</v>
      </c>
      <c r="AX95" s="135" t="str">
        <f t="shared" si="335"/>
        <v>C</v>
      </c>
      <c r="AY95" s="141" t="str">
        <f>VLOOKUP(RANK(AW95,$AW$10:$AW$109),Sheet1!$A$381:$B$480,2,FALSE)</f>
        <v>58th</v>
      </c>
      <c r="AZ95" s="144">
        <v>32</v>
      </c>
      <c r="BA95" s="144">
        <v>16</v>
      </c>
      <c r="BB95" s="147">
        <f t="shared" si="336"/>
        <v>48</v>
      </c>
      <c r="BC95" s="137">
        <f t="shared" si="337"/>
        <v>48</v>
      </c>
      <c r="BD95" s="135" t="str">
        <f t="shared" si="338"/>
        <v>D</v>
      </c>
      <c r="BE95" s="135" t="str">
        <f>VLOOKUP(RANK(BC95,$BC$10:$BC$109),Sheet1!$A$381:$B$480,2,FALSE)</f>
        <v>63rd</v>
      </c>
      <c r="BF95" s="144">
        <v>19</v>
      </c>
      <c r="BG95" s="144">
        <v>15</v>
      </c>
      <c r="BH95" s="137">
        <f t="shared" si="339"/>
        <v>34</v>
      </c>
      <c r="BI95" s="137">
        <f t="shared" si="340"/>
        <v>34</v>
      </c>
      <c r="BJ95" s="135" t="str">
        <f t="shared" si="341"/>
        <v>F</v>
      </c>
      <c r="BK95" s="141" t="str">
        <f>VLOOKUP(RANK(BI95,$BI$10:$BI$109),Sheet1!$A$381:$B$480,2,FALSE)</f>
        <v>53rd</v>
      </c>
      <c r="BL95" s="149">
        <v>25</v>
      </c>
      <c r="BM95" s="149">
        <v>29</v>
      </c>
      <c r="BN95" s="147">
        <f t="shared" si="342"/>
        <v>54</v>
      </c>
      <c r="BO95" s="137">
        <f t="shared" si="343"/>
        <v>54</v>
      </c>
      <c r="BP95" s="135" t="str">
        <f t="shared" si="344"/>
        <v>C</v>
      </c>
      <c r="BQ95" s="141" t="str">
        <f>VLOOKUP(RANK(BO95,$BO$10:$BO$109),Sheet1!$A$381:$B$480,2,FALSE)</f>
        <v>23rd</v>
      </c>
      <c r="BR95" s="149">
        <v>29</v>
      </c>
      <c r="BS95" s="149">
        <v>6</v>
      </c>
      <c r="BT95" s="147">
        <f t="shared" si="345"/>
        <v>35</v>
      </c>
      <c r="BU95" s="137">
        <f t="shared" si="346"/>
        <v>35</v>
      </c>
      <c r="BV95" s="135" t="str">
        <f t="shared" si="347"/>
        <v>E</v>
      </c>
      <c r="BW95" s="135" t="str">
        <f>VLOOKUP(RANK(BU95,$BU$10:$BU$109),Sheet1!$A$381:$B$480,2,FALSE)</f>
        <v>81st</v>
      </c>
      <c r="BX95" s="149">
        <v>32</v>
      </c>
      <c r="BY95" s="149">
        <v>10</v>
      </c>
      <c r="BZ95" s="137">
        <f t="shared" si="348"/>
        <v>42</v>
      </c>
      <c r="CA95" s="137">
        <f t="shared" si="349"/>
        <v>42</v>
      </c>
      <c r="CB95" s="135" t="str">
        <f t="shared" si="350"/>
        <v>D</v>
      </c>
      <c r="CC95" s="135" t="str">
        <f>VLOOKUP(RANK(CA95,$CA$10:$CA$109),Sheet1!$A$381:$B$480,2,FALSE)</f>
        <v>32nd</v>
      </c>
      <c r="CD95" s="149">
        <v>23</v>
      </c>
      <c r="CE95" s="149">
        <v>30</v>
      </c>
      <c r="CF95" s="137">
        <f t="shared" si="351"/>
        <v>53</v>
      </c>
      <c r="CG95" s="137">
        <f t="shared" si="352"/>
        <v>53</v>
      </c>
      <c r="CH95" s="135" t="str">
        <f t="shared" si="353"/>
        <v>C</v>
      </c>
      <c r="CI95" s="135" t="str">
        <f>VLOOKUP(RANK(CG95,$CG$10:$CG$109),Sheet1!$A$381:$B$480,2,FALSE)</f>
        <v>64th</v>
      </c>
      <c r="CJ95" s="137"/>
      <c r="CK95" s="137"/>
      <c r="CL95" s="137">
        <f t="shared" si="354"/>
        <v>0</v>
      </c>
      <c r="CM95" s="137">
        <f t="shared" si="355"/>
        <v>0</v>
      </c>
      <c r="CN95" s="135" t="str">
        <f t="shared" si="356"/>
        <v>F</v>
      </c>
      <c r="CO95" s="135" t="str">
        <f>VLOOKUP(RANK(CM95,$CM$10:$CM$109),Sheet1!$A$381:$B$480,2,FALSE)</f>
        <v>1st</v>
      </c>
      <c r="CP95" s="137"/>
      <c r="CQ95" s="137"/>
      <c r="CR95" s="137">
        <f t="shared" si="357"/>
        <v>0</v>
      </c>
      <c r="CS95" s="137">
        <f t="shared" si="358"/>
        <v>0</v>
      </c>
      <c r="CT95" s="135" t="str">
        <f t="shared" si="359"/>
        <v>F</v>
      </c>
      <c r="CU95" s="135" t="str">
        <f>VLOOKUP(RANK(CS95,$CS$10:$CS$109),Sheet1!$A$381:$B$480,2,FALSE)</f>
        <v>1st</v>
      </c>
      <c r="CV95" s="151"/>
      <c r="CW95" s="135"/>
      <c r="CX95" s="151">
        <f t="shared" si="508"/>
        <v>0</v>
      </c>
      <c r="CY95" s="151">
        <f t="shared" si="509"/>
        <v>0</v>
      </c>
      <c r="CZ95" s="135" t="str">
        <f t="shared" si="360"/>
        <v>F</v>
      </c>
      <c r="DA95" s="135" t="str">
        <f>VLOOKUP(RANK(CY95,$CY$10:$CY$109),Sheet1!$A$381:$B$480,2,FALSE)</f>
        <v>1st</v>
      </c>
      <c r="DB95" s="135"/>
      <c r="DC95" s="151">
        <f t="shared" si="510"/>
        <v>596</v>
      </c>
      <c r="DD95" s="151">
        <f t="shared" si="511"/>
        <v>35.058823529411796</v>
      </c>
      <c r="DE95" s="135" t="str">
        <f>VLOOKUP(RANK(DD95,$DD$10:$DD$109),Sheet1!$A$381:$B$480,2,FALSE)</f>
        <v>58th</v>
      </c>
      <c r="DF95" s="137"/>
      <c r="DG95" s="160">
        <f t="shared" si="361"/>
        <v>631.05882352941205</v>
      </c>
      <c r="DH95" s="119"/>
      <c r="DI95" s="162">
        <v>23</v>
      </c>
      <c r="DJ95" s="162">
        <v>36</v>
      </c>
      <c r="DK95" s="137">
        <f t="shared" si="362"/>
        <v>59</v>
      </c>
      <c r="DL95" s="137" t="str">
        <f t="shared" si="363"/>
        <v>64</v>
      </c>
      <c r="DM95" s="137">
        <f t="shared" si="364"/>
        <v>123</v>
      </c>
      <c r="DN95" s="137">
        <f t="shared" si="365"/>
        <v>61.5</v>
      </c>
      <c r="DO95" s="135" t="str">
        <f t="shared" si="366"/>
        <v>B</v>
      </c>
      <c r="DP95" s="135" t="str">
        <f>VLOOKUP(RANK(DN95,$DN$10:$DN$109),Sheet1!$A$381:$B$480,2,FALSE)</f>
        <v>72nd</v>
      </c>
      <c r="DQ95" s="166">
        <v>29</v>
      </c>
      <c r="DR95" s="166">
        <v>12</v>
      </c>
      <c r="DS95" s="137">
        <f t="shared" si="367"/>
        <v>41</v>
      </c>
      <c r="DT95" s="137" t="str">
        <f t="shared" si="368"/>
        <v>48</v>
      </c>
      <c r="DU95" s="137">
        <f t="shared" si="369"/>
        <v>89</v>
      </c>
      <c r="DV95" s="137">
        <f t="shared" si="370"/>
        <v>44.5</v>
      </c>
      <c r="DW95" s="135" t="str">
        <f t="shared" si="371"/>
        <v>D</v>
      </c>
      <c r="DX95" s="135" t="str">
        <f>VLOOKUP(RANK(DV95,$DV$10:$DV$109),Sheet1!$A$381:$B$480,2,FALSE)</f>
        <v>72nd</v>
      </c>
      <c r="DY95" s="168">
        <v>31</v>
      </c>
      <c r="DZ95" s="168">
        <v>22</v>
      </c>
      <c r="EA95" s="137">
        <f t="shared" si="372"/>
        <v>53</v>
      </c>
      <c r="EB95" s="137" t="str">
        <f t="shared" si="373"/>
        <v>52</v>
      </c>
      <c r="EC95" s="137">
        <f t="shared" si="374"/>
        <v>105</v>
      </c>
      <c r="ED95" s="137">
        <f t="shared" si="375"/>
        <v>52.5</v>
      </c>
      <c r="EE95" s="135" t="str">
        <f t="shared" si="376"/>
        <v>C</v>
      </c>
      <c r="EF95" s="135" t="str">
        <f>VLOOKUP(RANK(ED95,$ED$10:$ED$109),Sheet1!$A$381:$B$480,2,FALSE)</f>
        <v>31st</v>
      </c>
      <c r="EG95" s="162">
        <v>33</v>
      </c>
      <c r="EH95" s="162">
        <v>32</v>
      </c>
      <c r="EI95" s="137">
        <f t="shared" si="377"/>
        <v>65</v>
      </c>
      <c r="EJ95" s="137" t="str">
        <f t="shared" si="378"/>
        <v>53</v>
      </c>
      <c r="EK95" s="137">
        <f t="shared" si="379"/>
        <v>118</v>
      </c>
      <c r="EL95" s="137">
        <f t="shared" si="380"/>
        <v>59</v>
      </c>
      <c r="EM95" s="135" t="str">
        <f t="shared" si="381"/>
        <v>C</v>
      </c>
      <c r="EN95" s="135" t="str">
        <f>VLOOKUP(RANK(EL95,$EL$10:$EL$109),Sheet1!$A$381:$B$480,2,FALSE)</f>
        <v>39th</v>
      </c>
      <c r="EO95" s="162">
        <v>30</v>
      </c>
      <c r="EP95" s="162">
        <v>19</v>
      </c>
      <c r="EQ95" s="137">
        <f t="shared" si="382"/>
        <v>49</v>
      </c>
      <c r="ER95" s="137" t="str">
        <f t="shared" si="383"/>
        <v>63</v>
      </c>
      <c r="ES95" s="137">
        <f t="shared" si="384"/>
        <v>112</v>
      </c>
      <c r="ET95" s="137">
        <f t="shared" si="385"/>
        <v>56</v>
      </c>
      <c r="EU95" s="135" t="str">
        <f t="shared" si="386"/>
        <v>C</v>
      </c>
      <c r="EV95" s="135" t="str">
        <f>VLOOKUP(RANK(ET95,$ET$10:$ET$109),Sheet1!$A$381:$B$480,2,FALSE)</f>
        <v>45th</v>
      </c>
      <c r="EW95" s="137"/>
      <c r="EX95" s="137"/>
      <c r="EY95" s="137">
        <f t="shared" si="387"/>
        <v>0</v>
      </c>
      <c r="EZ95" s="137" t="str">
        <f t="shared" si="388"/>
        <v>0</v>
      </c>
      <c r="FA95" s="137">
        <f t="shared" si="389"/>
        <v>0</v>
      </c>
      <c r="FB95" s="137">
        <f t="shared" si="390"/>
        <v>0</v>
      </c>
      <c r="FC95" s="135" t="str">
        <f t="shared" si="391"/>
        <v>F</v>
      </c>
      <c r="FD95" s="135" t="str">
        <f>VLOOKUP(RANK(FB95,$FB$10:$FB$109),Sheet1!$A$381:$B$480,2,FALSE)</f>
        <v>1st</v>
      </c>
      <c r="FE95" s="137"/>
      <c r="FF95" s="137"/>
      <c r="FG95" s="137">
        <f t="shared" si="392"/>
        <v>0</v>
      </c>
      <c r="FH95" s="137" t="str">
        <f t="shared" si="393"/>
        <v>0</v>
      </c>
      <c r="FI95" s="137">
        <f t="shared" si="394"/>
        <v>0</v>
      </c>
      <c r="FJ95" s="137">
        <f t="shared" si="395"/>
        <v>0</v>
      </c>
      <c r="FK95" s="135" t="str">
        <f t="shared" si="396"/>
        <v>F</v>
      </c>
      <c r="FL95" s="135" t="str">
        <f>VLOOKUP(RANK(FJ95,$FJ$10:$FJ$109),Sheet1!$A$381:$B$480,2,FALSE)</f>
        <v>1st</v>
      </c>
      <c r="FM95" s="166">
        <v>28</v>
      </c>
      <c r="FN95" s="166">
        <v>32</v>
      </c>
      <c r="FO95" s="137">
        <f t="shared" si="397"/>
        <v>60</v>
      </c>
      <c r="FP95" s="137" t="str">
        <f t="shared" si="398"/>
        <v>50</v>
      </c>
      <c r="FQ95" s="137">
        <f t="shared" si="399"/>
        <v>110</v>
      </c>
      <c r="FR95" s="137">
        <f t="shared" si="400"/>
        <v>55</v>
      </c>
      <c r="FS95" s="135" t="str">
        <f t="shared" si="401"/>
        <v>C</v>
      </c>
      <c r="FT95" s="135" t="str">
        <f>VLOOKUP(RANK(FR95,$FR$10:$FR$109),Sheet1!$A$381:$B$480,2,FALSE)</f>
        <v>23rd</v>
      </c>
      <c r="FU95" s="149">
        <v>38</v>
      </c>
      <c r="FV95" s="149">
        <v>20</v>
      </c>
      <c r="FW95" s="137">
        <f t="shared" si="402"/>
        <v>58</v>
      </c>
      <c r="FX95" s="137" t="str">
        <f t="shared" si="403"/>
        <v>48</v>
      </c>
      <c r="FY95" s="137">
        <f t="shared" si="512"/>
        <v>58</v>
      </c>
      <c r="FZ95" s="137">
        <f t="shared" si="404"/>
        <v>29</v>
      </c>
      <c r="GA95" s="135" t="str">
        <f t="shared" si="405"/>
        <v>F</v>
      </c>
      <c r="GB95" s="135" t="str">
        <f>VLOOKUP(RANK(FZ95,$FZ$10:$FZ$109),Sheet1!$A$381:$B$480,2,FALSE)</f>
        <v>28th</v>
      </c>
      <c r="GC95" s="166">
        <v>21</v>
      </c>
      <c r="GD95" s="166">
        <v>30</v>
      </c>
      <c r="GE95" s="137">
        <f t="shared" si="406"/>
        <v>51</v>
      </c>
      <c r="GF95" s="137" t="str">
        <f t="shared" si="407"/>
        <v>34</v>
      </c>
      <c r="GG95" s="135">
        <f t="shared" si="513"/>
        <v>85</v>
      </c>
      <c r="GH95" s="137">
        <f t="shared" si="514"/>
        <v>42.5</v>
      </c>
      <c r="GI95" s="135" t="str">
        <f t="shared" si="408"/>
        <v>D</v>
      </c>
      <c r="GJ95" s="135" t="str">
        <f>VLOOKUP(RANK(GH95,$GH$10:$GH$109),Sheet1!$A$381:$B$480,2,FALSE)</f>
        <v>36th</v>
      </c>
      <c r="GK95" s="166">
        <v>28</v>
      </c>
      <c r="GL95" s="166">
        <v>17</v>
      </c>
      <c r="GM95" s="137">
        <f t="shared" si="409"/>
        <v>45</v>
      </c>
      <c r="GN95" s="137" t="str">
        <f t="shared" si="410"/>
        <v>54</v>
      </c>
      <c r="GO95" s="135">
        <f t="shared" si="515"/>
        <v>99</v>
      </c>
      <c r="GP95" s="137">
        <f t="shared" si="411"/>
        <v>49.5</v>
      </c>
      <c r="GQ95" s="135" t="str">
        <f t="shared" si="412"/>
        <v>D</v>
      </c>
      <c r="GR95" s="135" t="str">
        <f>VLOOKUP(RANK(GP95,$GP$10:$GP$109),Sheet1!$A$381:$B$480,2,FALSE)</f>
        <v>28th</v>
      </c>
      <c r="GS95" s="166">
        <v>37</v>
      </c>
      <c r="GT95" s="166">
        <v>17</v>
      </c>
      <c r="GU95" s="137">
        <f t="shared" si="413"/>
        <v>54</v>
      </c>
      <c r="GV95" s="137" t="str">
        <f t="shared" si="414"/>
        <v>35</v>
      </c>
      <c r="GW95" s="137">
        <f t="shared" si="415"/>
        <v>89</v>
      </c>
      <c r="GX95" s="137">
        <f t="shared" si="416"/>
        <v>44.5</v>
      </c>
      <c r="GY95" s="135" t="str">
        <f t="shared" si="417"/>
        <v>D</v>
      </c>
      <c r="GZ95" s="135" t="str">
        <f>VLOOKUP(RANK(GX95,$GX$10:$GX$109),Sheet1!$A$381:$B$480,2,FALSE)</f>
        <v>60th</v>
      </c>
      <c r="HA95" s="166">
        <v>29</v>
      </c>
      <c r="HB95" s="166">
        <v>12</v>
      </c>
      <c r="HC95" s="137">
        <f t="shared" si="418"/>
        <v>41</v>
      </c>
      <c r="HD95" s="137" t="str">
        <f t="shared" si="419"/>
        <v>42</v>
      </c>
      <c r="HE95" s="137">
        <f t="shared" si="420"/>
        <v>83</v>
      </c>
      <c r="HF95" s="137">
        <f t="shared" si="421"/>
        <v>41.5</v>
      </c>
      <c r="HG95" s="135" t="str">
        <f t="shared" si="422"/>
        <v>D</v>
      </c>
      <c r="HH95" s="135" t="str">
        <f>VLOOKUP(RANK(HF95,$HF$10:$HF$109),Sheet1!$A$381:$B$480,2,FALSE)</f>
        <v>47th</v>
      </c>
      <c r="HI95" s="149">
        <v>25</v>
      </c>
      <c r="HJ95" s="149">
        <v>49</v>
      </c>
      <c r="HK95" s="137">
        <f t="shared" si="423"/>
        <v>74</v>
      </c>
      <c r="HL95" s="137" t="str">
        <f t="shared" si="424"/>
        <v>53</v>
      </c>
      <c r="HM95" s="137">
        <f t="shared" si="425"/>
        <v>127</v>
      </c>
      <c r="HN95" s="137">
        <f t="shared" si="426"/>
        <v>63.5</v>
      </c>
      <c r="HO95" s="135" t="str">
        <f t="shared" si="427"/>
        <v>B</v>
      </c>
      <c r="HP95" s="135" t="str">
        <f>VLOOKUP(RANK(HN95,$HN$10:$HN$109),Sheet1!$A$381:$B$480,2,FALSE)</f>
        <v>53rd</v>
      </c>
      <c r="HQ95" s="137"/>
      <c r="HR95" s="137"/>
      <c r="HS95" s="137">
        <f t="shared" si="428"/>
        <v>0</v>
      </c>
      <c r="HT95" s="137" t="str">
        <f t="shared" si="429"/>
        <v>0</v>
      </c>
      <c r="HU95" s="137">
        <f t="shared" si="430"/>
        <v>0</v>
      </c>
      <c r="HV95" s="137">
        <f t="shared" si="431"/>
        <v>0</v>
      </c>
      <c r="HW95" s="135" t="str">
        <f t="shared" si="432"/>
        <v>F</v>
      </c>
      <c r="HX95" s="135" t="str">
        <f>VLOOKUP(RANK(HV95,$HV$10:$HV$109),Sheet1!$A$381:$B$480,2,FALSE)</f>
        <v>1st</v>
      </c>
      <c r="HY95" s="137"/>
      <c r="HZ95" s="137"/>
      <c r="IA95" s="137">
        <f t="shared" si="433"/>
        <v>0</v>
      </c>
      <c r="IB95" s="137" t="str">
        <f t="shared" si="434"/>
        <v>0</v>
      </c>
      <c r="IC95" s="137">
        <f t="shared" si="435"/>
        <v>0</v>
      </c>
      <c r="ID95" s="137">
        <f t="shared" si="436"/>
        <v>0</v>
      </c>
      <c r="IE95" s="135" t="str">
        <f t="shared" si="437"/>
        <v>F</v>
      </c>
      <c r="IF95" s="135" t="str">
        <f>VLOOKUP(RANK(ID95,$ID$10:$ID$109),Sheet1!$A$381:$B$480,2,FALSE)</f>
        <v>1st</v>
      </c>
      <c r="IG95" s="135"/>
      <c r="IH95" s="135"/>
      <c r="II95" s="135">
        <f t="shared" si="516"/>
        <v>0</v>
      </c>
      <c r="IJ95" s="135" t="str">
        <f t="shared" si="517"/>
        <v>0</v>
      </c>
      <c r="IK95" s="135">
        <f t="shared" si="518"/>
        <v>0</v>
      </c>
      <c r="IL95" s="135">
        <f t="shared" si="519"/>
        <v>0</v>
      </c>
      <c r="IM95" s="135" t="str">
        <f t="shared" si="438"/>
        <v>F</v>
      </c>
      <c r="IN95" s="135" t="str">
        <f>VLOOKUP(RANK(IL95,$IL$10:$IL$109),Sheet1!$A$381:$B$480,2,FALSE)</f>
        <v>1st</v>
      </c>
      <c r="IO95" s="135">
        <f t="shared" si="520"/>
        <v>599</v>
      </c>
      <c r="IP95" s="177">
        <f t="shared" si="521"/>
        <v>35.235294117647101</v>
      </c>
      <c r="IQ95" s="135" t="str">
        <f>VLOOKUP(RANK(IP95,$IP$10:$IP$109),Sheet1!$A$381:$B$480,2,FALSE)</f>
        <v>47th</v>
      </c>
      <c r="IR95" s="178"/>
      <c r="IS95" s="137"/>
      <c r="IT95" s="137"/>
      <c r="IU95" s="137"/>
      <c r="IV95" s="137"/>
      <c r="IW95" s="181"/>
      <c r="IX95" s="184"/>
      <c r="IY95" s="186"/>
      <c r="IZ95" s="186">
        <f t="shared" si="439"/>
        <v>0</v>
      </c>
      <c r="JA95" s="186" t="str">
        <f t="shared" si="440"/>
        <v>64</v>
      </c>
      <c r="JB95" s="186" t="str">
        <f t="shared" si="441"/>
        <v>59</v>
      </c>
      <c r="JC95" s="186">
        <f t="shared" si="522"/>
        <v>123</v>
      </c>
      <c r="JD95" s="186">
        <f t="shared" si="523"/>
        <v>41</v>
      </c>
      <c r="JE95" s="135" t="str">
        <f t="shared" si="442"/>
        <v>D</v>
      </c>
      <c r="JF95" s="151" t="str">
        <f>VLOOKUP(RANK(JD95,$JD$10:$JD$109),Sheet1!$A$381:$B$480,2,FALSE)</f>
        <v>72nd</v>
      </c>
      <c r="JG95" s="186"/>
      <c r="JH95" s="186"/>
      <c r="JI95" s="186">
        <f t="shared" si="443"/>
        <v>0</v>
      </c>
      <c r="JJ95" s="186" t="str">
        <f t="shared" si="444"/>
        <v>48</v>
      </c>
      <c r="JK95" s="186" t="str">
        <f t="shared" si="445"/>
        <v>41</v>
      </c>
      <c r="JL95" s="186">
        <f t="shared" si="524"/>
        <v>89</v>
      </c>
      <c r="JM95" s="186">
        <f t="shared" si="525"/>
        <v>29.6666666666667</v>
      </c>
      <c r="JN95" s="135" t="str">
        <f t="shared" si="446"/>
        <v>F</v>
      </c>
      <c r="JO95" s="151" t="str">
        <f>VLOOKUP(RANK(JM95,$JM$10:$JM$109),Sheet1!$A$381:$B$480,2,FALSE)</f>
        <v>72nd</v>
      </c>
      <c r="JP95" s="186"/>
      <c r="JQ95" s="186"/>
      <c r="JR95" s="186">
        <f t="shared" si="447"/>
        <v>0</v>
      </c>
      <c r="JS95" s="186" t="str">
        <f t="shared" si="448"/>
        <v>52</v>
      </c>
      <c r="JT95" s="186" t="str">
        <f t="shared" si="449"/>
        <v>53</v>
      </c>
      <c r="JU95" s="186">
        <f t="shared" si="526"/>
        <v>105</v>
      </c>
      <c r="JV95" s="186">
        <f t="shared" si="527"/>
        <v>35</v>
      </c>
      <c r="JW95" s="135" t="str">
        <f t="shared" si="450"/>
        <v>E</v>
      </c>
      <c r="JX95" s="151" t="str">
        <f>VLOOKUP(RANK(JV95,$JV$10:$JV$109),Sheet1!$A$381:$B$480,2,FALSE)</f>
        <v>31st</v>
      </c>
      <c r="JY95" s="186"/>
      <c r="JZ95" s="186"/>
      <c r="KA95" s="186">
        <f t="shared" si="451"/>
        <v>0</v>
      </c>
      <c r="KB95" s="186" t="str">
        <f t="shared" si="452"/>
        <v>53</v>
      </c>
      <c r="KC95" s="186" t="str">
        <f t="shared" si="453"/>
        <v>65</v>
      </c>
      <c r="KD95" s="186">
        <f t="shared" si="528"/>
        <v>118</v>
      </c>
      <c r="KE95" s="186">
        <f t="shared" si="529"/>
        <v>39.3333333333333</v>
      </c>
      <c r="KF95" s="135" t="str">
        <f t="shared" si="454"/>
        <v>E</v>
      </c>
      <c r="KG95" s="151" t="str">
        <f>VLOOKUP(RANK(KE95,$KE$10:$KE$109),Sheet1!$A$381:$B$480,2,FALSE)</f>
        <v>39th</v>
      </c>
      <c r="KH95" s="186"/>
      <c r="KI95" s="186"/>
      <c r="KJ95" s="186">
        <f t="shared" si="455"/>
        <v>0</v>
      </c>
      <c r="KK95" s="186" t="str">
        <f t="shared" si="456"/>
        <v>63</v>
      </c>
      <c r="KL95" s="186" t="str">
        <f t="shared" si="457"/>
        <v>49</v>
      </c>
      <c r="KM95" s="186">
        <f t="shared" si="530"/>
        <v>112</v>
      </c>
      <c r="KN95" s="186">
        <f t="shared" si="531"/>
        <v>37.3333333333333</v>
      </c>
      <c r="KO95" s="135" t="str">
        <f t="shared" si="458"/>
        <v>E</v>
      </c>
      <c r="KP95" s="151" t="str">
        <f>VLOOKUP(RANK(KN95,$KN$10:$KN$109),Sheet1!$A$381:$B$480,2,FALSE)</f>
        <v>45th</v>
      </c>
      <c r="KQ95" s="186"/>
      <c r="KR95" s="186"/>
      <c r="KS95" s="186">
        <f t="shared" si="459"/>
        <v>0</v>
      </c>
      <c r="KT95" s="186" t="str">
        <f t="shared" si="460"/>
        <v>0</v>
      </c>
      <c r="KU95" s="186" t="str">
        <f t="shared" si="461"/>
        <v>0</v>
      </c>
      <c r="KV95" s="186">
        <f t="shared" si="532"/>
        <v>0</v>
      </c>
      <c r="KW95" s="186">
        <f t="shared" si="533"/>
        <v>0</v>
      </c>
      <c r="KX95" s="135" t="str">
        <f t="shared" si="462"/>
        <v>F</v>
      </c>
      <c r="KY95" s="151" t="str">
        <f>VLOOKUP(RANK(KW95,$KW$10:$KW$109),Sheet1!$A$381:$B$480,2,FALSE)</f>
        <v>1st</v>
      </c>
      <c r="KZ95" s="186"/>
      <c r="LA95" s="186"/>
      <c r="LB95" s="186">
        <f t="shared" si="463"/>
        <v>0</v>
      </c>
      <c r="LC95" s="186" t="str">
        <f t="shared" si="464"/>
        <v>0</v>
      </c>
      <c r="LD95" s="186" t="str">
        <f t="shared" si="465"/>
        <v>0</v>
      </c>
      <c r="LE95" s="186">
        <f t="shared" si="534"/>
        <v>0</v>
      </c>
      <c r="LF95" s="186">
        <f t="shared" si="535"/>
        <v>0</v>
      </c>
      <c r="LG95" s="135" t="str">
        <f t="shared" si="466"/>
        <v>F</v>
      </c>
      <c r="LH95" s="151" t="str">
        <f>VLOOKUP(RANK(LF95,$LF$10:$LF$109),Sheet1!$A$381:$B$480,2,FALSE)</f>
        <v>1st</v>
      </c>
      <c r="LI95" s="186"/>
      <c r="LJ95" s="186"/>
      <c r="LK95" s="186">
        <f t="shared" si="467"/>
        <v>0</v>
      </c>
      <c r="LL95" s="186" t="str">
        <f t="shared" si="468"/>
        <v>50</v>
      </c>
      <c r="LM95" s="186" t="str">
        <f t="shared" si="469"/>
        <v>60</v>
      </c>
      <c r="LN95" s="186">
        <f t="shared" si="536"/>
        <v>110</v>
      </c>
      <c r="LO95" s="186">
        <f t="shared" si="537"/>
        <v>36.6666666666667</v>
      </c>
      <c r="LP95" s="135" t="str">
        <f t="shared" si="470"/>
        <v>E</v>
      </c>
      <c r="LQ95" s="151" t="str">
        <f>VLOOKUP(RANK(LO95,$LO$10:$LO$109),Sheet1!$A$381:$B$480,2,FALSE)</f>
        <v>23rd</v>
      </c>
      <c r="LR95" s="186"/>
      <c r="LS95" s="186"/>
      <c r="LT95" s="186">
        <f t="shared" si="471"/>
        <v>0</v>
      </c>
      <c r="LU95" s="186" t="str">
        <f t="shared" si="472"/>
        <v>48</v>
      </c>
      <c r="LV95" s="186" t="str">
        <f t="shared" si="473"/>
        <v>58</v>
      </c>
      <c r="LW95" s="186">
        <f t="shared" si="538"/>
        <v>106</v>
      </c>
      <c r="LX95" s="186">
        <f t="shared" si="539"/>
        <v>35.3333333333333</v>
      </c>
      <c r="LY95" s="135" t="str">
        <f t="shared" si="474"/>
        <v>E</v>
      </c>
      <c r="LZ95" s="151" t="str">
        <f>VLOOKUP(RANK(LX95,$LX$10:$LX$109),Sheet1!$A$381:$B$480,2,FALSE)</f>
        <v>43rd</v>
      </c>
      <c r="MA95" s="186"/>
      <c r="MB95" s="186"/>
      <c r="MC95" s="186">
        <f t="shared" si="475"/>
        <v>0</v>
      </c>
      <c r="MD95" s="186" t="str">
        <f t="shared" si="476"/>
        <v>34</v>
      </c>
      <c r="ME95" s="186" t="str">
        <f t="shared" si="477"/>
        <v>51</v>
      </c>
      <c r="MF95" s="183">
        <f t="shared" si="540"/>
        <v>85</v>
      </c>
      <c r="MG95" s="151">
        <f t="shared" si="541"/>
        <v>28.3333333333333</v>
      </c>
      <c r="MH95" s="135" t="str">
        <f t="shared" si="478"/>
        <v>F</v>
      </c>
      <c r="MI95" s="151" t="str">
        <f>VLOOKUP(RANK(MG95,$MG$10:$MG$109),Sheet1!$A$381:$B$480,2,FALSE)</f>
        <v>36th</v>
      </c>
      <c r="MJ95" s="186"/>
      <c r="MK95" s="186"/>
      <c r="ML95" s="186">
        <f t="shared" si="479"/>
        <v>0</v>
      </c>
      <c r="MM95" s="186" t="str">
        <f t="shared" si="480"/>
        <v>54</v>
      </c>
      <c r="MN95" s="186" t="str">
        <f t="shared" si="481"/>
        <v>45</v>
      </c>
      <c r="MO95" s="186">
        <f t="shared" si="542"/>
        <v>99</v>
      </c>
      <c r="MP95" s="186">
        <f t="shared" si="543"/>
        <v>33</v>
      </c>
      <c r="MQ95" s="135" t="str">
        <f t="shared" si="482"/>
        <v>F</v>
      </c>
      <c r="MR95" s="151" t="str">
        <f>VLOOKUP(RANK(MP95,$MP$10:$MP$109),Sheet1!$A$381:$B$480,2,FALSE)</f>
        <v>28th</v>
      </c>
      <c r="MS95" s="186"/>
      <c r="MT95" s="186"/>
      <c r="MU95" s="186">
        <f t="shared" si="483"/>
        <v>0</v>
      </c>
      <c r="MV95" s="186" t="str">
        <f t="shared" si="484"/>
        <v>35</v>
      </c>
      <c r="MW95" s="186" t="str">
        <f t="shared" si="485"/>
        <v>54</v>
      </c>
      <c r="MX95" s="186">
        <f t="shared" si="544"/>
        <v>89</v>
      </c>
      <c r="MY95" s="186">
        <f t="shared" si="545"/>
        <v>29.6666666666667</v>
      </c>
      <c r="MZ95" s="135" t="str">
        <f t="shared" si="486"/>
        <v>F</v>
      </c>
      <c r="NA95" s="151" t="str">
        <f>VLOOKUP(RANK(MY95,$MY$10:$MY$109),Sheet1!$A$381:$B$480,2,FALSE)</f>
        <v>60th</v>
      </c>
      <c r="NB95" s="186"/>
      <c r="NC95" s="186"/>
      <c r="ND95" s="186">
        <f t="shared" si="487"/>
        <v>0</v>
      </c>
      <c r="NE95" s="186" t="str">
        <f t="shared" si="488"/>
        <v>42</v>
      </c>
      <c r="NF95" s="186" t="str">
        <f t="shared" si="489"/>
        <v>41</v>
      </c>
      <c r="NG95" s="186">
        <f t="shared" si="546"/>
        <v>83</v>
      </c>
      <c r="NH95" s="186">
        <f t="shared" si="547"/>
        <v>27.6666666666667</v>
      </c>
      <c r="NI95" s="135" t="str">
        <f t="shared" si="490"/>
        <v>F</v>
      </c>
      <c r="NJ95" s="151" t="str">
        <f>VLOOKUP(RANK(NH95,$NH$10:$NH$109),Sheet1!$A$381:$B$480,2,FALSE)</f>
        <v>47th</v>
      </c>
      <c r="NK95" s="186"/>
      <c r="NL95" s="186"/>
      <c r="NM95" s="186">
        <f t="shared" si="491"/>
        <v>0</v>
      </c>
      <c r="NN95" s="186" t="str">
        <f t="shared" si="492"/>
        <v>53</v>
      </c>
      <c r="NO95" s="186" t="str">
        <f t="shared" si="493"/>
        <v>74</v>
      </c>
      <c r="NP95" s="186">
        <f t="shared" si="548"/>
        <v>127</v>
      </c>
      <c r="NQ95" s="186">
        <f t="shared" si="494"/>
        <v>42.3333333333333</v>
      </c>
      <c r="NR95" s="135" t="str">
        <f t="shared" si="495"/>
        <v>D</v>
      </c>
      <c r="NS95" s="151" t="str">
        <f>VLOOKUP(RANK(NQ95,$NQ$10:$NQ$109),Sheet1!$A$381:$B$480,2,FALSE)</f>
        <v>53rd</v>
      </c>
      <c r="NT95" s="186"/>
      <c r="NU95" s="186"/>
      <c r="NV95" s="186">
        <f t="shared" si="496"/>
        <v>0</v>
      </c>
      <c r="NW95" s="186" t="str">
        <f t="shared" si="497"/>
        <v>0</v>
      </c>
      <c r="NX95" s="186" t="str">
        <f t="shared" si="498"/>
        <v>0</v>
      </c>
      <c r="NY95" s="186">
        <f t="shared" si="549"/>
        <v>0</v>
      </c>
      <c r="NZ95" s="186">
        <f t="shared" si="499"/>
        <v>0</v>
      </c>
      <c r="OA95" s="135" t="str">
        <f t="shared" si="500"/>
        <v>F</v>
      </c>
      <c r="OB95" s="151" t="str">
        <f>VLOOKUP(RANK(NZ95,$NZ$10:$NZ$109),Sheet1!$A$381:$B$480,2,FALSE)</f>
        <v>1st</v>
      </c>
      <c r="OC95" s="186"/>
      <c r="OD95" s="186"/>
      <c r="OE95" s="186">
        <f t="shared" si="501"/>
        <v>0</v>
      </c>
      <c r="OF95" s="186" t="str">
        <f t="shared" si="502"/>
        <v>0</v>
      </c>
      <c r="OG95" s="186" t="str">
        <f t="shared" si="503"/>
        <v>0</v>
      </c>
      <c r="OH95" s="186">
        <f t="shared" si="550"/>
        <v>0</v>
      </c>
      <c r="OI95" s="186">
        <f t="shared" si="504"/>
        <v>0</v>
      </c>
      <c r="OJ95" s="135" t="str">
        <f t="shared" si="505"/>
        <v>F</v>
      </c>
      <c r="OK95" s="151" t="str">
        <f>VLOOKUP(RANK(OI95,$OI$10:$OI$109),Sheet1!$A$381:$B$480,2,FALSE)</f>
        <v>1st</v>
      </c>
      <c r="OL95" s="151"/>
      <c r="OM95" s="151"/>
      <c r="ON95" s="151">
        <f t="shared" si="551"/>
        <v>0</v>
      </c>
      <c r="OO95" s="151" t="str">
        <f t="shared" si="552"/>
        <v>0</v>
      </c>
      <c r="OP95" s="151" t="str">
        <f t="shared" si="553"/>
        <v>0</v>
      </c>
      <c r="OQ95" s="151">
        <f t="shared" si="554"/>
        <v>0</v>
      </c>
      <c r="OR95" s="151">
        <f t="shared" si="555"/>
        <v>0</v>
      </c>
      <c r="OS95" s="135" t="str">
        <f t="shared" si="506"/>
        <v>F</v>
      </c>
      <c r="OT95" s="151" t="str">
        <f>VLOOKUP(RANK(OR95,$OI$10:$OI$109),Sheet1!$A$381:$B$480,2,FALSE)</f>
        <v>1st</v>
      </c>
      <c r="OU95" s="151">
        <f t="shared" si="556"/>
        <v>415.33333333333297</v>
      </c>
      <c r="OV95" s="151">
        <f t="shared" si="557"/>
        <v>24.431372549019599</v>
      </c>
      <c r="OW95" s="151" t="str">
        <f>VLOOKUP(RANK(OV95,$OV$10:$OV$109),Sheet1!$A$381:$B$480,2,FALSE)</f>
        <v>46th</v>
      </c>
      <c r="OX95" s="151"/>
      <c r="OY95" s="186"/>
      <c r="OZ95" s="186"/>
      <c r="PA95" s="186"/>
      <c r="PB95" s="186"/>
    </row>
    <row r="96" spans="1:418" s="118" customFormat="1" ht="18.75">
      <c r="A96" s="131">
        <v>87</v>
      </c>
      <c r="B96" s="132" t="s">
        <v>186</v>
      </c>
      <c r="C96" s="133" t="s">
        <v>97</v>
      </c>
      <c r="D96" s="134">
        <v>23</v>
      </c>
      <c r="E96" s="134">
        <v>47</v>
      </c>
      <c r="F96" s="137">
        <f t="shared" si="315"/>
        <v>70</v>
      </c>
      <c r="G96" s="137">
        <f t="shared" si="316"/>
        <v>70</v>
      </c>
      <c r="H96" s="135" t="str">
        <f t="shared" si="507"/>
        <v>B</v>
      </c>
      <c r="I96" s="135" t="str">
        <f>VLOOKUP(RANK(G96,$G$10:$G$109),Sheet1!$A$381:$B$480,2,FALSE)</f>
        <v>36th</v>
      </c>
      <c r="J96" s="134">
        <v>31</v>
      </c>
      <c r="K96" s="134">
        <v>42</v>
      </c>
      <c r="L96" s="137">
        <f t="shared" si="317"/>
        <v>73</v>
      </c>
      <c r="M96" s="137">
        <f t="shared" si="318"/>
        <v>73</v>
      </c>
      <c r="N96" s="135" t="str">
        <f t="shared" si="319"/>
        <v>B</v>
      </c>
      <c r="O96" s="141" t="str">
        <f>VLOOKUP(RANK(M96,$M$10:$M$109),Sheet1!$A$381:$B$480,2,FALSE)</f>
        <v>9th</v>
      </c>
      <c r="P96" s="144">
        <v>28</v>
      </c>
      <c r="Q96" s="144">
        <v>10</v>
      </c>
      <c r="R96" s="147">
        <f t="shared" si="320"/>
        <v>38</v>
      </c>
      <c r="S96" s="137">
        <f t="shared" si="321"/>
        <v>38</v>
      </c>
      <c r="T96" s="135" t="str">
        <f t="shared" si="322"/>
        <v>E</v>
      </c>
      <c r="U96" s="135" t="str">
        <f>VLOOKUP(RANK(S96,$S$10:$S$109),Sheet1!$A$381:$B$480,2,FALSE)</f>
        <v>67th</v>
      </c>
      <c r="V96" s="134">
        <v>28</v>
      </c>
      <c r="W96" s="134">
        <v>28</v>
      </c>
      <c r="X96" s="137">
        <f t="shared" si="559"/>
        <v>56</v>
      </c>
      <c r="Y96" s="137">
        <f t="shared" si="558"/>
        <v>56</v>
      </c>
      <c r="Z96" s="135" t="str">
        <f t="shared" si="323"/>
        <v>C</v>
      </c>
      <c r="AA96" s="135" t="str">
        <f>VLOOKUP(RANK(Y96,$Y$10:$Y$109),Sheet1!$A$381:$B$480,2,FALSE)</f>
        <v>44th</v>
      </c>
      <c r="AB96" s="134">
        <v>30</v>
      </c>
      <c r="AC96" s="134">
        <v>34</v>
      </c>
      <c r="AD96" s="137">
        <f t="shared" si="324"/>
        <v>64</v>
      </c>
      <c r="AE96" s="137">
        <f t="shared" si="325"/>
        <v>64</v>
      </c>
      <c r="AF96" s="135" t="str">
        <f t="shared" si="326"/>
        <v>B</v>
      </c>
      <c r="AG96" s="135" t="str">
        <f>VLOOKUP(RANK(AE96,$AE$10:$AE$109),Sheet1!$A$381:$B$480,2,FALSE)</f>
        <v>43rd</v>
      </c>
      <c r="AH96" s="137"/>
      <c r="AI96" s="137"/>
      <c r="AJ96" s="137">
        <f t="shared" si="327"/>
        <v>0</v>
      </c>
      <c r="AK96" s="137">
        <f t="shared" si="328"/>
        <v>0</v>
      </c>
      <c r="AL96" s="135" t="str">
        <f t="shared" si="329"/>
        <v>F</v>
      </c>
      <c r="AM96" s="135" t="str">
        <f>VLOOKUP(RANK(AK96,$AK$10:$AK$109),Sheet1!$A$381:$B$480,2,FALSE)</f>
        <v>1st</v>
      </c>
      <c r="AN96" s="139"/>
      <c r="AO96" s="139"/>
      <c r="AP96" s="137">
        <f t="shared" si="330"/>
        <v>0</v>
      </c>
      <c r="AQ96" s="137">
        <f t="shared" si="331"/>
        <v>0</v>
      </c>
      <c r="AR96" s="135" t="str">
        <f t="shared" si="332"/>
        <v>F</v>
      </c>
      <c r="AS96" s="135" t="str">
        <f>VLOOKUP(RANK(AQ96,$AQ$10:$AQ$109),Sheet1!$A$381:$B$480,2,FALSE)</f>
        <v>1st</v>
      </c>
      <c r="AT96" s="144">
        <v>24</v>
      </c>
      <c r="AU96" s="144">
        <v>28</v>
      </c>
      <c r="AV96" s="137">
        <f t="shared" si="333"/>
        <v>52</v>
      </c>
      <c r="AW96" s="137">
        <f t="shared" si="334"/>
        <v>52</v>
      </c>
      <c r="AX96" s="135" t="str">
        <f t="shared" si="335"/>
        <v>C</v>
      </c>
      <c r="AY96" s="141" t="str">
        <f>VLOOKUP(RANK(AW96,$AW$10:$AW$109),Sheet1!$A$381:$B$480,2,FALSE)</f>
        <v>34th</v>
      </c>
      <c r="AZ96" s="144">
        <v>32</v>
      </c>
      <c r="BA96" s="144">
        <v>19</v>
      </c>
      <c r="BB96" s="147">
        <f t="shared" si="336"/>
        <v>51</v>
      </c>
      <c r="BC96" s="137">
        <f t="shared" si="337"/>
        <v>51</v>
      </c>
      <c r="BD96" s="135" t="str">
        <f t="shared" si="338"/>
        <v>C</v>
      </c>
      <c r="BE96" s="135" t="str">
        <f>VLOOKUP(RANK(BC96,$BC$10:$BC$109),Sheet1!$A$381:$B$480,2,FALSE)</f>
        <v>54th</v>
      </c>
      <c r="BF96" s="144">
        <v>21</v>
      </c>
      <c r="BG96" s="144">
        <v>19</v>
      </c>
      <c r="BH96" s="137">
        <f t="shared" si="339"/>
        <v>40</v>
      </c>
      <c r="BI96" s="137">
        <f t="shared" si="340"/>
        <v>40</v>
      </c>
      <c r="BJ96" s="135" t="str">
        <f t="shared" si="341"/>
        <v>D</v>
      </c>
      <c r="BK96" s="141" t="str">
        <f>VLOOKUP(RANK(BI96,$BI$10:$BI$109),Sheet1!$A$381:$B$480,2,FALSE)</f>
        <v>32nd</v>
      </c>
      <c r="BL96" s="149">
        <v>26</v>
      </c>
      <c r="BM96" s="149">
        <v>28</v>
      </c>
      <c r="BN96" s="147">
        <f t="shared" si="342"/>
        <v>54</v>
      </c>
      <c r="BO96" s="137">
        <f t="shared" si="343"/>
        <v>54</v>
      </c>
      <c r="BP96" s="135" t="str">
        <f t="shared" si="344"/>
        <v>C</v>
      </c>
      <c r="BQ96" s="141" t="str">
        <f>VLOOKUP(RANK(BO96,$BO$10:$BO$109),Sheet1!$A$381:$B$480,2,FALSE)</f>
        <v>23rd</v>
      </c>
      <c r="BR96" s="149">
        <v>30</v>
      </c>
      <c r="BS96" s="149">
        <v>2</v>
      </c>
      <c r="BT96" s="147">
        <f t="shared" si="345"/>
        <v>32</v>
      </c>
      <c r="BU96" s="137">
        <f t="shared" si="346"/>
        <v>32</v>
      </c>
      <c r="BV96" s="135" t="str">
        <f t="shared" si="347"/>
        <v>F</v>
      </c>
      <c r="BW96" s="135" t="str">
        <f>VLOOKUP(RANK(BU96,$BU$10:$BU$109),Sheet1!$A$381:$B$480,2,FALSE)</f>
        <v>88th</v>
      </c>
      <c r="BX96" s="149">
        <v>34</v>
      </c>
      <c r="BY96" s="149">
        <v>11</v>
      </c>
      <c r="BZ96" s="137">
        <f t="shared" si="348"/>
        <v>45</v>
      </c>
      <c r="CA96" s="137">
        <f t="shared" si="349"/>
        <v>45</v>
      </c>
      <c r="CB96" s="135" t="str">
        <f t="shared" si="350"/>
        <v>D</v>
      </c>
      <c r="CC96" s="135" t="str">
        <f>VLOOKUP(RANK(CA96,$CA$10:$CA$109),Sheet1!$A$381:$B$480,2,FALSE)</f>
        <v>13th</v>
      </c>
      <c r="CD96" s="149">
        <v>25</v>
      </c>
      <c r="CE96" s="149">
        <v>30</v>
      </c>
      <c r="CF96" s="137">
        <f t="shared" si="351"/>
        <v>55</v>
      </c>
      <c r="CG96" s="137">
        <f t="shared" si="352"/>
        <v>55</v>
      </c>
      <c r="CH96" s="135" t="str">
        <f t="shared" si="353"/>
        <v>C</v>
      </c>
      <c r="CI96" s="135" t="str">
        <f>VLOOKUP(RANK(CG96,$CG$10:$CG$109),Sheet1!$A$381:$B$480,2,FALSE)</f>
        <v>46th</v>
      </c>
      <c r="CJ96" s="137"/>
      <c r="CK96" s="137"/>
      <c r="CL96" s="137">
        <f t="shared" si="354"/>
        <v>0</v>
      </c>
      <c r="CM96" s="137">
        <f t="shared" si="355"/>
        <v>0</v>
      </c>
      <c r="CN96" s="135" t="str">
        <f t="shared" si="356"/>
        <v>F</v>
      </c>
      <c r="CO96" s="135" t="str">
        <f>VLOOKUP(RANK(CM96,$CM$10:$CM$109),Sheet1!$A$381:$B$480,2,FALSE)</f>
        <v>1st</v>
      </c>
      <c r="CP96" s="137"/>
      <c r="CQ96" s="137"/>
      <c r="CR96" s="137">
        <f t="shared" si="357"/>
        <v>0</v>
      </c>
      <c r="CS96" s="137">
        <f t="shared" si="358"/>
        <v>0</v>
      </c>
      <c r="CT96" s="135" t="str">
        <f t="shared" si="359"/>
        <v>F</v>
      </c>
      <c r="CU96" s="135" t="str">
        <f>VLOOKUP(RANK(CS96,$CS$10:$CS$109),Sheet1!$A$381:$B$480,2,FALSE)</f>
        <v>1st</v>
      </c>
      <c r="CV96" s="151"/>
      <c r="CW96" s="135"/>
      <c r="CX96" s="151">
        <f t="shared" si="508"/>
        <v>0</v>
      </c>
      <c r="CY96" s="151">
        <f t="shared" si="509"/>
        <v>0</v>
      </c>
      <c r="CZ96" s="135" t="str">
        <f t="shared" si="360"/>
        <v>F</v>
      </c>
      <c r="DA96" s="135" t="str">
        <f>VLOOKUP(RANK(CY96,$CY$10:$CY$109),Sheet1!$A$381:$B$480,2,FALSE)</f>
        <v>1st</v>
      </c>
      <c r="DB96" s="135"/>
      <c r="DC96" s="151">
        <f t="shared" si="510"/>
        <v>630</v>
      </c>
      <c r="DD96" s="151">
        <f t="shared" si="511"/>
        <v>37.058823529411796</v>
      </c>
      <c r="DE96" s="135" t="str">
        <f>VLOOKUP(RANK(DD96,$DD$10:$DD$109),Sheet1!$A$381:$B$480,2,FALSE)</f>
        <v>45th</v>
      </c>
      <c r="DF96" s="137"/>
      <c r="DG96" s="160">
        <f t="shared" si="361"/>
        <v>667.05882352941205</v>
      </c>
      <c r="DH96" s="119"/>
      <c r="DI96" s="162">
        <v>22</v>
      </c>
      <c r="DJ96" s="162">
        <v>38</v>
      </c>
      <c r="DK96" s="137">
        <f t="shared" si="362"/>
        <v>60</v>
      </c>
      <c r="DL96" s="137" t="str">
        <f t="shared" si="363"/>
        <v>70</v>
      </c>
      <c r="DM96" s="137">
        <f t="shared" si="364"/>
        <v>130</v>
      </c>
      <c r="DN96" s="137">
        <f t="shared" si="365"/>
        <v>65</v>
      </c>
      <c r="DO96" s="135" t="str">
        <f t="shared" si="366"/>
        <v>B</v>
      </c>
      <c r="DP96" s="135" t="str">
        <f>VLOOKUP(RANK(DN96,$DN$10:$DN$109),Sheet1!$A$381:$B$480,2,FALSE)</f>
        <v>60th</v>
      </c>
      <c r="DQ96" s="166">
        <v>27</v>
      </c>
      <c r="DR96" s="166">
        <v>14</v>
      </c>
      <c r="DS96" s="137">
        <f t="shared" si="367"/>
        <v>41</v>
      </c>
      <c r="DT96" s="137" t="str">
        <f t="shared" si="368"/>
        <v>73</v>
      </c>
      <c r="DU96" s="137">
        <f t="shared" si="369"/>
        <v>114</v>
      </c>
      <c r="DV96" s="137">
        <f t="shared" si="370"/>
        <v>57</v>
      </c>
      <c r="DW96" s="135" t="str">
        <f t="shared" si="371"/>
        <v>C</v>
      </c>
      <c r="DX96" s="135" t="str">
        <f>VLOOKUP(RANK(DV96,$DV$10:$DV$109),Sheet1!$A$381:$B$480,2,FALSE)</f>
        <v>20th</v>
      </c>
      <c r="DY96" s="168">
        <v>22</v>
      </c>
      <c r="DZ96" s="168">
        <v>23</v>
      </c>
      <c r="EA96" s="137">
        <f t="shared" si="372"/>
        <v>45</v>
      </c>
      <c r="EB96" s="137" t="str">
        <f t="shared" si="373"/>
        <v>38</v>
      </c>
      <c r="EC96" s="137">
        <f t="shared" si="374"/>
        <v>83</v>
      </c>
      <c r="ED96" s="137">
        <f t="shared" si="375"/>
        <v>41.5</v>
      </c>
      <c r="EE96" s="135" t="str">
        <f t="shared" si="376"/>
        <v>D</v>
      </c>
      <c r="EF96" s="135" t="str">
        <f>VLOOKUP(RANK(ED96,$ED$10:$ED$109),Sheet1!$A$381:$B$480,2,FALSE)</f>
        <v>63rd</v>
      </c>
      <c r="EG96" s="162">
        <v>12</v>
      </c>
      <c r="EH96" s="162">
        <v>32</v>
      </c>
      <c r="EI96" s="137">
        <f t="shared" si="377"/>
        <v>44</v>
      </c>
      <c r="EJ96" s="137" t="str">
        <f t="shared" si="378"/>
        <v>56</v>
      </c>
      <c r="EK96" s="137">
        <f t="shared" si="379"/>
        <v>100</v>
      </c>
      <c r="EL96" s="137">
        <f t="shared" si="380"/>
        <v>50</v>
      </c>
      <c r="EM96" s="135" t="str">
        <f t="shared" si="381"/>
        <v>C</v>
      </c>
      <c r="EN96" s="135" t="str">
        <f>VLOOKUP(RANK(EL96,$EL$10:$EL$109),Sheet1!$A$381:$B$480,2,FALSE)</f>
        <v>63rd</v>
      </c>
      <c r="EO96" s="162">
        <v>29</v>
      </c>
      <c r="EP96" s="162">
        <v>23</v>
      </c>
      <c r="EQ96" s="137">
        <f t="shared" si="382"/>
        <v>52</v>
      </c>
      <c r="ER96" s="137" t="str">
        <f t="shared" si="383"/>
        <v>64</v>
      </c>
      <c r="ES96" s="137">
        <f t="shared" si="384"/>
        <v>116</v>
      </c>
      <c r="ET96" s="137">
        <f t="shared" si="385"/>
        <v>58</v>
      </c>
      <c r="EU96" s="135" t="str">
        <f t="shared" si="386"/>
        <v>C</v>
      </c>
      <c r="EV96" s="135" t="str">
        <f>VLOOKUP(RANK(ET96,$ET$10:$ET$109),Sheet1!$A$381:$B$480,2,FALSE)</f>
        <v>40th</v>
      </c>
      <c r="EW96" s="137"/>
      <c r="EX96" s="137"/>
      <c r="EY96" s="137">
        <f t="shared" si="387"/>
        <v>0</v>
      </c>
      <c r="EZ96" s="137" t="str">
        <f t="shared" si="388"/>
        <v>0</v>
      </c>
      <c r="FA96" s="137">
        <f t="shared" si="389"/>
        <v>0</v>
      </c>
      <c r="FB96" s="137">
        <f t="shared" si="390"/>
        <v>0</v>
      </c>
      <c r="FC96" s="135" t="str">
        <f t="shared" si="391"/>
        <v>F</v>
      </c>
      <c r="FD96" s="135" t="str">
        <f>VLOOKUP(RANK(FB96,$FB$10:$FB$109),Sheet1!$A$381:$B$480,2,FALSE)</f>
        <v>1st</v>
      </c>
      <c r="FE96" s="137"/>
      <c r="FF96" s="137"/>
      <c r="FG96" s="137">
        <f t="shared" si="392"/>
        <v>0</v>
      </c>
      <c r="FH96" s="137" t="str">
        <f t="shared" si="393"/>
        <v>0</v>
      </c>
      <c r="FI96" s="137">
        <f t="shared" si="394"/>
        <v>0</v>
      </c>
      <c r="FJ96" s="137">
        <f t="shared" si="395"/>
        <v>0</v>
      </c>
      <c r="FK96" s="135" t="str">
        <f t="shared" si="396"/>
        <v>F</v>
      </c>
      <c r="FL96" s="135" t="str">
        <f>VLOOKUP(RANK(FJ96,$FJ$10:$FJ$109),Sheet1!$A$381:$B$480,2,FALSE)</f>
        <v>1st</v>
      </c>
      <c r="FM96" s="166">
        <v>25</v>
      </c>
      <c r="FN96" s="166">
        <v>25</v>
      </c>
      <c r="FO96" s="137">
        <f t="shared" si="397"/>
        <v>50</v>
      </c>
      <c r="FP96" s="137" t="str">
        <f t="shared" si="398"/>
        <v>52</v>
      </c>
      <c r="FQ96" s="137">
        <f t="shared" si="399"/>
        <v>102</v>
      </c>
      <c r="FR96" s="137">
        <f t="shared" si="400"/>
        <v>51</v>
      </c>
      <c r="FS96" s="135" t="str">
        <f t="shared" si="401"/>
        <v>C</v>
      </c>
      <c r="FT96" s="135" t="str">
        <f>VLOOKUP(RANK(FR96,$FR$10:$FR$109),Sheet1!$A$381:$B$480,2,FALSE)</f>
        <v>56th</v>
      </c>
      <c r="FU96" s="149">
        <v>37</v>
      </c>
      <c r="FV96" s="149">
        <v>22</v>
      </c>
      <c r="FW96" s="137">
        <f t="shared" si="402"/>
        <v>59</v>
      </c>
      <c r="FX96" s="137" t="str">
        <f t="shared" si="403"/>
        <v>51</v>
      </c>
      <c r="FY96" s="137">
        <f t="shared" si="512"/>
        <v>59</v>
      </c>
      <c r="FZ96" s="137">
        <f t="shared" si="404"/>
        <v>29.5</v>
      </c>
      <c r="GA96" s="135" t="str">
        <f t="shared" si="405"/>
        <v>F</v>
      </c>
      <c r="GB96" s="135" t="str">
        <f>VLOOKUP(RANK(FZ96,$FZ$10:$FZ$109),Sheet1!$A$381:$B$480,2,FALSE)</f>
        <v>25th</v>
      </c>
      <c r="GC96" s="166">
        <v>25</v>
      </c>
      <c r="GD96" s="166">
        <v>27</v>
      </c>
      <c r="GE96" s="137">
        <f t="shared" si="406"/>
        <v>52</v>
      </c>
      <c r="GF96" s="137" t="str">
        <f t="shared" si="407"/>
        <v>40</v>
      </c>
      <c r="GG96" s="135">
        <f t="shared" si="513"/>
        <v>92</v>
      </c>
      <c r="GH96" s="137">
        <f t="shared" si="514"/>
        <v>46</v>
      </c>
      <c r="GI96" s="135" t="str">
        <f t="shared" si="408"/>
        <v>D</v>
      </c>
      <c r="GJ96" s="135" t="str">
        <f>VLOOKUP(RANK(GH96,$GH$10:$GH$109),Sheet1!$A$381:$B$480,2,FALSE)</f>
        <v>24th</v>
      </c>
      <c r="GK96" s="166">
        <v>26</v>
      </c>
      <c r="GL96" s="166">
        <v>16</v>
      </c>
      <c r="GM96" s="137">
        <f t="shared" si="409"/>
        <v>42</v>
      </c>
      <c r="GN96" s="137" t="str">
        <f t="shared" si="410"/>
        <v>54</v>
      </c>
      <c r="GO96" s="135">
        <f t="shared" si="515"/>
        <v>96</v>
      </c>
      <c r="GP96" s="137">
        <f t="shared" si="411"/>
        <v>48</v>
      </c>
      <c r="GQ96" s="135" t="str">
        <f t="shared" si="412"/>
        <v>D</v>
      </c>
      <c r="GR96" s="135" t="str">
        <f>VLOOKUP(RANK(GP96,$GP$10:$GP$109),Sheet1!$A$381:$B$480,2,FALSE)</f>
        <v>45th</v>
      </c>
      <c r="GS96" s="166">
        <v>32</v>
      </c>
      <c r="GT96" s="166">
        <v>20</v>
      </c>
      <c r="GU96" s="137">
        <f t="shared" si="413"/>
        <v>52</v>
      </c>
      <c r="GV96" s="137" t="str">
        <f t="shared" si="414"/>
        <v>32</v>
      </c>
      <c r="GW96" s="137">
        <f t="shared" si="415"/>
        <v>84</v>
      </c>
      <c r="GX96" s="137">
        <f t="shared" si="416"/>
        <v>42</v>
      </c>
      <c r="GY96" s="135" t="str">
        <f t="shared" si="417"/>
        <v>D</v>
      </c>
      <c r="GZ96" s="135" t="str">
        <f>VLOOKUP(RANK(GX96,$GX$10:$GX$109),Sheet1!$A$381:$B$480,2,FALSE)</f>
        <v>68th</v>
      </c>
      <c r="HA96" s="166">
        <v>30</v>
      </c>
      <c r="HB96" s="166">
        <v>9</v>
      </c>
      <c r="HC96" s="137">
        <f t="shared" si="418"/>
        <v>39</v>
      </c>
      <c r="HD96" s="137" t="str">
        <f t="shared" si="419"/>
        <v>45</v>
      </c>
      <c r="HE96" s="137">
        <f t="shared" si="420"/>
        <v>84</v>
      </c>
      <c r="HF96" s="137">
        <f t="shared" si="421"/>
        <v>42</v>
      </c>
      <c r="HG96" s="135" t="str">
        <f t="shared" si="422"/>
        <v>D</v>
      </c>
      <c r="HH96" s="135" t="str">
        <f>VLOOKUP(RANK(HF96,$HF$10:$HF$109),Sheet1!$A$381:$B$480,2,FALSE)</f>
        <v>42nd</v>
      </c>
      <c r="HI96" s="149">
        <v>24</v>
      </c>
      <c r="HJ96" s="149">
        <v>49</v>
      </c>
      <c r="HK96" s="137">
        <f t="shared" si="423"/>
        <v>73</v>
      </c>
      <c r="HL96" s="137" t="str">
        <f t="shared" si="424"/>
        <v>55</v>
      </c>
      <c r="HM96" s="137">
        <f t="shared" si="425"/>
        <v>128</v>
      </c>
      <c r="HN96" s="137">
        <f t="shared" si="426"/>
        <v>64</v>
      </c>
      <c r="HO96" s="135" t="str">
        <f t="shared" si="427"/>
        <v>B</v>
      </c>
      <c r="HP96" s="135" t="str">
        <f>VLOOKUP(RANK(HN96,$HN$10:$HN$109),Sheet1!$A$381:$B$480,2,FALSE)</f>
        <v>50th</v>
      </c>
      <c r="HQ96" s="137"/>
      <c r="HR96" s="137"/>
      <c r="HS96" s="137">
        <f t="shared" si="428"/>
        <v>0</v>
      </c>
      <c r="HT96" s="137" t="str">
        <f t="shared" si="429"/>
        <v>0</v>
      </c>
      <c r="HU96" s="137">
        <f t="shared" si="430"/>
        <v>0</v>
      </c>
      <c r="HV96" s="137">
        <f t="shared" si="431"/>
        <v>0</v>
      </c>
      <c r="HW96" s="135" t="str">
        <f t="shared" si="432"/>
        <v>F</v>
      </c>
      <c r="HX96" s="135" t="str">
        <f>VLOOKUP(RANK(HV96,$HV$10:$HV$109),Sheet1!$A$381:$B$480,2,FALSE)</f>
        <v>1st</v>
      </c>
      <c r="HY96" s="137"/>
      <c r="HZ96" s="137"/>
      <c r="IA96" s="137">
        <f t="shared" si="433"/>
        <v>0</v>
      </c>
      <c r="IB96" s="137" t="str">
        <f t="shared" si="434"/>
        <v>0</v>
      </c>
      <c r="IC96" s="137">
        <f t="shared" si="435"/>
        <v>0</v>
      </c>
      <c r="ID96" s="137">
        <f t="shared" si="436"/>
        <v>0</v>
      </c>
      <c r="IE96" s="135" t="str">
        <f t="shared" si="437"/>
        <v>F</v>
      </c>
      <c r="IF96" s="135" t="str">
        <f>VLOOKUP(RANK(ID96,$ID$10:$ID$109),Sheet1!$A$381:$B$480,2,FALSE)</f>
        <v>1st</v>
      </c>
      <c r="IG96" s="135"/>
      <c r="IH96" s="135"/>
      <c r="II96" s="135">
        <f t="shared" si="516"/>
        <v>0</v>
      </c>
      <c r="IJ96" s="135" t="str">
        <f t="shared" si="517"/>
        <v>0</v>
      </c>
      <c r="IK96" s="135">
        <f t="shared" si="518"/>
        <v>0</v>
      </c>
      <c r="IL96" s="135">
        <f t="shared" si="519"/>
        <v>0</v>
      </c>
      <c r="IM96" s="135" t="str">
        <f t="shared" si="438"/>
        <v>F</v>
      </c>
      <c r="IN96" s="135" t="str">
        <f>VLOOKUP(RANK(IL96,$IL$10:$IL$109),Sheet1!$A$381:$B$480,2,FALSE)</f>
        <v>1st</v>
      </c>
      <c r="IO96" s="135">
        <f t="shared" si="520"/>
        <v>594</v>
      </c>
      <c r="IP96" s="177">
        <f t="shared" si="521"/>
        <v>34.941176470588204</v>
      </c>
      <c r="IQ96" s="135" t="str">
        <f>VLOOKUP(RANK(IP96,$IP$10:$IP$109),Sheet1!$A$381:$B$480,2,FALSE)</f>
        <v>49th</v>
      </c>
      <c r="IR96" s="178"/>
      <c r="IS96" s="137"/>
      <c r="IT96" s="137"/>
      <c r="IU96" s="137"/>
      <c r="IV96" s="137"/>
      <c r="IW96" s="181"/>
      <c r="IX96" s="184"/>
      <c r="IY96" s="186"/>
      <c r="IZ96" s="186">
        <f t="shared" si="439"/>
        <v>0</v>
      </c>
      <c r="JA96" s="186" t="str">
        <f t="shared" si="440"/>
        <v>70</v>
      </c>
      <c r="JB96" s="186" t="str">
        <f t="shared" si="441"/>
        <v>60</v>
      </c>
      <c r="JC96" s="186">
        <f t="shared" si="522"/>
        <v>130</v>
      </c>
      <c r="JD96" s="186">
        <f t="shared" si="523"/>
        <v>43.3333333333333</v>
      </c>
      <c r="JE96" s="135" t="str">
        <f t="shared" si="442"/>
        <v>D</v>
      </c>
      <c r="JF96" s="151" t="str">
        <f>VLOOKUP(RANK(JD96,$JD$10:$JD$109),Sheet1!$A$381:$B$480,2,FALSE)</f>
        <v>60th</v>
      </c>
      <c r="JG96" s="186"/>
      <c r="JH96" s="186"/>
      <c r="JI96" s="186">
        <f t="shared" si="443"/>
        <v>0</v>
      </c>
      <c r="JJ96" s="186" t="str">
        <f t="shared" si="444"/>
        <v>73</v>
      </c>
      <c r="JK96" s="186" t="str">
        <f t="shared" si="445"/>
        <v>41</v>
      </c>
      <c r="JL96" s="186">
        <f t="shared" si="524"/>
        <v>114</v>
      </c>
      <c r="JM96" s="186">
        <f t="shared" si="525"/>
        <v>38</v>
      </c>
      <c r="JN96" s="135" t="str">
        <f t="shared" si="446"/>
        <v>E</v>
      </c>
      <c r="JO96" s="151" t="str">
        <f>VLOOKUP(RANK(JM96,$JM$10:$JM$109),Sheet1!$A$381:$B$480,2,FALSE)</f>
        <v>20th</v>
      </c>
      <c r="JP96" s="186"/>
      <c r="JQ96" s="186"/>
      <c r="JR96" s="186">
        <f t="shared" si="447"/>
        <v>0</v>
      </c>
      <c r="JS96" s="186" t="str">
        <f t="shared" si="448"/>
        <v>38</v>
      </c>
      <c r="JT96" s="186" t="str">
        <f t="shared" si="449"/>
        <v>45</v>
      </c>
      <c r="JU96" s="186">
        <f t="shared" si="526"/>
        <v>83</v>
      </c>
      <c r="JV96" s="186">
        <f t="shared" si="527"/>
        <v>27.6666666666667</v>
      </c>
      <c r="JW96" s="135" t="str">
        <f t="shared" si="450"/>
        <v>F</v>
      </c>
      <c r="JX96" s="151" t="str">
        <f>VLOOKUP(RANK(JV96,$JV$10:$JV$109),Sheet1!$A$381:$B$480,2,FALSE)</f>
        <v>63rd</v>
      </c>
      <c r="JY96" s="186"/>
      <c r="JZ96" s="186"/>
      <c r="KA96" s="186">
        <f t="shared" si="451"/>
        <v>0</v>
      </c>
      <c r="KB96" s="186" t="str">
        <f t="shared" si="452"/>
        <v>56</v>
      </c>
      <c r="KC96" s="186" t="str">
        <f t="shared" si="453"/>
        <v>44</v>
      </c>
      <c r="KD96" s="186">
        <f t="shared" si="528"/>
        <v>100</v>
      </c>
      <c r="KE96" s="186">
        <f t="shared" si="529"/>
        <v>33.3333333333333</v>
      </c>
      <c r="KF96" s="135" t="str">
        <f t="shared" si="454"/>
        <v>F</v>
      </c>
      <c r="KG96" s="151" t="str">
        <f>VLOOKUP(RANK(KE96,$KE$10:$KE$109),Sheet1!$A$381:$B$480,2,FALSE)</f>
        <v>63rd</v>
      </c>
      <c r="KH96" s="186"/>
      <c r="KI96" s="186"/>
      <c r="KJ96" s="186">
        <f t="shared" si="455"/>
        <v>0</v>
      </c>
      <c r="KK96" s="186" t="str">
        <f t="shared" si="456"/>
        <v>64</v>
      </c>
      <c r="KL96" s="186" t="str">
        <f t="shared" si="457"/>
        <v>52</v>
      </c>
      <c r="KM96" s="186">
        <f t="shared" si="530"/>
        <v>116</v>
      </c>
      <c r="KN96" s="186">
        <f t="shared" si="531"/>
        <v>38.6666666666667</v>
      </c>
      <c r="KO96" s="135" t="str">
        <f t="shared" si="458"/>
        <v>E</v>
      </c>
      <c r="KP96" s="151" t="str">
        <f>VLOOKUP(RANK(KN96,$KN$10:$KN$109),Sheet1!$A$381:$B$480,2,FALSE)</f>
        <v>40th</v>
      </c>
      <c r="KQ96" s="186"/>
      <c r="KR96" s="186"/>
      <c r="KS96" s="186">
        <f t="shared" si="459"/>
        <v>0</v>
      </c>
      <c r="KT96" s="186" t="str">
        <f t="shared" si="460"/>
        <v>0</v>
      </c>
      <c r="KU96" s="186" t="str">
        <f t="shared" si="461"/>
        <v>0</v>
      </c>
      <c r="KV96" s="186">
        <f t="shared" si="532"/>
        <v>0</v>
      </c>
      <c r="KW96" s="186">
        <f t="shared" si="533"/>
        <v>0</v>
      </c>
      <c r="KX96" s="135" t="str">
        <f t="shared" si="462"/>
        <v>F</v>
      </c>
      <c r="KY96" s="151" t="str">
        <f>VLOOKUP(RANK(KW96,$KW$10:$KW$109),Sheet1!$A$381:$B$480,2,FALSE)</f>
        <v>1st</v>
      </c>
      <c r="KZ96" s="186"/>
      <c r="LA96" s="186"/>
      <c r="LB96" s="186">
        <f t="shared" si="463"/>
        <v>0</v>
      </c>
      <c r="LC96" s="186" t="str">
        <f t="shared" si="464"/>
        <v>0</v>
      </c>
      <c r="LD96" s="186" t="str">
        <f t="shared" si="465"/>
        <v>0</v>
      </c>
      <c r="LE96" s="186">
        <f t="shared" si="534"/>
        <v>0</v>
      </c>
      <c r="LF96" s="186">
        <f t="shared" si="535"/>
        <v>0</v>
      </c>
      <c r="LG96" s="135" t="str">
        <f t="shared" si="466"/>
        <v>F</v>
      </c>
      <c r="LH96" s="151" t="str">
        <f>VLOOKUP(RANK(LF96,$LF$10:$LF$109),Sheet1!$A$381:$B$480,2,FALSE)</f>
        <v>1st</v>
      </c>
      <c r="LI96" s="186"/>
      <c r="LJ96" s="186"/>
      <c r="LK96" s="186">
        <f t="shared" si="467"/>
        <v>0</v>
      </c>
      <c r="LL96" s="186" t="str">
        <f t="shared" si="468"/>
        <v>52</v>
      </c>
      <c r="LM96" s="186" t="str">
        <f t="shared" si="469"/>
        <v>50</v>
      </c>
      <c r="LN96" s="186">
        <f t="shared" si="536"/>
        <v>102</v>
      </c>
      <c r="LO96" s="186">
        <f t="shared" si="537"/>
        <v>34</v>
      </c>
      <c r="LP96" s="135" t="str">
        <f t="shared" si="470"/>
        <v>F</v>
      </c>
      <c r="LQ96" s="151" t="str">
        <f>VLOOKUP(RANK(LO96,$LO$10:$LO$109),Sheet1!$A$381:$B$480,2,FALSE)</f>
        <v>56th</v>
      </c>
      <c r="LR96" s="186"/>
      <c r="LS96" s="186"/>
      <c r="LT96" s="186">
        <f t="shared" si="471"/>
        <v>0</v>
      </c>
      <c r="LU96" s="186" t="str">
        <f t="shared" si="472"/>
        <v>51</v>
      </c>
      <c r="LV96" s="186" t="str">
        <f t="shared" si="473"/>
        <v>59</v>
      </c>
      <c r="LW96" s="186">
        <f t="shared" si="538"/>
        <v>110</v>
      </c>
      <c r="LX96" s="186">
        <f t="shared" si="539"/>
        <v>36.6666666666667</v>
      </c>
      <c r="LY96" s="135" t="str">
        <f t="shared" si="474"/>
        <v>E</v>
      </c>
      <c r="LZ96" s="151" t="str">
        <f>VLOOKUP(RANK(LX96,$LX$10:$LX$109),Sheet1!$A$381:$B$480,2,FALSE)</f>
        <v>36th</v>
      </c>
      <c r="MA96" s="186"/>
      <c r="MB96" s="186"/>
      <c r="MC96" s="186">
        <f t="shared" si="475"/>
        <v>0</v>
      </c>
      <c r="MD96" s="186" t="str">
        <f t="shared" si="476"/>
        <v>40</v>
      </c>
      <c r="ME96" s="186" t="str">
        <f t="shared" si="477"/>
        <v>52</v>
      </c>
      <c r="MF96" s="183">
        <f t="shared" si="540"/>
        <v>92</v>
      </c>
      <c r="MG96" s="151">
        <f t="shared" si="541"/>
        <v>30.6666666666667</v>
      </c>
      <c r="MH96" s="135" t="str">
        <f t="shared" si="478"/>
        <v>F</v>
      </c>
      <c r="MI96" s="151" t="str">
        <f>VLOOKUP(RANK(MG96,$MG$10:$MG$109),Sheet1!$A$381:$B$480,2,FALSE)</f>
        <v>24th</v>
      </c>
      <c r="MJ96" s="186"/>
      <c r="MK96" s="186"/>
      <c r="ML96" s="186">
        <f t="shared" si="479"/>
        <v>0</v>
      </c>
      <c r="MM96" s="186" t="str">
        <f t="shared" si="480"/>
        <v>54</v>
      </c>
      <c r="MN96" s="186" t="str">
        <f t="shared" si="481"/>
        <v>42</v>
      </c>
      <c r="MO96" s="186">
        <f t="shared" si="542"/>
        <v>96</v>
      </c>
      <c r="MP96" s="186">
        <f t="shared" si="543"/>
        <v>32</v>
      </c>
      <c r="MQ96" s="135" t="str">
        <f t="shared" si="482"/>
        <v>F</v>
      </c>
      <c r="MR96" s="151" t="str">
        <f>VLOOKUP(RANK(MP96,$MP$10:$MP$109),Sheet1!$A$381:$B$480,2,FALSE)</f>
        <v>45th</v>
      </c>
      <c r="MS96" s="186"/>
      <c r="MT96" s="186"/>
      <c r="MU96" s="186">
        <f t="shared" si="483"/>
        <v>0</v>
      </c>
      <c r="MV96" s="186" t="str">
        <f t="shared" si="484"/>
        <v>32</v>
      </c>
      <c r="MW96" s="186" t="str">
        <f t="shared" si="485"/>
        <v>52</v>
      </c>
      <c r="MX96" s="186">
        <f t="shared" si="544"/>
        <v>84</v>
      </c>
      <c r="MY96" s="186">
        <f t="shared" si="545"/>
        <v>28</v>
      </c>
      <c r="MZ96" s="135" t="str">
        <f t="shared" si="486"/>
        <v>F</v>
      </c>
      <c r="NA96" s="151" t="str">
        <f>VLOOKUP(RANK(MY96,$MY$10:$MY$109),Sheet1!$A$381:$B$480,2,FALSE)</f>
        <v>68th</v>
      </c>
      <c r="NB96" s="186"/>
      <c r="NC96" s="186"/>
      <c r="ND96" s="186">
        <f t="shared" si="487"/>
        <v>0</v>
      </c>
      <c r="NE96" s="186" t="str">
        <f t="shared" si="488"/>
        <v>45</v>
      </c>
      <c r="NF96" s="186" t="str">
        <f t="shared" si="489"/>
        <v>39</v>
      </c>
      <c r="NG96" s="186">
        <f t="shared" si="546"/>
        <v>84</v>
      </c>
      <c r="NH96" s="186">
        <f t="shared" si="547"/>
        <v>28</v>
      </c>
      <c r="NI96" s="135" t="str">
        <f t="shared" si="490"/>
        <v>F</v>
      </c>
      <c r="NJ96" s="151" t="str">
        <f>VLOOKUP(RANK(NH96,$NH$10:$NH$109),Sheet1!$A$381:$B$480,2,FALSE)</f>
        <v>42nd</v>
      </c>
      <c r="NK96" s="186"/>
      <c r="NL96" s="186"/>
      <c r="NM96" s="186">
        <f t="shared" si="491"/>
        <v>0</v>
      </c>
      <c r="NN96" s="186" t="str">
        <f t="shared" si="492"/>
        <v>55</v>
      </c>
      <c r="NO96" s="186" t="str">
        <f t="shared" si="493"/>
        <v>73</v>
      </c>
      <c r="NP96" s="186">
        <f t="shared" si="548"/>
        <v>128</v>
      </c>
      <c r="NQ96" s="186">
        <f t="shared" si="494"/>
        <v>42.6666666666667</v>
      </c>
      <c r="NR96" s="135" t="str">
        <f t="shared" si="495"/>
        <v>D</v>
      </c>
      <c r="NS96" s="151" t="str">
        <f>VLOOKUP(RANK(NQ96,$NQ$10:$NQ$109),Sheet1!$A$381:$B$480,2,FALSE)</f>
        <v>50th</v>
      </c>
      <c r="NT96" s="186"/>
      <c r="NU96" s="186"/>
      <c r="NV96" s="186">
        <f t="shared" si="496"/>
        <v>0</v>
      </c>
      <c r="NW96" s="186" t="str">
        <f t="shared" si="497"/>
        <v>0</v>
      </c>
      <c r="NX96" s="186" t="str">
        <f t="shared" si="498"/>
        <v>0</v>
      </c>
      <c r="NY96" s="186">
        <f t="shared" si="549"/>
        <v>0</v>
      </c>
      <c r="NZ96" s="186">
        <f t="shared" si="499"/>
        <v>0</v>
      </c>
      <c r="OA96" s="135" t="str">
        <f t="shared" si="500"/>
        <v>F</v>
      </c>
      <c r="OB96" s="151" t="str">
        <f>VLOOKUP(RANK(NZ96,$NZ$10:$NZ$109),Sheet1!$A$381:$B$480,2,FALSE)</f>
        <v>1st</v>
      </c>
      <c r="OC96" s="186"/>
      <c r="OD96" s="186"/>
      <c r="OE96" s="186">
        <f t="shared" si="501"/>
        <v>0</v>
      </c>
      <c r="OF96" s="186" t="str">
        <f t="shared" si="502"/>
        <v>0</v>
      </c>
      <c r="OG96" s="186" t="str">
        <f t="shared" si="503"/>
        <v>0</v>
      </c>
      <c r="OH96" s="186">
        <f t="shared" si="550"/>
        <v>0</v>
      </c>
      <c r="OI96" s="186">
        <f t="shared" si="504"/>
        <v>0</v>
      </c>
      <c r="OJ96" s="135" t="str">
        <f t="shared" si="505"/>
        <v>F</v>
      </c>
      <c r="OK96" s="151" t="str">
        <f>VLOOKUP(RANK(OI96,$OI$10:$OI$109),Sheet1!$A$381:$B$480,2,FALSE)</f>
        <v>1st</v>
      </c>
      <c r="OL96" s="151"/>
      <c r="OM96" s="151"/>
      <c r="ON96" s="151">
        <f t="shared" si="551"/>
        <v>0</v>
      </c>
      <c r="OO96" s="151" t="str">
        <f t="shared" si="552"/>
        <v>0</v>
      </c>
      <c r="OP96" s="151" t="str">
        <f t="shared" si="553"/>
        <v>0</v>
      </c>
      <c r="OQ96" s="151">
        <f t="shared" si="554"/>
        <v>0</v>
      </c>
      <c r="OR96" s="151">
        <f t="shared" si="555"/>
        <v>0</v>
      </c>
      <c r="OS96" s="135" t="str">
        <f t="shared" si="506"/>
        <v>F</v>
      </c>
      <c r="OT96" s="151" t="str">
        <f>VLOOKUP(RANK(OR96,$OI$10:$OI$109),Sheet1!$A$381:$B$480,2,FALSE)</f>
        <v>1st</v>
      </c>
      <c r="OU96" s="151">
        <f t="shared" si="556"/>
        <v>413</v>
      </c>
      <c r="OV96" s="151">
        <f t="shared" si="557"/>
        <v>24.294117647058801</v>
      </c>
      <c r="OW96" s="151" t="str">
        <f>VLOOKUP(RANK(OV96,$OV$10:$OV$109),Sheet1!$A$381:$B$480,2,FALSE)</f>
        <v>48th</v>
      </c>
      <c r="OX96" s="151"/>
      <c r="OY96" s="186"/>
      <c r="OZ96" s="186"/>
      <c r="PA96" s="186"/>
      <c r="PB96" s="186"/>
    </row>
    <row r="97" spans="1:418" s="118" customFormat="1" ht="18.75">
      <c r="A97" s="131">
        <v>88</v>
      </c>
      <c r="B97" s="132" t="s">
        <v>187</v>
      </c>
      <c r="C97" s="133" t="s">
        <v>97</v>
      </c>
      <c r="D97" s="134">
        <v>23</v>
      </c>
      <c r="E97" s="134">
        <v>0</v>
      </c>
      <c r="F97" s="137">
        <f t="shared" si="315"/>
        <v>23</v>
      </c>
      <c r="G97" s="137">
        <f t="shared" si="316"/>
        <v>23</v>
      </c>
      <c r="H97" s="135" t="str">
        <f t="shared" si="507"/>
        <v>F</v>
      </c>
      <c r="I97" s="135" t="str">
        <f>VLOOKUP(RANK(G97,$G$10:$G$109),Sheet1!$A$381:$B$480,2,FALSE)</f>
        <v>96th</v>
      </c>
      <c r="J97" s="134">
        <v>24</v>
      </c>
      <c r="K97" s="134">
        <v>25</v>
      </c>
      <c r="L97" s="137">
        <f t="shared" si="317"/>
        <v>49</v>
      </c>
      <c r="M97" s="137">
        <f t="shared" si="318"/>
        <v>49</v>
      </c>
      <c r="N97" s="135" t="str">
        <f t="shared" si="319"/>
        <v>D</v>
      </c>
      <c r="O97" s="141" t="str">
        <f>VLOOKUP(RANK(M97,$M$10:$M$109),Sheet1!$A$381:$B$480,2,FALSE)</f>
        <v>72nd</v>
      </c>
      <c r="P97" s="144">
        <v>35</v>
      </c>
      <c r="Q97" s="144">
        <v>25</v>
      </c>
      <c r="R97" s="147">
        <f t="shared" si="320"/>
        <v>60</v>
      </c>
      <c r="S97" s="137">
        <f t="shared" si="321"/>
        <v>60</v>
      </c>
      <c r="T97" s="135" t="str">
        <f t="shared" si="322"/>
        <v>B</v>
      </c>
      <c r="U97" s="135" t="str">
        <f>VLOOKUP(RANK(S97,$S$10:$S$109),Sheet1!$A$381:$B$480,2,FALSE)</f>
        <v>13th</v>
      </c>
      <c r="V97" s="134">
        <v>25</v>
      </c>
      <c r="W97" s="134">
        <v>30</v>
      </c>
      <c r="X97" s="137">
        <f t="shared" si="559"/>
        <v>55</v>
      </c>
      <c r="Y97" s="137">
        <f t="shared" si="558"/>
        <v>55</v>
      </c>
      <c r="Z97" s="135" t="str">
        <f t="shared" si="323"/>
        <v>C</v>
      </c>
      <c r="AA97" s="135" t="str">
        <f>VLOOKUP(RANK(Y97,$Y$10:$Y$109),Sheet1!$A$381:$B$480,2,FALSE)</f>
        <v>45th</v>
      </c>
      <c r="AB97" s="134">
        <v>31</v>
      </c>
      <c r="AC97" s="134">
        <v>41</v>
      </c>
      <c r="AD97" s="137">
        <f t="shared" si="324"/>
        <v>72</v>
      </c>
      <c r="AE97" s="137">
        <f t="shared" si="325"/>
        <v>72</v>
      </c>
      <c r="AF97" s="135" t="str">
        <f t="shared" si="326"/>
        <v>B</v>
      </c>
      <c r="AG97" s="135" t="str">
        <f>VLOOKUP(RANK(AE97,$AE$10:$AE$109),Sheet1!$A$381:$B$480,2,FALSE)</f>
        <v>31st</v>
      </c>
      <c r="AH97" s="137"/>
      <c r="AI97" s="137"/>
      <c r="AJ97" s="137">
        <f t="shared" si="327"/>
        <v>0</v>
      </c>
      <c r="AK97" s="137">
        <f t="shared" si="328"/>
        <v>0</v>
      </c>
      <c r="AL97" s="135" t="str">
        <f t="shared" si="329"/>
        <v>F</v>
      </c>
      <c r="AM97" s="135" t="str">
        <f>VLOOKUP(RANK(AK97,$AK$10:$AK$109),Sheet1!$A$381:$B$480,2,FALSE)</f>
        <v>1st</v>
      </c>
      <c r="AN97" s="134"/>
      <c r="AO97" s="134"/>
      <c r="AP97" s="137">
        <f t="shared" si="330"/>
        <v>0</v>
      </c>
      <c r="AQ97" s="137">
        <f t="shared" si="331"/>
        <v>0</v>
      </c>
      <c r="AR97" s="135" t="str">
        <f t="shared" si="332"/>
        <v>F</v>
      </c>
      <c r="AS97" s="135" t="str">
        <f>VLOOKUP(RANK(AQ97,$AQ$10:$AQ$109),Sheet1!$A$381:$B$480,2,FALSE)</f>
        <v>1st</v>
      </c>
      <c r="AT97" s="144">
        <v>24</v>
      </c>
      <c r="AU97" s="144">
        <v>27</v>
      </c>
      <c r="AV97" s="137">
        <f t="shared" si="333"/>
        <v>51</v>
      </c>
      <c r="AW97" s="137">
        <f t="shared" si="334"/>
        <v>51</v>
      </c>
      <c r="AX97" s="135" t="str">
        <f t="shared" si="335"/>
        <v>C</v>
      </c>
      <c r="AY97" s="141" t="str">
        <f>VLOOKUP(RANK(AW97,$AW$10:$AW$109),Sheet1!$A$381:$B$480,2,FALSE)</f>
        <v>45th</v>
      </c>
      <c r="AZ97" s="144">
        <v>32</v>
      </c>
      <c r="BA97" s="144">
        <v>16</v>
      </c>
      <c r="BB97" s="147">
        <f t="shared" si="336"/>
        <v>48</v>
      </c>
      <c r="BC97" s="137">
        <f t="shared" si="337"/>
        <v>48</v>
      </c>
      <c r="BD97" s="135" t="str">
        <f t="shared" si="338"/>
        <v>D</v>
      </c>
      <c r="BE97" s="135" t="str">
        <f>VLOOKUP(RANK(BC97,$BC$10:$BC$109),Sheet1!$A$381:$B$480,2,FALSE)</f>
        <v>63rd</v>
      </c>
      <c r="BF97" s="144">
        <v>20</v>
      </c>
      <c r="BG97" s="144">
        <v>12</v>
      </c>
      <c r="BH97" s="137">
        <f t="shared" si="339"/>
        <v>32</v>
      </c>
      <c r="BI97" s="137">
        <f t="shared" si="340"/>
        <v>32</v>
      </c>
      <c r="BJ97" s="135" t="str">
        <f t="shared" si="341"/>
        <v>F</v>
      </c>
      <c r="BK97" s="141" t="str">
        <f>VLOOKUP(RANK(BI97,$BI$10:$BI$109),Sheet1!$A$381:$B$480,2,FALSE)</f>
        <v>58th</v>
      </c>
      <c r="BL97" s="149">
        <v>28</v>
      </c>
      <c r="BM97" s="149">
        <v>25</v>
      </c>
      <c r="BN97" s="147">
        <f t="shared" si="342"/>
        <v>53</v>
      </c>
      <c r="BO97" s="137">
        <f t="shared" si="343"/>
        <v>53</v>
      </c>
      <c r="BP97" s="135" t="str">
        <f t="shared" si="344"/>
        <v>C</v>
      </c>
      <c r="BQ97" s="141" t="str">
        <f>VLOOKUP(RANK(BO97,$BO$10:$BO$109),Sheet1!$A$381:$B$480,2,FALSE)</f>
        <v>36th</v>
      </c>
      <c r="BR97" s="149">
        <v>27</v>
      </c>
      <c r="BS97" s="149">
        <v>10</v>
      </c>
      <c r="BT97" s="147">
        <f t="shared" si="345"/>
        <v>37</v>
      </c>
      <c r="BU97" s="137">
        <f t="shared" si="346"/>
        <v>37</v>
      </c>
      <c r="BV97" s="135" t="str">
        <f t="shared" si="347"/>
        <v>E</v>
      </c>
      <c r="BW97" s="135" t="str">
        <f>VLOOKUP(RANK(BU97,$BU$10:$BU$109),Sheet1!$A$381:$B$480,2,FALSE)</f>
        <v>71st</v>
      </c>
      <c r="BX97" s="149">
        <v>33</v>
      </c>
      <c r="BY97" s="149">
        <v>10</v>
      </c>
      <c r="BZ97" s="137">
        <f t="shared" si="348"/>
        <v>43</v>
      </c>
      <c r="CA97" s="137">
        <f t="shared" si="349"/>
        <v>43</v>
      </c>
      <c r="CB97" s="135" t="str">
        <f t="shared" si="350"/>
        <v>D</v>
      </c>
      <c r="CC97" s="135" t="str">
        <f>VLOOKUP(RANK(CA97,$CA$10:$CA$109),Sheet1!$A$381:$B$480,2,FALSE)</f>
        <v>28th</v>
      </c>
      <c r="CD97" s="149">
        <v>30</v>
      </c>
      <c r="CE97" s="149">
        <v>40</v>
      </c>
      <c r="CF97" s="137">
        <f t="shared" si="351"/>
        <v>70</v>
      </c>
      <c r="CG97" s="137">
        <f t="shared" si="352"/>
        <v>70</v>
      </c>
      <c r="CH97" s="135" t="str">
        <f t="shared" si="353"/>
        <v>B</v>
      </c>
      <c r="CI97" s="135" t="str">
        <f>VLOOKUP(RANK(CG97,$CG$10:$CG$109),Sheet1!$A$381:$B$480,2,FALSE)</f>
        <v>17th</v>
      </c>
      <c r="CJ97" s="137"/>
      <c r="CK97" s="137"/>
      <c r="CL97" s="137">
        <f t="shared" si="354"/>
        <v>0</v>
      </c>
      <c r="CM97" s="137">
        <f t="shared" si="355"/>
        <v>0</v>
      </c>
      <c r="CN97" s="135" t="str">
        <f t="shared" si="356"/>
        <v>F</v>
      </c>
      <c r="CO97" s="135" t="str">
        <f>VLOOKUP(RANK(CM97,$CM$10:$CM$109),Sheet1!$A$381:$B$480,2,FALSE)</f>
        <v>1st</v>
      </c>
      <c r="CP97" s="137"/>
      <c r="CQ97" s="137"/>
      <c r="CR97" s="137">
        <f t="shared" si="357"/>
        <v>0</v>
      </c>
      <c r="CS97" s="137">
        <f t="shared" si="358"/>
        <v>0</v>
      </c>
      <c r="CT97" s="135" t="str">
        <f t="shared" si="359"/>
        <v>F</v>
      </c>
      <c r="CU97" s="135" t="str">
        <f>VLOOKUP(RANK(CS97,$CS$10:$CS$109),Sheet1!$A$381:$B$480,2,FALSE)</f>
        <v>1st</v>
      </c>
      <c r="CV97" s="151"/>
      <c r="CW97" s="135"/>
      <c r="CX97" s="151">
        <f t="shared" si="508"/>
        <v>0</v>
      </c>
      <c r="CY97" s="151">
        <f t="shared" si="509"/>
        <v>0</v>
      </c>
      <c r="CZ97" s="135" t="str">
        <f t="shared" si="360"/>
        <v>F</v>
      </c>
      <c r="DA97" s="135" t="str">
        <f>VLOOKUP(RANK(CY97,$CY$10:$CY$109),Sheet1!$A$381:$B$480,2,FALSE)</f>
        <v>1st</v>
      </c>
      <c r="DB97" s="135"/>
      <c r="DC97" s="151">
        <f t="shared" si="510"/>
        <v>593</v>
      </c>
      <c r="DD97" s="151">
        <f t="shared" si="511"/>
        <v>34.882352941176499</v>
      </c>
      <c r="DE97" s="135" t="str">
        <f>VLOOKUP(RANK(DD97,$DD$10:$DD$109),Sheet1!$A$381:$B$480,2,FALSE)</f>
        <v>60th</v>
      </c>
      <c r="DF97" s="137"/>
      <c r="DG97" s="160">
        <f t="shared" si="361"/>
        <v>627.88235294117601</v>
      </c>
      <c r="DH97" s="119"/>
      <c r="DI97" s="162">
        <v>26</v>
      </c>
      <c r="DJ97" s="162">
        <v>49</v>
      </c>
      <c r="DK97" s="137">
        <f t="shared" si="362"/>
        <v>75</v>
      </c>
      <c r="DL97" s="137" t="str">
        <f t="shared" si="363"/>
        <v>23</v>
      </c>
      <c r="DM97" s="137">
        <f t="shared" si="364"/>
        <v>98</v>
      </c>
      <c r="DN97" s="137">
        <f t="shared" si="365"/>
        <v>49</v>
      </c>
      <c r="DO97" s="135" t="str">
        <f t="shared" si="366"/>
        <v>D</v>
      </c>
      <c r="DP97" s="135" t="str">
        <f>VLOOKUP(RANK(DN97,$DN$10:$DN$109),Sheet1!$A$381:$B$480,2,FALSE)</f>
        <v>88th</v>
      </c>
      <c r="DQ97" s="166">
        <v>29</v>
      </c>
      <c r="DR97" s="166">
        <v>19</v>
      </c>
      <c r="DS97" s="137">
        <f t="shared" si="367"/>
        <v>48</v>
      </c>
      <c r="DT97" s="137" t="str">
        <f t="shared" si="368"/>
        <v>49</v>
      </c>
      <c r="DU97" s="137">
        <f t="shared" si="369"/>
        <v>97</v>
      </c>
      <c r="DV97" s="137">
        <f t="shared" si="370"/>
        <v>48.5</v>
      </c>
      <c r="DW97" s="135" t="str">
        <f t="shared" si="371"/>
        <v>D</v>
      </c>
      <c r="DX97" s="135" t="str">
        <f>VLOOKUP(RANK(DV97,$DV$10:$DV$109),Sheet1!$A$381:$B$480,2,FALSE)</f>
        <v>51st</v>
      </c>
      <c r="DY97" s="168">
        <v>30</v>
      </c>
      <c r="DZ97" s="168">
        <v>23</v>
      </c>
      <c r="EA97" s="137">
        <f t="shared" si="372"/>
        <v>53</v>
      </c>
      <c r="EB97" s="137" t="str">
        <f t="shared" si="373"/>
        <v>60</v>
      </c>
      <c r="EC97" s="137">
        <f t="shared" si="374"/>
        <v>113</v>
      </c>
      <c r="ED97" s="137">
        <f t="shared" si="375"/>
        <v>56.5</v>
      </c>
      <c r="EE97" s="135" t="str">
        <f t="shared" si="376"/>
        <v>C</v>
      </c>
      <c r="EF97" s="135" t="str">
        <f>VLOOKUP(RANK(ED97,$ED$10:$ED$109),Sheet1!$A$381:$B$480,2,FALSE)</f>
        <v>19th</v>
      </c>
      <c r="EG97" s="162">
        <v>14</v>
      </c>
      <c r="EH97" s="162">
        <v>35</v>
      </c>
      <c r="EI97" s="137">
        <f t="shared" si="377"/>
        <v>49</v>
      </c>
      <c r="EJ97" s="137" t="str">
        <f t="shared" si="378"/>
        <v>55</v>
      </c>
      <c r="EK97" s="137">
        <f t="shared" si="379"/>
        <v>104</v>
      </c>
      <c r="EL97" s="137">
        <f t="shared" si="380"/>
        <v>52</v>
      </c>
      <c r="EM97" s="135" t="str">
        <f t="shared" si="381"/>
        <v>C</v>
      </c>
      <c r="EN97" s="135" t="str">
        <f>VLOOKUP(RANK(EL97,$EL$10:$EL$109),Sheet1!$A$381:$B$480,2,FALSE)</f>
        <v>55th</v>
      </c>
      <c r="EO97" s="162">
        <v>23</v>
      </c>
      <c r="EP97" s="162">
        <v>27</v>
      </c>
      <c r="EQ97" s="137">
        <f t="shared" si="382"/>
        <v>50</v>
      </c>
      <c r="ER97" s="137" t="str">
        <f t="shared" si="383"/>
        <v>72</v>
      </c>
      <c r="ES97" s="137">
        <f t="shared" si="384"/>
        <v>122</v>
      </c>
      <c r="ET97" s="137">
        <f t="shared" si="385"/>
        <v>61</v>
      </c>
      <c r="EU97" s="135" t="str">
        <f t="shared" si="386"/>
        <v>B</v>
      </c>
      <c r="EV97" s="135" t="str">
        <f>VLOOKUP(RANK(ET97,$ET$10:$ET$109),Sheet1!$A$381:$B$480,2,FALSE)</f>
        <v>36th</v>
      </c>
      <c r="EW97" s="137"/>
      <c r="EX97" s="137"/>
      <c r="EY97" s="137">
        <f t="shared" si="387"/>
        <v>0</v>
      </c>
      <c r="EZ97" s="137" t="str">
        <f t="shared" si="388"/>
        <v>0</v>
      </c>
      <c r="FA97" s="137">
        <f t="shared" si="389"/>
        <v>0</v>
      </c>
      <c r="FB97" s="137">
        <f t="shared" si="390"/>
        <v>0</v>
      </c>
      <c r="FC97" s="135" t="str">
        <f t="shared" si="391"/>
        <v>F</v>
      </c>
      <c r="FD97" s="135" t="str">
        <f>VLOOKUP(RANK(FB97,$FB$10:$FB$109),Sheet1!$A$381:$B$480,2,FALSE)</f>
        <v>1st</v>
      </c>
      <c r="FE97" s="137"/>
      <c r="FF97" s="137"/>
      <c r="FG97" s="137">
        <f t="shared" si="392"/>
        <v>0</v>
      </c>
      <c r="FH97" s="137" t="str">
        <f t="shared" si="393"/>
        <v>0</v>
      </c>
      <c r="FI97" s="137">
        <f t="shared" si="394"/>
        <v>0</v>
      </c>
      <c r="FJ97" s="137">
        <f t="shared" si="395"/>
        <v>0</v>
      </c>
      <c r="FK97" s="135" t="str">
        <f t="shared" si="396"/>
        <v>F</v>
      </c>
      <c r="FL97" s="135" t="str">
        <f>VLOOKUP(RANK(FJ97,$FJ$10:$FJ$109),Sheet1!$A$381:$B$480,2,FALSE)</f>
        <v>1st</v>
      </c>
      <c r="FM97" s="166">
        <v>25</v>
      </c>
      <c r="FN97" s="166">
        <v>26</v>
      </c>
      <c r="FO97" s="137">
        <f t="shared" si="397"/>
        <v>51</v>
      </c>
      <c r="FP97" s="137" t="str">
        <f t="shared" si="398"/>
        <v>51</v>
      </c>
      <c r="FQ97" s="137">
        <f t="shared" si="399"/>
        <v>102</v>
      </c>
      <c r="FR97" s="137">
        <f t="shared" si="400"/>
        <v>51</v>
      </c>
      <c r="FS97" s="135" t="str">
        <f t="shared" si="401"/>
        <v>C</v>
      </c>
      <c r="FT97" s="135" t="str">
        <f>VLOOKUP(RANK(FR97,$FR$10:$FR$109),Sheet1!$A$381:$B$480,2,FALSE)</f>
        <v>56th</v>
      </c>
      <c r="FU97" s="149">
        <v>23</v>
      </c>
      <c r="FV97" s="149">
        <v>25</v>
      </c>
      <c r="FW97" s="137">
        <f t="shared" si="402"/>
        <v>48</v>
      </c>
      <c r="FX97" s="137" t="str">
        <f t="shared" si="403"/>
        <v>48</v>
      </c>
      <c r="FY97" s="137">
        <f t="shared" si="512"/>
        <v>48</v>
      </c>
      <c r="FZ97" s="137">
        <f t="shared" si="404"/>
        <v>24</v>
      </c>
      <c r="GA97" s="135" t="str">
        <f t="shared" si="405"/>
        <v>F</v>
      </c>
      <c r="GB97" s="135" t="str">
        <f>VLOOKUP(RANK(FZ97,$FZ$10:$FZ$109),Sheet1!$A$381:$B$480,2,FALSE)</f>
        <v>56th</v>
      </c>
      <c r="GC97" s="166">
        <v>14</v>
      </c>
      <c r="GD97" s="166">
        <v>27</v>
      </c>
      <c r="GE97" s="137">
        <f t="shared" si="406"/>
        <v>41</v>
      </c>
      <c r="GF97" s="137" t="str">
        <f t="shared" si="407"/>
        <v>32</v>
      </c>
      <c r="GG97" s="135">
        <f t="shared" si="513"/>
        <v>73</v>
      </c>
      <c r="GH97" s="137">
        <f t="shared" si="514"/>
        <v>36.5</v>
      </c>
      <c r="GI97" s="135" t="str">
        <f t="shared" si="408"/>
        <v>E</v>
      </c>
      <c r="GJ97" s="135" t="str">
        <f>VLOOKUP(RANK(GH97,$GH$10:$GH$109),Sheet1!$A$381:$B$480,2,FALSE)</f>
        <v>55th</v>
      </c>
      <c r="GK97" s="166">
        <v>27</v>
      </c>
      <c r="GL97" s="166">
        <v>8</v>
      </c>
      <c r="GM97" s="137">
        <f t="shared" si="409"/>
        <v>35</v>
      </c>
      <c r="GN97" s="137" t="str">
        <f t="shared" si="410"/>
        <v>53</v>
      </c>
      <c r="GO97" s="135">
        <f t="shared" si="515"/>
        <v>88</v>
      </c>
      <c r="GP97" s="137">
        <f t="shared" si="411"/>
        <v>44</v>
      </c>
      <c r="GQ97" s="135" t="str">
        <f t="shared" si="412"/>
        <v>D</v>
      </c>
      <c r="GR97" s="135" t="str">
        <f>VLOOKUP(RANK(GP97,$GP$10:$GP$109),Sheet1!$A$381:$B$480,2,FALSE)</f>
        <v>94th</v>
      </c>
      <c r="GS97" s="166">
        <v>33</v>
      </c>
      <c r="GT97" s="166">
        <v>19</v>
      </c>
      <c r="GU97" s="137">
        <f t="shared" si="413"/>
        <v>52</v>
      </c>
      <c r="GV97" s="137" t="str">
        <f t="shared" si="414"/>
        <v>37</v>
      </c>
      <c r="GW97" s="137">
        <f t="shared" si="415"/>
        <v>89</v>
      </c>
      <c r="GX97" s="137">
        <f t="shared" si="416"/>
        <v>44.5</v>
      </c>
      <c r="GY97" s="135" t="str">
        <f t="shared" si="417"/>
        <v>D</v>
      </c>
      <c r="GZ97" s="135" t="str">
        <f>VLOOKUP(RANK(GX97,$GX$10:$GX$109),Sheet1!$A$381:$B$480,2,FALSE)</f>
        <v>60th</v>
      </c>
      <c r="HA97" s="166">
        <v>29</v>
      </c>
      <c r="HB97" s="166">
        <v>16</v>
      </c>
      <c r="HC97" s="137">
        <f t="shared" si="418"/>
        <v>45</v>
      </c>
      <c r="HD97" s="137" t="str">
        <f t="shared" si="419"/>
        <v>43</v>
      </c>
      <c r="HE97" s="137">
        <f t="shared" si="420"/>
        <v>88</v>
      </c>
      <c r="HF97" s="137">
        <f t="shared" si="421"/>
        <v>44</v>
      </c>
      <c r="HG97" s="135" t="str">
        <f t="shared" si="422"/>
        <v>D</v>
      </c>
      <c r="HH97" s="135" t="str">
        <f>VLOOKUP(RANK(HF97,$HF$10:$HF$109),Sheet1!$A$381:$B$480,2,FALSE)</f>
        <v>30th</v>
      </c>
      <c r="HI97" s="149">
        <v>26</v>
      </c>
      <c r="HJ97" s="149">
        <v>43</v>
      </c>
      <c r="HK97" s="137">
        <f t="shared" si="423"/>
        <v>69</v>
      </c>
      <c r="HL97" s="137" t="str">
        <f t="shared" si="424"/>
        <v>70</v>
      </c>
      <c r="HM97" s="137">
        <f t="shared" si="425"/>
        <v>139</v>
      </c>
      <c r="HN97" s="137">
        <f t="shared" si="426"/>
        <v>69.5</v>
      </c>
      <c r="HO97" s="135" t="str">
        <f t="shared" si="427"/>
        <v>B</v>
      </c>
      <c r="HP97" s="135" t="str">
        <f>VLOOKUP(RANK(HN97,$HN$10:$HN$109),Sheet1!$A$381:$B$480,2,FALSE)</f>
        <v>26th</v>
      </c>
      <c r="HQ97" s="137"/>
      <c r="HR97" s="137"/>
      <c r="HS97" s="137">
        <f t="shared" si="428"/>
        <v>0</v>
      </c>
      <c r="HT97" s="137" t="str">
        <f t="shared" si="429"/>
        <v>0</v>
      </c>
      <c r="HU97" s="137">
        <f t="shared" si="430"/>
        <v>0</v>
      </c>
      <c r="HV97" s="137">
        <f t="shared" si="431"/>
        <v>0</v>
      </c>
      <c r="HW97" s="135" t="str">
        <f t="shared" si="432"/>
        <v>F</v>
      </c>
      <c r="HX97" s="135" t="str">
        <f>VLOOKUP(RANK(HV97,$HV$10:$HV$109),Sheet1!$A$381:$B$480,2,FALSE)</f>
        <v>1st</v>
      </c>
      <c r="HY97" s="137"/>
      <c r="HZ97" s="137"/>
      <c r="IA97" s="137">
        <f t="shared" si="433"/>
        <v>0</v>
      </c>
      <c r="IB97" s="137" t="str">
        <f t="shared" si="434"/>
        <v>0</v>
      </c>
      <c r="IC97" s="137">
        <f t="shared" si="435"/>
        <v>0</v>
      </c>
      <c r="ID97" s="137">
        <f t="shared" si="436"/>
        <v>0</v>
      </c>
      <c r="IE97" s="135" t="str">
        <f t="shared" si="437"/>
        <v>F</v>
      </c>
      <c r="IF97" s="135" t="str">
        <f>VLOOKUP(RANK(ID97,$ID$10:$ID$109),Sheet1!$A$381:$B$480,2,FALSE)</f>
        <v>1st</v>
      </c>
      <c r="IG97" s="135"/>
      <c r="IH97" s="135"/>
      <c r="II97" s="135">
        <f t="shared" si="516"/>
        <v>0</v>
      </c>
      <c r="IJ97" s="135" t="str">
        <f t="shared" si="517"/>
        <v>0</v>
      </c>
      <c r="IK97" s="135">
        <f t="shared" si="518"/>
        <v>0</v>
      </c>
      <c r="IL97" s="135">
        <f t="shared" si="519"/>
        <v>0</v>
      </c>
      <c r="IM97" s="135" t="str">
        <f t="shared" si="438"/>
        <v>F</v>
      </c>
      <c r="IN97" s="135" t="str">
        <f>VLOOKUP(RANK(IL97,$IL$10:$IL$109),Sheet1!$A$381:$B$480,2,FALSE)</f>
        <v>1st</v>
      </c>
      <c r="IO97" s="135">
        <f t="shared" si="520"/>
        <v>580.5</v>
      </c>
      <c r="IP97" s="177">
        <f t="shared" si="521"/>
        <v>34.147058823529399</v>
      </c>
      <c r="IQ97" s="135" t="str">
        <f>VLOOKUP(RANK(IP97,$IP$10:$IP$109),Sheet1!$A$381:$B$480,2,FALSE)</f>
        <v>54th</v>
      </c>
      <c r="IR97" s="178"/>
      <c r="IS97" s="137"/>
      <c r="IT97" s="137"/>
      <c r="IU97" s="137"/>
      <c r="IV97" s="137"/>
      <c r="IW97" s="181"/>
      <c r="IX97" s="184"/>
      <c r="IY97" s="186"/>
      <c r="IZ97" s="186">
        <f t="shared" si="439"/>
        <v>0</v>
      </c>
      <c r="JA97" s="186" t="str">
        <f t="shared" si="440"/>
        <v>23</v>
      </c>
      <c r="JB97" s="186" t="str">
        <f t="shared" si="441"/>
        <v>75</v>
      </c>
      <c r="JC97" s="186">
        <f t="shared" si="522"/>
        <v>98</v>
      </c>
      <c r="JD97" s="186">
        <f t="shared" si="523"/>
        <v>32.6666666666667</v>
      </c>
      <c r="JE97" s="135" t="str">
        <f t="shared" si="442"/>
        <v>F</v>
      </c>
      <c r="JF97" s="151" t="str">
        <f>VLOOKUP(RANK(JD97,$JD$10:$JD$109),Sheet1!$A$381:$B$480,2,FALSE)</f>
        <v>88th</v>
      </c>
      <c r="JG97" s="186"/>
      <c r="JH97" s="186"/>
      <c r="JI97" s="186">
        <f t="shared" si="443"/>
        <v>0</v>
      </c>
      <c r="JJ97" s="186" t="str">
        <f t="shared" si="444"/>
        <v>49</v>
      </c>
      <c r="JK97" s="186" t="str">
        <f t="shared" si="445"/>
        <v>48</v>
      </c>
      <c r="JL97" s="186">
        <f t="shared" si="524"/>
        <v>97</v>
      </c>
      <c r="JM97" s="186">
        <f t="shared" si="525"/>
        <v>32.3333333333333</v>
      </c>
      <c r="JN97" s="135" t="str">
        <f t="shared" si="446"/>
        <v>F</v>
      </c>
      <c r="JO97" s="151" t="str">
        <f>VLOOKUP(RANK(JM97,$JM$10:$JM$109),Sheet1!$A$381:$B$480,2,FALSE)</f>
        <v>51st</v>
      </c>
      <c r="JP97" s="186"/>
      <c r="JQ97" s="186"/>
      <c r="JR97" s="186">
        <f t="shared" si="447"/>
        <v>0</v>
      </c>
      <c r="JS97" s="186" t="str">
        <f t="shared" si="448"/>
        <v>60</v>
      </c>
      <c r="JT97" s="186" t="str">
        <f t="shared" si="449"/>
        <v>53</v>
      </c>
      <c r="JU97" s="186">
        <f t="shared" si="526"/>
        <v>113</v>
      </c>
      <c r="JV97" s="186">
        <f t="shared" si="527"/>
        <v>37.6666666666667</v>
      </c>
      <c r="JW97" s="135" t="str">
        <f t="shared" si="450"/>
        <v>E</v>
      </c>
      <c r="JX97" s="151" t="str">
        <f>VLOOKUP(RANK(JV97,$JV$10:$JV$109),Sheet1!$A$381:$B$480,2,FALSE)</f>
        <v>19th</v>
      </c>
      <c r="JY97" s="186"/>
      <c r="JZ97" s="186"/>
      <c r="KA97" s="186">
        <f t="shared" si="451"/>
        <v>0</v>
      </c>
      <c r="KB97" s="186" t="str">
        <f t="shared" si="452"/>
        <v>55</v>
      </c>
      <c r="KC97" s="186" t="str">
        <f t="shared" si="453"/>
        <v>49</v>
      </c>
      <c r="KD97" s="186">
        <f t="shared" si="528"/>
        <v>104</v>
      </c>
      <c r="KE97" s="186">
        <f t="shared" si="529"/>
        <v>34.6666666666667</v>
      </c>
      <c r="KF97" s="135" t="str">
        <f t="shared" si="454"/>
        <v>F</v>
      </c>
      <c r="KG97" s="151" t="str">
        <f>VLOOKUP(RANK(KE97,$KE$10:$KE$109),Sheet1!$A$381:$B$480,2,FALSE)</f>
        <v>55th</v>
      </c>
      <c r="KH97" s="186"/>
      <c r="KI97" s="186"/>
      <c r="KJ97" s="186">
        <f t="shared" si="455"/>
        <v>0</v>
      </c>
      <c r="KK97" s="186" t="str">
        <f t="shared" si="456"/>
        <v>72</v>
      </c>
      <c r="KL97" s="186" t="str">
        <f t="shared" si="457"/>
        <v>50</v>
      </c>
      <c r="KM97" s="186">
        <f t="shared" si="530"/>
        <v>122</v>
      </c>
      <c r="KN97" s="186">
        <f t="shared" si="531"/>
        <v>40.6666666666667</v>
      </c>
      <c r="KO97" s="135" t="str">
        <f t="shared" si="458"/>
        <v>D</v>
      </c>
      <c r="KP97" s="151" t="str">
        <f>VLOOKUP(RANK(KN97,$KN$10:$KN$109),Sheet1!$A$381:$B$480,2,FALSE)</f>
        <v>36th</v>
      </c>
      <c r="KQ97" s="186"/>
      <c r="KR97" s="186"/>
      <c r="KS97" s="186">
        <f t="shared" si="459"/>
        <v>0</v>
      </c>
      <c r="KT97" s="186" t="str">
        <f t="shared" si="460"/>
        <v>0</v>
      </c>
      <c r="KU97" s="186" t="str">
        <f t="shared" si="461"/>
        <v>0</v>
      </c>
      <c r="KV97" s="186">
        <f t="shared" si="532"/>
        <v>0</v>
      </c>
      <c r="KW97" s="186">
        <f t="shared" si="533"/>
        <v>0</v>
      </c>
      <c r="KX97" s="135" t="str">
        <f t="shared" si="462"/>
        <v>F</v>
      </c>
      <c r="KY97" s="151" t="str">
        <f>VLOOKUP(RANK(KW97,$KW$10:$KW$109),Sheet1!$A$381:$B$480,2,FALSE)</f>
        <v>1st</v>
      </c>
      <c r="KZ97" s="186"/>
      <c r="LA97" s="186"/>
      <c r="LB97" s="186">
        <f t="shared" si="463"/>
        <v>0</v>
      </c>
      <c r="LC97" s="186" t="str">
        <f t="shared" si="464"/>
        <v>0</v>
      </c>
      <c r="LD97" s="186" t="str">
        <f t="shared" si="465"/>
        <v>0</v>
      </c>
      <c r="LE97" s="186">
        <f t="shared" si="534"/>
        <v>0</v>
      </c>
      <c r="LF97" s="186">
        <f t="shared" si="535"/>
        <v>0</v>
      </c>
      <c r="LG97" s="135" t="str">
        <f t="shared" si="466"/>
        <v>F</v>
      </c>
      <c r="LH97" s="151" t="str">
        <f>VLOOKUP(RANK(LF97,$LF$10:$LF$109),Sheet1!$A$381:$B$480,2,FALSE)</f>
        <v>1st</v>
      </c>
      <c r="LI97" s="186"/>
      <c r="LJ97" s="186"/>
      <c r="LK97" s="186">
        <f t="shared" si="467"/>
        <v>0</v>
      </c>
      <c r="LL97" s="186" t="str">
        <f t="shared" si="468"/>
        <v>51</v>
      </c>
      <c r="LM97" s="186" t="str">
        <f t="shared" si="469"/>
        <v>51</v>
      </c>
      <c r="LN97" s="186">
        <f t="shared" si="536"/>
        <v>102</v>
      </c>
      <c r="LO97" s="186">
        <f t="shared" si="537"/>
        <v>34</v>
      </c>
      <c r="LP97" s="135" t="str">
        <f t="shared" si="470"/>
        <v>F</v>
      </c>
      <c r="LQ97" s="151" t="str">
        <f>VLOOKUP(RANK(LO97,$LO$10:$LO$109),Sheet1!$A$381:$B$480,2,FALSE)</f>
        <v>56th</v>
      </c>
      <c r="LR97" s="186"/>
      <c r="LS97" s="186"/>
      <c r="LT97" s="186">
        <f t="shared" si="471"/>
        <v>0</v>
      </c>
      <c r="LU97" s="186" t="str">
        <f t="shared" si="472"/>
        <v>48</v>
      </c>
      <c r="LV97" s="186" t="str">
        <f t="shared" si="473"/>
        <v>48</v>
      </c>
      <c r="LW97" s="186">
        <f t="shared" si="538"/>
        <v>96</v>
      </c>
      <c r="LX97" s="186">
        <f t="shared" si="539"/>
        <v>32</v>
      </c>
      <c r="LY97" s="135" t="str">
        <f t="shared" si="474"/>
        <v>F</v>
      </c>
      <c r="LZ97" s="151" t="str">
        <f>VLOOKUP(RANK(LX97,$LX$10:$LX$109),Sheet1!$A$381:$B$480,2,FALSE)</f>
        <v>66th</v>
      </c>
      <c r="MA97" s="186"/>
      <c r="MB97" s="186"/>
      <c r="MC97" s="186">
        <f t="shared" si="475"/>
        <v>0</v>
      </c>
      <c r="MD97" s="186" t="str">
        <f t="shared" si="476"/>
        <v>32</v>
      </c>
      <c r="ME97" s="186" t="str">
        <f t="shared" si="477"/>
        <v>41</v>
      </c>
      <c r="MF97" s="183">
        <f t="shared" si="540"/>
        <v>73</v>
      </c>
      <c r="MG97" s="151">
        <f t="shared" si="541"/>
        <v>24.3333333333333</v>
      </c>
      <c r="MH97" s="135" t="str">
        <f t="shared" si="478"/>
        <v>F</v>
      </c>
      <c r="MI97" s="151" t="str">
        <f>VLOOKUP(RANK(MG97,$MG$10:$MG$109),Sheet1!$A$381:$B$480,2,FALSE)</f>
        <v>55th</v>
      </c>
      <c r="MJ97" s="186"/>
      <c r="MK97" s="186"/>
      <c r="ML97" s="186">
        <f t="shared" si="479"/>
        <v>0</v>
      </c>
      <c r="MM97" s="186" t="str">
        <f t="shared" si="480"/>
        <v>53</v>
      </c>
      <c r="MN97" s="186" t="str">
        <f t="shared" si="481"/>
        <v>35</v>
      </c>
      <c r="MO97" s="186">
        <f t="shared" si="542"/>
        <v>88</v>
      </c>
      <c r="MP97" s="186">
        <f t="shared" si="543"/>
        <v>29.3333333333333</v>
      </c>
      <c r="MQ97" s="135" t="str">
        <f t="shared" si="482"/>
        <v>F</v>
      </c>
      <c r="MR97" s="151" t="str">
        <f>VLOOKUP(RANK(MP97,$MP$10:$MP$109),Sheet1!$A$381:$B$480,2,FALSE)</f>
        <v>94th</v>
      </c>
      <c r="MS97" s="186"/>
      <c r="MT97" s="186"/>
      <c r="MU97" s="186">
        <f t="shared" si="483"/>
        <v>0</v>
      </c>
      <c r="MV97" s="186" t="str">
        <f t="shared" si="484"/>
        <v>37</v>
      </c>
      <c r="MW97" s="186" t="str">
        <f t="shared" si="485"/>
        <v>52</v>
      </c>
      <c r="MX97" s="186">
        <f t="shared" si="544"/>
        <v>89</v>
      </c>
      <c r="MY97" s="186">
        <f t="shared" si="545"/>
        <v>29.6666666666667</v>
      </c>
      <c r="MZ97" s="135" t="str">
        <f t="shared" si="486"/>
        <v>F</v>
      </c>
      <c r="NA97" s="151" t="str">
        <f>VLOOKUP(RANK(MY97,$MY$10:$MY$109),Sheet1!$A$381:$B$480,2,FALSE)</f>
        <v>60th</v>
      </c>
      <c r="NB97" s="186"/>
      <c r="NC97" s="186"/>
      <c r="ND97" s="186">
        <f t="shared" si="487"/>
        <v>0</v>
      </c>
      <c r="NE97" s="186" t="str">
        <f t="shared" si="488"/>
        <v>43</v>
      </c>
      <c r="NF97" s="186" t="str">
        <f t="shared" si="489"/>
        <v>45</v>
      </c>
      <c r="NG97" s="186">
        <f t="shared" si="546"/>
        <v>88</v>
      </c>
      <c r="NH97" s="186">
        <f t="shared" si="547"/>
        <v>29.3333333333333</v>
      </c>
      <c r="NI97" s="135" t="str">
        <f t="shared" si="490"/>
        <v>F</v>
      </c>
      <c r="NJ97" s="151" t="str">
        <f>VLOOKUP(RANK(NH97,$NH$10:$NH$109),Sheet1!$A$381:$B$480,2,FALSE)</f>
        <v>30th</v>
      </c>
      <c r="NK97" s="186"/>
      <c r="NL97" s="186"/>
      <c r="NM97" s="186">
        <f t="shared" si="491"/>
        <v>0</v>
      </c>
      <c r="NN97" s="186" t="str">
        <f t="shared" si="492"/>
        <v>70</v>
      </c>
      <c r="NO97" s="186" t="str">
        <f t="shared" si="493"/>
        <v>69</v>
      </c>
      <c r="NP97" s="186">
        <f t="shared" si="548"/>
        <v>139</v>
      </c>
      <c r="NQ97" s="186">
        <f t="shared" si="494"/>
        <v>46.3333333333333</v>
      </c>
      <c r="NR97" s="135" t="str">
        <f t="shared" si="495"/>
        <v>D</v>
      </c>
      <c r="NS97" s="151" t="str">
        <f>VLOOKUP(RANK(NQ97,$NQ$10:$NQ$109),Sheet1!$A$381:$B$480,2,FALSE)</f>
        <v>26th</v>
      </c>
      <c r="NT97" s="186"/>
      <c r="NU97" s="186"/>
      <c r="NV97" s="186">
        <f t="shared" si="496"/>
        <v>0</v>
      </c>
      <c r="NW97" s="186" t="str">
        <f t="shared" si="497"/>
        <v>0</v>
      </c>
      <c r="NX97" s="186" t="str">
        <f t="shared" si="498"/>
        <v>0</v>
      </c>
      <c r="NY97" s="186">
        <f t="shared" si="549"/>
        <v>0</v>
      </c>
      <c r="NZ97" s="186">
        <f t="shared" si="499"/>
        <v>0</v>
      </c>
      <c r="OA97" s="135" t="str">
        <f t="shared" si="500"/>
        <v>F</v>
      </c>
      <c r="OB97" s="151" t="str">
        <f>VLOOKUP(RANK(NZ97,$NZ$10:$NZ$109),Sheet1!$A$381:$B$480,2,FALSE)</f>
        <v>1st</v>
      </c>
      <c r="OC97" s="186"/>
      <c r="OD97" s="186"/>
      <c r="OE97" s="186">
        <f t="shared" si="501"/>
        <v>0</v>
      </c>
      <c r="OF97" s="186" t="str">
        <f t="shared" si="502"/>
        <v>0</v>
      </c>
      <c r="OG97" s="186" t="str">
        <f t="shared" si="503"/>
        <v>0</v>
      </c>
      <c r="OH97" s="186">
        <f t="shared" si="550"/>
        <v>0</v>
      </c>
      <c r="OI97" s="186">
        <f t="shared" si="504"/>
        <v>0</v>
      </c>
      <c r="OJ97" s="135" t="str">
        <f t="shared" si="505"/>
        <v>F</v>
      </c>
      <c r="OK97" s="151" t="str">
        <f>VLOOKUP(RANK(OI97,$OI$10:$OI$109),Sheet1!$A$381:$B$480,2,FALSE)</f>
        <v>1st</v>
      </c>
      <c r="OL97" s="151"/>
      <c r="OM97" s="151"/>
      <c r="ON97" s="151">
        <f t="shared" si="551"/>
        <v>0</v>
      </c>
      <c r="OO97" s="151" t="str">
        <f t="shared" si="552"/>
        <v>0</v>
      </c>
      <c r="OP97" s="151" t="str">
        <f t="shared" si="553"/>
        <v>0</v>
      </c>
      <c r="OQ97" s="151">
        <f t="shared" si="554"/>
        <v>0</v>
      </c>
      <c r="OR97" s="151">
        <f t="shared" si="555"/>
        <v>0</v>
      </c>
      <c r="OS97" s="135" t="str">
        <f t="shared" si="506"/>
        <v>F</v>
      </c>
      <c r="OT97" s="151" t="str">
        <f>VLOOKUP(RANK(OR97,$OI$10:$OI$109),Sheet1!$A$381:$B$480,2,FALSE)</f>
        <v>1st</v>
      </c>
      <c r="OU97" s="151">
        <f t="shared" si="556"/>
        <v>403</v>
      </c>
      <c r="OV97" s="151">
        <f t="shared" si="557"/>
        <v>23.705882352941199</v>
      </c>
      <c r="OW97" s="151" t="str">
        <f>VLOOKUP(RANK(OV97,$OV$10:$OV$109),Sheet1!$A$381:$B$480,2,FALSE)</f>
        <v>54th</v>
      </c>
      <c r="OX97" s="151"/>
      <c r="OY97" s="186"/>
      <c r="OZ97" s="186"/>
      <c r="PA97" s="186"/>
      <c r="PB97" s="186"/>
    </row>
    <row r="98" spans="1:418" s="118" customFormat="1" ht="18.75">
      <c r="A98" s="131">
        <v>89</v>
      </c>
      <c r="B98" s="132" t="s">
        <v>188</v>
      </c>
      <c r="C98" s="133" t="s">
        <v>97</v>
      </c>
      <c r="D98" s="134">
        <v>22</v>
      </c>
      <c r="E98" s="134">
        <v>49</v>
      </c>
      <c r="F98" s="137">
        <f t="shared" si="315"/>
        <v>71</v>
      </c>
      <c r="G98" s="137">
        <f t="shared" si="316"/>
        <v>71</v>
      </c>
      <c r="H98" s="135" t="str">
        <f t="shared" si="507"/>
        <v>B</v>
      </c>
      <c r="I98" s="135" t="str">
        <f>VLOOKUP(RANK(G98,$G$10:$G$109),Sheet1!$A$381:$B$480,2,FALSE)</f>
        <v>30th</v>
      </c>
      <c r="J98" s="134">
        <v>28</v>
      </c>
      <c r="K98" s="134">
        <v>22</v>
      </c>
      <c r="L98" s="137">
        <f t="shared" si="317"/>
        <v>50</v>
      </c>
      <c r="M98" s="137">
        <f t="shared" si="318"/>
        <v>50</v>
      </c>
      <c r="N98" s="135" t="str">
        <f t="shared" si="319"/>
        <v>C</v>
      </c>
      <c r="O98" s="141" t="str">
        <f>VLOOKUP(RANK(M98,$M$10:$M$109),Sheet1!$A$381:$B$480,2,FALSE)</f>
        <v>67th</v>
      </c>
      <c r="P98" s="144">
        <v>28</v>
      </c>
      <c r="Q98" s="144">
        <v>2</v>
      </c>
      <c r="R98" s="147">
        <f t="shared" si="320"/>
        <v>30</v>
      </c>
      <c r="S98" s="137">
        <f t="shared" si="321"/>
        <v>30</v>
      </c>
      <c r="T98" s="135" t="str">
        <f t="shared" si="322"/>
        <v>F</v>
      </c>
      <c r="U98" s="135" t="str">
        <f>VLOOKUP(RANK(S98,$S$10:$S$109),Sheet1!$A$381:$B$480,2,FALSE)</f>
        <v>80th</v>
      </c>
      <c r="V98" s="134">
        <v>21</v>
      </c>
      <c r="W98" s="134">
        <v>7</v>
      </c>
      <c r="X98" s="137">
        <f t="shared" si="559"/>
        <v>28</v>
      </c>
      <c r="Y98" s="137">
        <f t="shared" si="558"/>
        <v>28</v>
      </c>
      <c r="Z98" s="135" t="str">
        <f t="shared" si="323"/>
        <v>F</v>
      </c>
      <c r="AA98" s="135" t="str">
        <f>VLOOKUP(RANK(Y98,$Y$10:$Y$109),Sheet1!$A$381:$B$480,2,FALSE)</f>
        <v>98th</v>
      </c>
      <c r="AB98" s="134">
        <v>29</v>
      </c>
      <c r="AC98" s="134">
        <v>1</v>
      </c>
      <c r="AD98" s="137">
        <f t="shared" si="324"/>
        <v>30</v>
      </c>
      <c r="AE98" s="137">
        <f t="shared" si="325"/>
        <v>30</v>
      </c>
      <c r="AF98" s="135" t="str">
        <f t="shared" si="326"/>
        <v>F</v>
      </c>
      <c r="AG98" s="135" t="str">
        <f>VLOOKUP(RANK(AE98,$AE$10:$AE$109),Sheet1!$A$381:$B$480,2,FALSE)</f>
        <v>94th</v>
      </c>
      <c r="AH98" s="137"/>
      <c r="AI98" s="137"/>
      <c r="AJ98" s="137">
        <f t="shared" si="327"/>
        <v>0</v>
      </c>
      <c r="AK98" s="137">
        <f t="shared" si="328"/>
        <v>0</v>
      </c>
      <c r="AL98" s="135" t="str">
        <f t="shared" si="329"/>
        <v>F</v>
      </c>
      <c r="AM98" s="135" t="str">
        <f>VLOOKUP(RANK(AK98,$AK$10:$AK$109),Sheet1!$A$381:$B$480,2,FALSE)</f>
        <v>1st</v>
      </c>
      <c r="AN98" s="134"/>
      <c r="AO98" s="139"/>
      <c r="AP98" s="137">
        <f t="shared" si="330"/>
        <v>0</v>
      </c>
      <c r="AQ98" s="137">
        <f t="shared" si="331"/>
        <v>0</v>
      </c>
      <c r="AR98" s="135" t="str">
        <f t="shared" si="332"/>
        <v>F</v>
      </c>
      <c r="AS98" s="135" t="str">
        <f>VLOOKUP(RANK(AQ98,$AQ$10:$AQ$109),Sheet1!$A$381:$B$480,2,FALSE)</f>
        <v>1st</v>
      </c>
      <c r="AT98" s="144">
        <v>25</v>
      </c>
      <c r="AU98" s="144">
        <v>25</v>
      </c>
      <c r="AV98" s="137">
        <f t="shared" si="333"/>
        <v>50</v>
      </c>
      <c r="AW98" s="137">
        <f t="shared" si="334"/>
        <v>50</v>
      </c>
      <c r="AX98" s="135" t="str">
        <f t="shared" si="335"/>
        <v>C</v>
      </c>
      <c r="AY98" s="141" t="str">
        <f>VLOOKUP(RANK(AW98,$AW$10:$AW$109),Sheet1!$A$381:$B$480,2,FALSE)</f>
        <v>58th</v>
      </c>
      <c r="AZ98" s="144">
        <v>32</v>
      </c>
      <c r="BA98" s="144">
        <v>16</v>
      </c>
      <c r="BB98" s="147">
        <f t="shared" si="336"/>
        <v>48</v>
      </c>
      <c r="BC98" s="137">
        <f t="shared" si="337"/>
        <v>48</v>
      </c>
      <c r="BD98" s="135" t="str">
        <f t="shared" si="338"/>
        <v>D</v>
      </c>
      <c r="BE98" s="135" t="str">
        <f>VLOOKUP(RANK(BC98,$BC$10:$BC$109),Sheet1!$A$381:$B$480,2,FALSE)</f>
        <v>63rd</v>
      </c>
      <c r="BF98" s="144">
        <v>10</v>
      </c>
      <c r="BG98" s="144">
        <v>12</v>
      </c>
      <c r="BH98" s="137">
        <f t="shared" si="339"/>
        <v>22</v>
      </c>
      <c r="BI98" s="137">
        <f t="shared" si="340"/>
        <v>22</v>
      </c>
      <c r="BJ98" s="135" t="str">
        <f t="shared" si="341"/>
        <v>F</v>
      </c>
      <c r="BK98" s="141" t="str">
        <f>VLOOKUP(RANK(BI98,$BI$10:$BI$109),Sheet1!$A$381:$B$480,2,FALSE)</f>
        <v>95th</v>
      </c>
      <c r="BL98" s="149">
        <v>29</v>
      </c>
      <c r="BM98" s="149">
        <v>26</v>
      </c>
      <c r="BN98" s="147">
        <f t="shared" si="342"/>
        <v>55</v>
      </c>
      <c r="BO98" s="137">
        <f t="shared" si="343"/>
        <v>55</v>
      </c>
      <c r="BP98" s="135" t="str">
        <f t="shared" si="344"/>
        <v>C</v>
      </c>
      <c r="BQ98" s="141" t="str">
        <f>VLOOKUP(RANK(BO98,$BO$10:$BO$109),Sheet1!$A$381:$B$480,2,FALSE)</f>
        <v>14th</v>
      </c>
      <c r="BR98" s="149">
        <v>29</v>
      </c>
      <c r="BS98" s="149">
        <v>2</v>
      </c>
      <c r="BT98" s="147">
        <f t="shared" si="345"/>
        <v>31</v>
      </c>
      <c r="BU98" s="137">
        <f t="shared" si="346"/>
        <v>31</v>
      </c>
      <c r="BV98" s="135" t="str">
        <f t="shared" si="347"/>
        <v>F</v>
      </c>
      <c r="BW98" s="135" t="str">
        <f>VLOOKUP(RANK(BU98,$BU$10:$BU$109),Sheet1!$A$381:$B$480,2,FALSE)</f>
        <v>92nd</v>
      </c>
      <c r="BX98" s="149">
        <v>27</v>
      </c>
      <c r="BY98" s="149">
        <v>10</v>
      </c>
      <c r="BZ98" s="137">
        <f t="shared" si="348"/>
        <v>37</v>
      </c>
      <c r="CA98" s="137">
        <f t="shared" si="349"/>
        <v>37</v>
      </c>
      <c r="CB98" s="135" t="str">
        <f t="shared" si="350"/>
        <v>E</v>
      </c>
      <c r="CC98" s="135" t="str">
        <f>VLOOKUP(RANK(CA98,$CA$10:$CA$109),Sheet1!$A$381:$B$480,2,FALSE)</f>
        <v>70th</v>
      </c>
      <c r="CD98" s="149">
        <v>23</v>
      </c>
      <c r="CE98" s="149">
        <v>30</v>
      </c>
      <c r="CF98" s="137">
        <f t="shared" si="351"/>
        <v>53</v>
      </c>
      <c r="CG98" s="137">
        <f t="shared" si="352"/>
        <v>53</v>
      </c>
      <c r="CH98" s="135" t="str">
        <f t="shared" si="353"/>
        <v>C</v>
      </c>
      <c r="CI98" s="135" t="str">
        <f>VLOOKUP(RANK(CG98,$CG$10:$CG$109),Sheet1!$A$381:$B$480,2,FALSE)</f>
        <v>64th</v>
      </c>
      <c r="CJ98" s="137"/>
      <c r="CK98" s="137"/>
      <c r="CL98" s="137">
        <f t="shared" si="354"/>
        <v>0</v>
      </c>
      <c r="CM98" s="137">
        <f t="shared" si="355"/>
        <v>0</v>
      </c>
      <c r="CN98" s="135" t="str">
        <f t="shared" si="356"/>
        <v>F</v>
      </c>
      <c r="CO98" s="135" t="str">
        <f>VLOOKUP(RANK(CM98,$CM$10:$CM$109),Sheet1!$A$381:$B$480,2,FALSE)</f>
        <v>1st</v>
      </c>
      <c r="CP98" s="137"/>
      <c r="CQ98" s="137"/>
      <c r="CR98" s="137">
        <f t="shared" si="357"/>
        <v>0</v>
      </c>
      <c r="CS98" s="137">
        <f t="shared" si="358"/>
        <v>0</v>
      </c>
      <c r="CT98" s="135" t="str">
        <f t="shared" si="359"/>
        <v>F</v>
      </c>
      <c r="CU98" s="135" t="str">
        <f>VLOOKUP(RANK(CS98,$CS$10:$CS$109),Sheet1!$A$381:$B$480,2,FALSE)</f>
        <v>1st</v>
      </c>
      <c r="CV98" s="151"/>
      <c r="CW98" s="135"/>
      <c r="CX98" s="151">
        <f t="shared" si="508"/>
        <v>0</v>
      </c>
      <c r="CY98" s="151">
        <f t="shared" si="509"/>
        <v>0</v>
      </c>
      <c r="CZ98" s="135" t="str">
        <f t="shared" si="360"/>
        <v>F</v>
      </c>
      <c r="DA98" s="135" t="str">
        <f>VLOOKUP(RANK(CY98,$CY$10:$CY$109),Sheet1!$A$381:$B$480,2,FALSE)</f>
        <v>1st</v>
      </c>
      <c r="DB98" s="135"/>
      <c r="DC98" s="151">
        <f t="shared" si="510"/>
        <v>505</v>
      </c>
      <c r="DD98" s="151">
        <f t="shared" si="511"/>
        <v>29.705882352941199</v>
      </c>
      <c r="DE98" s="135" t="str">
        <f>VLOOKUP(RANK(DD98,$DD$10:$DD$109),Sheet1!$A$381:$B$480,2,FALSE)</f>
        <v>93rd</v>
      </c>
      <c r="DF98" s="137"/>
      <c r="DG98" s="160">
        <f t="shared" si="361"/>
        <v>534.70588235294099</v>
      </c>
      <c r="DH98" s="119"/>
      <c r="DI98" s="162">
        <v>25</v>
      </c>
      <c r="DJ98" s="162">
        <v>28</v>
      </c>
      <c r="DK98" s="137">
        <f t="shared" si="362"/>
        <v>53</v>
      </c>
      <c r="DL98" s="137" t="str">
        <f t="shared" si="363"/>
        <v>71</v>
      </c>
      <c r="DM98" s="137">
        <f t="shared" si="364"/>
        <v>124</v>
      </c>
      <c r="DN98" s="137">
        <f t="shared" si="365"/>
        <v>62</v>
      </c>
      <c r="DO98" s="135" t="str">
        <f t="shared" si="366"/>
        <v>B</v>
      </c>
      <c r="DP98" s="135" t="str">
        <f>VLOOKUP(RANK(DN98,$DN$10:$DN$109),Sheet1!$A$381:$B$480,2,FALSE)</f>
        <v>69th</v>
      </c>
      <c r="DQ98" s="166">
        <v>24</v>
      </c>
      <c r="DR98" s="166">
        <v>15</v>
      </c>
      <c r="DS98" s="137">
        <f t="shared" si="367"/>
        <v>39</v>
      </c>
      <c r="DT98" s="137" t="str">
        <f t="shared" si="368"/>
        <v>50</v>
      </c>
      <c r="DU98" s="137">
        <f t="shared" si="369"/>
        <v>89</v>
      </c>
      <c r="DV98" s="137">
        <f t="shared" si="370"/>
        <v>44.5</v>
      </c>
      <c r="DW98" s="135" t="str">
        <f t="shared" si="371"/>
        <v>D</v>
      </c>
      <c r="DX98" s="135" t="str">
        <f>VLOOKUP(RANK(DV98,$DV$10:$DV$109),Sheet1!$A$381:$B$480,2,FALSE)</f>
        <v>72nd</v>
      </c>
      <c r="DY98" s="168">
        <v>26</v>
      </c>
      <c r="DZ98" s="168">
        <v>15</v>
      </c>
      <c r="EA98" s="137">
        <f t="shared" si="372"/>
        <v>41</v>
      </c>
      <c r="EB98" s="137" t="str">
        <f t="shared" si="373"/>
        <v>30</v>
      </c>
      <c r="EC98" s="137">
        <f t="shared" si="374"/>
        <v>71</v>
      </c>
      <c r="ED98" s="137">
        <f t="shared" si="375"/>
        <v>35.5</v>
      </c>
      <c r="EE98" s="135" t="str">
        <f t="shared" si="376"/>
        <v>E</v>
      </c>
      <c r="EF98" s="135" t="str">
        <f>VLOOKUP(RANK(ED98,$ED$10:$ED$109),Sheet1!$A$381:$B$480,2,FALSE)</f>
        <v>84th</v>
      </c>
      <c r="EG98" s="162">
        <v>20</v>
      </c>
      <c r="EH98" s="162">
        <v>17</v>
      </c>
      <c r="EI98" s="137">
        <f t="shared" si="377"/>
        <v>37</v>
      </c>
      <c r="EJ98" s="137" t="str">
        <f t="shared" si="378"/>
        <v>28</v>
      </c>
      <c r="EK98" s="137">
        <f t="shared" si="379"/>
        <v>65</v>
      </c>
      <c r="EL98" s="137">
        <f t="shared" si="380"/>
        <v>32.5</v>
      </c>
      <c r="EM98" s="135" t="str">
        <f t="shared" si="381"/>
        <v>F</v>
      </c>
      <c r="EN98" s="135" t="str">
        <f>VLOOKUP(RANK(EL98,$EL$10:$EL$109),Sheet1!$A$381:$B$480,2,FALSE)</f>
        <v>96th</v>
      </c>
      <c r="EO98" s="162">
        <v>26</v>
      </c>
      <c r="EP98" s="162">
        <v>8</v>
      </c>
      <c r="EQ98" s="137">
        <f t="shared" si="382"/>
        <v>34</v>
      </c>
      <c r="ER98" s="137" t="str">
        <f t="shared" si="383"/>
        <v>30</v>
      </c>
      <c r="ES98" s="137">
        <f t="shared" si="384"/>
        <v>64</v>
      </c>
      <c r="ET98" s="137">
        <f t="shared" si="385"/>
        <v>32</v>
      </c>
      <c r="EU98" s="135" t="str">
        <f t="shared" si="386"/>
        <v>F</v>
      </c>
      <c r="EV98" s="135" t="str">
        <f>VLOOKUP(RANK(ET98,$ET$10:$ET$109),Sheet1!$A$381:$B$480,2,FALSE)</f>
        <v>96th</v>
      </c>
      <c r="EW98" s="137"/>
      <c r="EX98" s="137"/>
      <c r="EY98" s="137">
        <f t="shared" si="387"/>
        <v>0</v>
      </c>
      <c r="EZ98" s="137" t="str">
        <f t="shared" si="388"/>
        <v>0</v>
      </c>
      <c r="FA98" s="137">
        <f t="shared" si="389"/>
        <v>0</v>
      </c>
      <c r="FB98" s="137">
        <f t="shared" si="390"/>
        <v>0</v>
      </c>
      <c r="FC98" s="135" t="str">
        <f t="shared" si="391"/>
        <v>F</v>
      </c>
      <c r="FD98" s="135" t="str">
        <f>VLOOKUP(RANK(FB98,$FB$10:$FB$109),Sheet1!$A$381:$B$480,2,FALSE)</f>
        <v>1st</v>
      </c>
      <c r="FE98" s="137"/>
      <c r="FF98" s="137"/>
      <c r="FG98" s="137">
        <f t="shared" si="392"/>
        <v>0</v>
      </c>
      <c r="FH98" s="137" t="str">
        <f t="shared" si="393"/>
        <v>0</v>
      </c>
      <c r="FI98" s="137">
        <f t="shared" si="394"/>
        <v>0</v>
      </c>
      <c r="FJ98" s="137">
        <f t="shared" si="395"/>
        <v>0</v>
      </c>
      <c r="FK98" s="135" t="str">
        <f t="shared" si="396"/>
        <v>F</v>
      </c>
      <c r="FL98" s="135" t="str">
        <f>VLOOKUP(RANK(FJ98,$FJ$10:$FJ$109),Sheet1!$A$381:$B$480,2,FALSE)</f>
        <v>1st</v>
      </c>
      <c r="FM98" s="166">
        <v>28</v>
      </c>
      <c r="FN98" s="166">
        <v>22</v>
      </c>
      <c r="FO98" s="137">
        <f t="shared" si="397"/>
        <v>50</v>
      </c>
      <c r="FP98" s="137" t="str">
        <f t="shared" si="398"/>
        <v>50</v>
      </c>
      <c r="FQ98" s="137">
        <f t="shared" si="399"/>
        <v>100</v>
      </c>
      <c r="FR98" s="137">
        <f t="shared" si="400"/>
        <v>50</v>
      </c>
      <c r="FS98" s="135" t="str">
        <f t="shared" si="401"/>
        <v>C</v>
      </c>
      <c r="FT98" s="135" t="str">
        <f>VLOOKUP(RANK(FR98,$FR$10:$FR$109),Sheet1!$A$381:$B$480,2,FALSE)</f>
        <v>77th</v>
      </c>
      <c r="FU98" s="149">
        <v>14</v>
      </c>
      <c r="FV98" s="149">
        <v>18</v>
      </c>
      <c r="FW98" s="137">
        <f t="shared" si="402"/>
        <v>32</v>
      </c>
      <c r="FX98" s="137" t="str">
        <f t="shared" si="403"/>
        <v>48</v>
      </c>
      <c r="FY98" s="137">
        <f t="shared" si="512"/>
        <v>32</v>
      </c>
      <c r="FZ98" s="137">
        <f t="shared" si="404"/>
        <v>16</v>
      </c>
      <c r="GA98" s="135" t="str">
        <f t="shared" si="405"/>
        <v>F</v>
      </c>
      <c r="GB98" s="135" t="str">
        <f>VLOOKUP(RANK(FZ98,$FZ$10:$FZ$109),Sheet1!$A$381:$B$480,2,FALSE)</f>
        <v>84th</v>
      </c>
      <c r="GC98" s="166">
        <v>14</v>
      </c>
      <c r="GD98" s="166">
        <v>27</v>
      </c>
      <c r="GE98" s="137">
        <f t="shared" si="406"/>
        <v>41</v>
      </c>
      <c r="GF98" s="137" t="str">
        <f t="shared" si="407"/>
        <v>22</v>
      </c>
      <c r="GG98" s="135">
        <f t="shared" si="513"/>
        <v>63</v>
      </c>
      <c r="GH98" s="137">
        <f t="shared" si="514"/>
        <v>31.5</v>
      </c>
      <c r="GI98" s="135" t="str">
        <f t="shared" si="408"/>
        <v>F</v>
      </c>
      <c r="GJ98" s="135" t="str">
        <f>VLOOKUP(RANK(GH98,$GH$10:$GH$109),Sheet1!$A$381:$B$480,2,FALSE)</f>
        <v>75th</v>
      </c>
      <c r="GK98" s="166">
        <v>26</v>
      </c>
      <c r="GL98" s="166">
        <v>19</v>
      </c>
      <c r="GM98" s="137">
        <f t="shared" si="409"/>
        <v>45</v>
      </c>
      <c r="GN98" s="137" t="str">
        <f t="shared" si="410"/>
        <v>55</v>
      </c>
      <c r="GO98" s="135">
        <f t="shared" si="515"/>
        <v>100</v>
      </c>
      <c r="GP98" s="137">
        <f t="shared" si="411"/>
        <v>50</v>
      </c>
      <c r="GQ98" s="135" t="str">
        <f t="shared" si="412"/>
        <v>C</v>
      </c>
      <c r="GR98" s="135" t="str">
        <f>VLOOKUP(RANK(GP98,$GP$10:$GP$109),Sheet1!$A$381:$B$480,2,FALSE)</f>
        <v>22nd</v>
      </c>
      <c r="GS98" s="166">
        <v>30</v>
      </c>
      <c r="GT98" s="166">
        <v>5</v>
      </c>
      <c r="GU98" s="137">
        <f t="shared" si="413"/>
        <v>35</v>
      </c>
      <c r="GV98" s="137" t="str">
        <f t="shared" si="414"/>
        <v>31</v>
      </c>
      <c r="GW98" s="137">
        <f t="shared" si="415"/>
        <v>66</v>
      </c>
      <c r="GX98" s="137">
        <f t="shared" si="416"/>
        <v>33</v>
      </c>
      <c r="GY98" s="135" t="str">
        <f t="shared" si="417"/>
        <v>F</v>
      </c>
      <c r="GZ98" s="135" t="str">
        <f>VLOOKUP(RANK(GX98,$GX$10:$GX$109),Sheet1!$A$381:$B$480,2,FALSE)</f>
        <v>91st</v>
      </c>
      <c r="HA98" s="166">
        <v>28</v>
      </c>
      <c r="HB98" s="166">
        <v>4</v>
      </c>
      <c r="HC98" s="137">
        <f t="shared" si="418"/>
        <v>32</v>
      </c>
      <c r="HD98" s="137" t="str">
        <f t="shared" si="419"/>
        <v>37</v>
      </c>
      <c r="HE98" s="137">
        <f t="shared" si="420"/>
        <v>69</v>
      </c>
      <c r="HF98" s="137">
        <f t="shared" si="421"/>
        <v>34.5</v>
      </c>
      <c r="HG98" s="135" t="str">
        <f t="shared" si="422"/>
        <v>F</v>
      </c>
      <c r="HH98" s="135" t="str">
        <f>VLOOKUP(RANK(HF98,$HF$10:$HF$109),Sheet1!$A$381:$B$480,2,FALSE)</f>
        <v>96th</v>
      </c>
      <c r="HI98" s="149">
        <v>27</v>
      </c>
      <c r="HJ98" s="149">
        <v>49</v>
      </c>
      <c r="HK98" s="137">
        <f t="shared" si="423"/>
        <v>76</v>
      </c>
      <c r="HL98" s="137" t="str">
        <f t="shared" si="424"/>
        <v>53</v>
      </c>
      <c r="HM98" s="137">
        <f t="shared" si="425"/>
        <v>129</v>
      </c>
      <c r="HN98" s="137">
        <f t="shared" si="426"/>
        <v>64.5</v>
      </c>
      <c r="HO98" s="135" t="str">
        <f t="shared" si="427"/>
        <v>B</v>
      </c>
      <c r="HP98" s="135" t="str">
        <f>VLOOKUP(RANK(HN98,$HN$10:$HN$109),Sheet1!$A$381:$B$480,2,FALSE)</f>
        <v>49th</v>
      </c>
      <c r="HQ98" s="137"/>
      <c r="HR98" s="137"/>
      <c r="HS98" s="137">
        <f t="shared" si="428"/>
        <v>0</v>
      </c>
      <c r="HT98" s="137" t="str">
        <f t="shared" si="429"/>
        <v>0</v>
      </c>
      <c r="HU98" s="137">
        <f t="shared" si="430"/>
        <v>0</v>
      </c>
      <c r="HV98" s="137">
        <f t="shared" si="431"/>
        <v>0</v>
      </c>
      <c r="HW98" s="135" t="str">
        <f t="shared" si="432"/>
        <v>F</v>
      </c>
      <c r="HX98" s="135" t="str">
        <f>VLOOKUP(RANK(HV98,$HV$10:$HV$109),Sheet1!$A$381:$B$480,2,FALSE)</f>
        <v>1st</v>
      </c>
      <c r="HY98" s="137"/>
      <c r="HZ98" s="137"/>
      <c r="IA98" s="137">
        <f t="shared" si="433"/>
        <v>0</v>
      </c>
      <c r="IB98" s="137" t="str">
        <f t="shared" si="434"/>
        <v>0</v>
      </c>
      <c r="IC98" s="137">
        <f t="shared" si="435"/>
        <v>0</v>
      </c>
      <c r="ID98" s="137">
        <f t="shared" si="436"/>
        <v>0</v>
      </c>
      <c r="IE98" s="135" t="str">
        <f t="shared" si="437"/>
        <v>F</v>
      </c>
      <c r="IF98" s="135" t="str">
        <f>VLOOKUP(RANK(ID98,$ID$10:$ID$109),Sheet1!$A$381:$B$480,2,FALSE)</f>
        <v>1st</v>
      </c>
      <c r="IG98" s="135"/>
      <c r="IH98" s="135"/>
      <c r="II98" s="135">
        <f t="shared" si="516"/>
        <v>0</v>
      </c>
      <c r="IJ98" s="135" t="str">
        <f t="shared" si="517"/>
        <v>0</v>
      </c>
      <c r="IK98" s="135">
        <f t="shared" si="518"/>
        <v>0</v>
      </c>
      <c r="IL98" s="135">
        <f t="shared" si="519"/>
        <v>0</v>
      </c>
      <c r="IM98" s="135" t="str">
        <f t="shared" si="438"/>
        <v>F</v>
      </c>
      <c r="IN98" s="135" t="str">
        <f>VLOOKUP(RANK(IL98,$IL$10:$IL$109),Sheet1!$A$381:$B$480,2,FALSE)</f>
        <v>1st</v>
      </c>
      <c r="IO98" s="135">
        <f t="shared" si="520"/>
        <v>486</v>
      </c>
      <c r="IP98" s="177">
        <f t="shared" si="521"/>
        <v>28.588235294117599</v>
      </c>
      <c r="IQ98" s="135" t="str">
        <f>VLOOKUP(RANK(IP98,$IP$10:$IP$109),Sheet1!$A$381:$B$480,2,FALSE)</f>
        <v>88th</v>
      </c>
      <c r="IR98" s="178"/>
      <c r="IS98" s="137"/>
      <c r="IT98" s="137"/>
      <c r="IU98" s="137"/>
      <c r="IV98" s="137"/>
      <c r="IW98" s="181"/>
      <c r="IX98" s="184"/>
      <c r="IY98" s="186"/>
      <c r="IZ98" s="186">
        <f t="shared" si="439"/>
        <v>0</v>
      </c>
      <c r="JA98" s="186" t="str">
        <f t="shared" si="440"/>
        <v>71</v>
      </c>
      <c r="JB98" s="186" t="str">
        <f t="shared" si="441"/>
        <v>53</v>
      </c>
      <c r="JC98" s="186">
        <f t="shared" si="522"/>
        <v>124</v>
      </c>
      <c r="JD98" s="186">
        <f t="shared" si="523"/>
        <v>41.3333333333333</v>
      </c>
      <c r="JE98" s="135" t="str">
        <f t="shared" si="442"/>
        <v>D</v>
      </c>
      <c r="JF98" s="151" t="str">
        <f>VLOOKUP(RANK(JD98,$JD$10:$JD$109),Sheet1!$A$381:$B$480,2,FALSE)</f>
        <v>69th</v>
      </c>
      <c r="JG98" s="186"/>
      <c r="JH98" s="186"/>
      <c r="JI98" s="186">
        <f t="shared" si="443"/>
        <v>0</v>
      </c>
      <c r="JJ98" s="186" t="str">
        <f t="shared" si="444"/>
        <v>50</v>
      </c>
      <c r="JK98" s="186" t="str">
        <f t="shared" si="445"/>
        <v>39</v>
      </c>
      <c r="JL98" s="186">
        <f t="shared" si="524"/>
        <v>89</v>
      </c>
      <c r="JM98" s="186">
        <f t="shared" si="525"/>
        <v>29.6666666666667</v>
      </c>
      <c r="JN98" s="135" t="str">
        <f t="shared" si="446"/>
        <v>F</v>
      </c>
      <c r="JO98" s="151" t="str">
        <f>VLOOKUP(RANK(JM98,$JM$10:$JM$109),Sheet1!$A$381:$B$480,2,FALSE)</f>
        <v>72nd</v>
      </c>
      <c r="JP98" s="186"/>
      <c r="JQ98" s="186"/>
      <c r="JR98" s="186">
        <f t="shared" si="447"/>
        <v>0</v>
      </c>
      <c r="JS98" s="186" t="str">
        <f t="shared" si="448"/>
        <v>30</v>
      </c>
      <c r="JT98" s="186" t="str">
        <f t="shared" si="449"/>
        <v>41</v>
      </c>
      <c r="JU98" s="186">
        <f t="shared" si="526"/>
        <v>71</v>
      </c>
      <c r="JV98" s="186">
        <f t="shared" si="527"/>
        <v>23.6666666666667</v>
      </c>
      <c r="JW98" s="135" t="str">
        <f t="shared" si="450"/>
        <v>F</v>
      </c>
      <c r="JX98" s="151" t="str">
        <f>VLOOKUP(RANK(JV98,$JV$10:$JV$109),Sheet1!$A$381:$B$480,2,FALSE)</f>
        <v>84th</v>
      </c>
      <c r="JY98" s="186"/>
      <c r="JZ98" s="186"/>
      <c r="KA98" s="186">
        <f t="shared" si="451"/>
        <v>0</v>
      </c>
      <c r="KB98" s="186" t="str">
        <f t="shared" si="452"/>
        <v>28</v>
      </c>
      <c r="KC98" s="186" t="str">
        <f t="shared" si="453"/>
        <v>37</v>
      </c>
      <c r="KD98" s="186">
        <f t="shared" si="528"/>
        <v>65</v>
      </c>
      <c r="KE98" s="186">
        <f t="shared" si="529"/>
        <v>21.6666666666667</v>
      </c>
      <c r="KF98" s="135" t="str">
        <f t="shared" si="454"/>
        <v>F</v>
      </c>
      <c r="KG98" s="151" t="str">
        <f>VLOOKUP(RANK(KE98,$KE$10:$KE$109),Sheet1!$A$381:$B$480,2,FALSE)</f>
        <v>96th</v>
      </c>
      <c r="KH98" s="186"/>
      <c r="KI98" s="186"/>
      <c r="KJ98" s="186">
        <f t="shared" si="455"/>
        <v>0</v>
      </c>
      <c r="KK98" s="186" t="str">
        <f t="shared" si="456"/>
        <v>30</v>
      </c>
      <c r="KL98" s="186" t="str">
        <f t="shared" si="457"/>
        <v>34</v>
      </c>
      <c r="KM98" s="186">
        <f t="shared" si="530"/>
        <v>64</v>
      </c>
      <c r="KN98" s="186">
        <f t="shared" si="531"/>
        <v>21.3333333333333</v>
      </c>
      <c r="KO98" s="135" t="str">
        <f t="shared" si="458"/>
        <v>F</v>
      </c>
      <c r="KP98" s="151" t="str">
        <f>VLOOKUP(RANK(KN98,$KN$10:$KN$109),Sheet1!$A$381:$B$480,2,FALSE)</f>
        <v>96th</v>
      </c>
      <c r="KQ98" s="186"/>
      <c r="KR98" s="186"/>
      <c r="KS98" s="186">
        <f t="shared" si="459"/>
        <v>0</v>
      </c>
      <c r="KT98" s="186" t="str">
        <f t="shared" si="460"/>
        <v>0</v>
      </c>
      <c r="KU98" s="186" t="str">
        <f t="shared" si="461"/>
        <v>0</v>
      </c>
      <c r="KV98" s="186">
        <f t="shared" si="532"/>
        <v>0</v>
      </c>
      <c r="KW98" s="186">
        <f t="shared" si="533"/>
        <v>0</v>
      </c>
      <c r="KX98" s="135" t="str">
        <f t="shared" si="462"/>
        <v>F</v>
      </c>
      <c r="KY98" s="151" t="str">
        <f>VLOOKUP(RANK(KW98,$KW$10:$KW$109),Sheet1!$A$381:$B$480,2,FALSE)</f>
        <v>1st</v>
      </c>
      <c r="KZ98" s="186"/>
      <c r="LA98" s="186"/>
      <c r="LB98" s="186">
        <f t="shared" si="463"/>
        <v>0</v>
      </c>
      <c r="LC98" s="186" t="str">
        <f t="shared" si="464"/>
        <v>0</v>
      </c>
      <c r="LD98" s="186" t="str">
        <f t="shared" si="465"/>
        <v>0</v>
      </c>
      <c r="LE98" s="186">
        <f t="shared" si="534"/>
        <v>0</v>
      </c>
      <c r="LF98" s="186">
        <f t="shared" si="535"/>
        <v>0</v>
      </c>
      <c r="LG98" s="135" t="str">
        <f t="shared" si="466"/>
        <v>F</v>
      </c>
      <c r="LH98" s="151" t="str">
        <f>VLOOKUP(RANK(LF98,$LF$10:$LF$109),Sheet1!$A$381:$B$480,2,FALSE)</f>
        <v>1st</v>
      </c>
      <c r="LI98" s="186"/>
      <c r="LJ98" s="186"/>
      <c r="LK98" s="186">
        <f t="shared" si="467"/>
        <v>0</v>
      </c>
      <c r="LL98" s="186" t="str">
        <f t="shared" si="468"/>
        <v>50</v>
      </c>
      <c r="LM98" s="186" t="str">
        <f t="shared" si="469"/>
        <v>50</v>
      </c>
      <c r="LN98" s="186">
        <f t="shared" si="536"/>
        <v>100</v>
      </c>
      <c r="LO98" s="186">
        <f t="shared" si="537"/>
        <v>33.3333333333333</v>
      </c>
      <c r="LP98" s="135" t="str">
        <f t="shared" si="470"/>
        <v>F</v>
      </c>
      <c r="LQ98" s="151" t="str">
        <f>VLOOKUP(RANK(LO98,$LO$10:$LO$109),Sheet1!$A$381:$B$480,2,FALSE)</f>
        <v>77th</v>
      </c>
      <c r="LR98" s="186"/>
      <c r="LS98" s="186"/>
      <c r="LT98" s="186">
        <f t="shared" si="471"/>
        <v>0</v>
      </c>
      <c r="LU98" s="186" t="str">
        <f t="shared" si="472"/>
        <v>48</v>
      </c>
      <c r="LV98" s="186" t="str">
        <f t="shared" si="473"/>
        <v>32</v>
      </c>
      <c r="LW98" s="186">
        <f t="shared" si="538"/>
        <v>80</v>
      </c>
      <c r="LX98" s="186">
        <f t="shared" si="539"/>
        <v>26.6666666666667</v>
      </c>
      <c r="LY98" s="135" t="str">
        <f t="shared" si="474"/>
        <v>F</v>
      </c>
      <c r="LZ98" s="151" t="str">
        <f>VLOOKUP(RANK(LX98,$LX$10:$LX$109),Sheet1!$A$381:$B$480,2,FALSE)</f>
        <v>83rd</v>
      </c>
      <c r="MA98" s="186"/>
      <c r="MB98" s="186"/>
      <c r="MC98" s="186">
        <f t="shared" si="475"/>
        <v>0</v>
      </c>
      <c r="MD98" s="186" t="str">
        <f t="shared" si="476"/>
        <v>22</v>
      </c>
      <c r="ME98" s="186" t="str">
        <f t="shared" si="477"/>
        <v>41</v>
      </c>
      <c r="MF98" s="183">
        <f t="shared" si="540"/>
        <v>63</v>
      </c>
      <c r="MG98" s="151">
        <f t="shared" si="541"/>
        <v>21</v>
      </c>
      <c r="MH98" s="135" t="str">
        <f t="shared" si="478"/>
        <v>F</v>
      </c>
      <c r="MI98" s="151" t="str">
        <f>VLOOKUP(RANK(MG98,$MG$10:$MG$109),Sheet1!$A$381:$B$480,2,FALSE)</f>
        <v>75th</v>
      </c>
      <c r="MJ98" s="186"/>
      <c r="MK98" s="186"/>
      <c r="ML98" s="186">
        <f t="shared" si="479"/>
        <v>0</v>
      </c>
      <c r="MM98" s="186" t="str">
        <f t="shared" si="480"/>
        <v>55</v>
      </c>
      <c r="MN98" s="186" t="str">
        <f t="shared" si="481"/>
        <v>45</v>
      </c>
      <c r="MO98" s="186">
        <f t="shared" si="542"/>
        <v>100</v>
      </c>
      <c r="MP98" s="186">
        <f t="shared" si="543"/>
        <v>33.3333333333333</v>
      </c>
      <c r="MQ98" s="135" t="str">
        <f t="shared" si="482"/>
        <v>F</v>
      </c>
      <c r="MR98" s="151" t="str">
        <f>VLOOKUP(RANK(MP98,$MP$10:$MP$109),Sheet1!$A$381:$B$480,2,FALSE)</f>
        <v>22nd</v>
      </c>
      <c r="MS98" s="186"/>
      <c r="MT98" s="186"/>
      <c r="MU98" s="186">
        <f t="shared" si="483"/>
        <v>0</v>
      </c>
      <c r="MV98" s="186" t="str">
        <f t="shared" si="484"/>
        <v>31</v>
      </c>
      <c r="MW98" s="186" t="str">
        <f t="shared" si="485"/>
        <v>35</v>
      </c>
      <c r="MX98" s="186">
        <f t="shared" si="544"/>
        <v>66</v>
      </c>
      <c r="MY98" s="186">
        <f t="shared" si="545"/>
        <v>22</v>
      </c>
      <c r="MZ98" s="135" t="str">
        <f t="shared" si="486"/>
        <v>F</v>
      </c>
      <c r="NA98" s="151" t="str">
        <f>VLOOKUP(RANK(MY98,$MY$10:$MY$109),Sheet1!$A$381:$B$480,2,FALSE)</f>
        <v>91st</v>
      </c>
      <c r="NB98" s="186"/>
      <c r="NC98" s="186"/>
      <c r="ND98" s="186">
        <f t="shared" si="487"/>
        <v>0</v>
      </c>
      <c r="NE98" s="186" t="str">
        <f t="shared" si="488"/>
        <v>37</v>
      </c>
      <c r="NF98" s="186" t="str">
        <f t="shared" si="489"/>
        <v>32</v>
      </c>
      <c r="NG98" s="186">
        <f t="shared" si="546"/>
        <v>69</v>
      </c>
      <c r="NH98" s="186">
        <f t="shared" si="547"/>
        <v>23</v>
      </c>
      <c r="NI98" s="135" t="str">
        <f t="shared" si="490"/>
        <v>F</v>
      </c>
      <c r="NJ98" s="151" t="str">
        <f>VLOOKUP(RANK(NH98,$NH$10:$NH$109),Sheet1!$A$381:$B$480,2,FALSE)</f>
        <v>96th</v>
      </c>
      <c r="NK98" s="186"/>
      <c r="NL98" s="186"/>
      <c r="NM98" s="186">
        <f t="shared" si="491"/>
        <v>0</v>
      </c>
      <c r="NN98" s="186" t="str">
        <f t="shared" si="492"/>
        <v>53</v>
      </c>
      <c r="NO98" s="186" t="str">
        <f t="shared" si="493"/>
        <v>76</v>
      </c>
      <c r="NP98" s="186">
        <f t="shared" si="548"/>
        <v>129</v>
      </c>
      <c r="NQ98" s="186">
        <f t="shared" si="494"/>
        <v>43</v>
      </c>
      <c r="NR98" s="135" t="str">
        <f t="shared" si="495"/>
        <v>D</v>
      </c>
      <c r="NS98" s="151" t="str">
        <f>VLOOKUP(RANK(NQ98,$NQ$10:$NQ$109),Sheet1!$A$381:$B$480,2,FALSE)</f>
        <v>49th</v>
      </c>
      <c r="NT98" s="186"/>
      <c r="NU98" s="186"/>
      <c r="NV98" s="186">
        <f t="shared" si="496"/>
        <v>0</v>
      </c>
      <c r="NW98" s="186" t="str">
        <f t="shared" si="497"/>
        <v>0</v>
      </c>
      <c r="NX98" s="186" t="str">
        <f t="shared" si="498"/>
        <v>0</v>
      </c>
      <c r="NY98" s="186">
        <f t="shared" si="549"/>
        <v>0</v>
      </c>
      <c r="NZ98" s="186">
        <f t="shared" si="499"/>
        <v>0</v>
      </c>
      <c r="OA98" s="135" t="str">
        <f t="shared" si="500"/>
        <v>F</v>
      </c>
      <c r="OB98" s="151" t="str">
        <f>VLOOKUP(RANK(NZ98,$NZ$10:$NZ$109),Sheet1!$A$381:$B$480,2,FALSE)</f>
        <v>1st</v>
      </c>
      <c r="OC98" s="186"/>
      <c r="OD98" s="186"/>
      <c r="OE98" s="186">
        <f t="shared" si="501"/>
        <v>0</v>
      </c>
      <c r="OF98" s="186" t="str">
        <f t="shared" si="502"/>
        <v>0</v>
      </c>
      <c r="OG98" s="186" t="str">
        <f t="shared" si="503"/>
        <v>0</v>
      </c>
      <c r="OH98" s="186">
        <f t="shared" si="550"/>
        <v>0</v>
      </c>
      <c r="OI98" s="186">
        <f t="shared" si="504"/>
        <v>0</v>
      </c>
      <c r="OJ98" s="135" t="str">
        <f t="shared" si="505"/>
        <v>F</v>
      </c>
      <c r="OK98" s="151" t="str">
        <f>VLOOKUP(RANK(OI98,$OI$10:$OI$109),Sheet1!$A$381:$B$480,2,FALSE)</f>
        <v>1st</v>
      </c>
      <c r="OL98" s="151"/>
      <c r="OM98" s="151"/>
      <c r="ON98" s="151">
        <f t="shared" si="551"/>
        <v>0</v>
      </c>
      <c r="OO98" s="151" t="str">
        <f t="shared" si="552"/>
        <v>0</v>
      </c>
      <c r="OP98" s="151" t="str">
        <f t="shared" si="553"/>
        <v>0</v>
      </c>
      <c r="OQ98" s="151">
        <f t="shared" si="554"/>
        <v>0</v>
      </c>
      <c r="OR98" s="151">
        <f t="shared" si="555"/>
        <v>0</v>
      </c>
      <c r="OS98" s="135" t="str">
        <f t="shared" si="506"/>
        <v>F</v>
      </c>
      <c r="OT98" s="151" t="str">
        <f>VLOOKUP(RANK(OR98,$OI$10:$OI$109),Sheet1!$A$381:$B$480,2,FALSE)</f>
        <v>1st</v>
      </c>
      <c r="OU98" s="151">
        <f t="shared" si="556"/>
        <v>340</v>
      </c>
      <c r="OV98" s="151">
        <f t="shared" si="557"/>
        <v>20</v>
      </c>
      <c r="OW98" s="151" t="str">
        <f>VLOOKUP(RANK(OV98,$OV$10:$OV$109),Sheet1!$A$381:$B$480,2,FALSE)</f>
        <v>88th</v>
      </c>
      <c r="OX98" s="151"/>
      <c r="OY98" s="186"/>
      <c r="OZ98" s="186"/>
      <c r="PA98" s="186"/>
      <c r="PB98" s="186"/>
    </row>
    <row r="99" spans="1:418" s="118" customFormat="1" ht="18.75">
      <c r="A99" s="131">
        <v>90</v>
      </c>
      <c r="B99" s="132" t="s">
        <v>189</v>
      </c>
      <c r="C99" s="133" t="s">
        <v>97</v>
      </c>
      <c r="D99" s="134">
        <v>20</v>
      </c>
      <c r="E99" s="134">
        <v>34</v>
      </c>
      <c r="F99" s="137">
        <f t="shared" si="315"/>
        <v>54</v>
      </c>
      <c r="G99" s="137">
        <f t="shared" si="316"/>
        <v>54</v>
      </c>
      <c r="H99" s="135" t="str">
        <f t="shared" si="507"/>
        <v>C</v>
      </c>
      <c r="I99" s="135" t="str">
        <f>VLOOKUP(RANK(G99,$G$10:$G$109),Sheet1!$A$381:$B$480,2,FALSE)</f>
        <v>92nd</v>
      </c>
      <c r="J99" s="134">
        <v>28</v>
      </c>
      <c r="K99" s="134">
        <v>13</v>
      </c>
      <c r="L99" s="137">
        <f t="shared" si="317"/>
        <v>41</v>
      </c>
      <c r="M99" s="137">
        <f t="shared" si="318"/>
        <v>41</v>
      </c>
      <c r="N99" s="135" t="str">
        <f t="shared" si="319"/>
        <v>D</v>
      </c>
      <c r="O99" s="141" t="str">
        <f>VLOOKUP(RANK(M99,$M$10:$M$109),Sheet1!$A$381:$B$480,2,FALSE)</f>
        <v>84th</v>
      </c>
      <c r="P99" s="144">
        <v>28</v>
      </c>
      <c r="Q99" s="144">
        <v>15</v>
      </c>
      <c r="R99" s="147">
        <f t="shared" si="320"/>
        <v>43</v>
      </c>
      <c r="S99" s="137">
        <f t="shared" si="321"/>
        <v>43</v>
      </c>
      <c r="T99" s="135" t="str">
        <f t="shared" si="322"/>
        <v>D</v>
      </c>
      <c r="U99" s="135" t="str">
        <f>VLOOKUP(RANK(S99,$S$10:$S$109),Sheet1!$A$381:$B$480,2,FALSE)</f>
        <v>50th</v>
      </c>
      <c r="V99" s="134">
        <v>30</v>
      </c>
      <c r="W99" s="134">
        <v>12</v>
      </c>
      <c r="X99" s="137">
        <f t="shared" si="559"/>
        <v>42</v>
      </c>
      <c r="Y99" s="137">
        <f t="shared" si="558"/>
        <v>42</v>
      </c>
      <c r="Z99" s="135" t="str">
        <f t="shared" si="323"/>
        <v>D</v>
      </c>
      <c r="AA99" s="135" t="str">
        <f>VLOOKUP(RANK(Y99,$Y$10:$Y$109),Sheet1!$A$381:$B$480,2,FALSE)</f>
        <v>86th</v>
      </c>
      <c r="AB99" s="134">
        <v>29</v>
      </c>
      <c r="AC99" s="134">
        <v>6</v>
      </c>
      <c r="AD99" s="137">
        <f t="shared" si="324"/>
        <v>35</v>
      </c>
      <c r="AE99" s="137">
        <f t="shared" si="325"/>
        <v>35</v>
      </c>
      <c r="AF99" s="135" t="str">
        <f t="shared" si="326"/>
        <v>E</v>
      </c>
      <c r="AG99" s="135" t="str">
        <f>VLOOKUP(RANK(AE99,$AE$10:$AE$109),Sheet1!$A$381:$B$480,2,FALSE)</f>
        <v>84th</v>
      </c>
      <c r="AH99" s="137"/>
      <c r="AI99" s="137"/>
      <c r="AJ99" s="137">
        <f t="shared" si="327"/>
        <v>0</v>
      </c>
      <c r="AK99" s="137">
        <f t="shared" si="328"/>
        <v>0</v>
      </c>
      <c r="AL99" s="135" t="str">
        <f t="shared" si="329"/>
        <v>F</v>
      </c>
      <c r="AM99" s="135" t="str">
        <f>VLOOKUP(RANK(AK99,$AK$10:$AK$109),Sheet1!$A$381:$B$480,2,FALSE)</f>
        <v>1st</v>
      </c>
      <c r="AN99" s="134"/>
      <c r="AO99" s="134"/>
      <c r="AP99" s="137">
        <f t="shared" si="330"/>
        <v>0</v>
      </c>
      <c r="AQ99" s="137">
        <f t="shared" si="331"/>
        <v>0</v>
      </c>
      <c r="AR99" s="135" t="str">
        <f t="shared" si="332"/>
        <v>F</v>
      </c>
      <c r="AS99" s="135" t="str">
        <f>VLOOKUP(RANK(AQ99,$AQ$10:$AQ$109),Sheet1!$A$381:$B$480,2,FALSE)</f>
        <v>1st</v>
      </c>
      <c r="AT99" s="144">
        <v>24</v>
      </c>
      <c r="AU99" s="144">
        <v>28</v>
      </c>
      <c r="AV99" s="137">
        <f t="shared" si="333"/>
        <v>52</v>
      </c>
      <c r="AW99" s="137">
        <f t="shared" si="334"/>
        <v>52</v>
      </c>
      <c r="AX99" s="135" t="str">
        <f t="shared" si="335"/>
        <v>C</v>
      </c>
      <c r="AY99" s="141" t="str">
        <f>VLOOKUP(RANK(AW99,$AW$10:$AW$109),Sheet1!$A$381:$B$480,2,FALSE)</f>
        <v>34th</v>
      </c>
      <c r="AZ99" s="144">
        <v>31</v>
      </c>
      <c r="BA99" s="144">
        <v>15</v>
      </c>
      <c r="BB99" s="147">
        <f t="shared" si="336"/>
        <v>46</v>
      </c>
      <c r="BC99" s="137">
        <f t="shared" si="337"/>
        <v>46</v>
      </c>
      <c r="BD99" s="135" t="str">
        <f t="shared" si="338"/>
        <v>D</v>
      </c>
      <c r="BE99" s="135" t="str">
        <f>VLOOKUP(RANK(BC99,$BC$10:$BC$109),Sheet1!$A$381:$B$480,2,FALSE)</f>
        <v>77th</v>
      </c>
      <c r="BF99" s="144">
        <v>11</v>
      </c>
      <c r="BG99" s="144">
        <v>20</v>
      </c>
      <c r="BH99" s="137">
        <f t="shared" si="339"/>
        <v>31</v>
      </c>
      <c r="BI99" s="137">
        <f t="shared" si="340"/>
        <v>31</v>
      </c>
      <c r="BJ99" s="135" t="str">
        <f t="shared" si="341"/>
        <v>F</v>
      </c>
      <c r="BK99" s="141" t="str">
        <f>VLOOKUP(RANK(BI99,$BI$10:$BI$109),Sheet1!$A$381:$B$480,2,FALSE)</f>
        <v>62nd</v>
      </c>
      <c r="BL99" s="149">
        <v>28</v>
      </c>
      <c r="BM99" s="149">
        <v>27</v>
      </c>
      <c r="BN99" s="147">
        <f t="shared" si="342"/>
        <v>55</v>
      </c>
      <c r="BO99" s="137">
        <f t="shared" si="343"/>
        <v>55</v>
      </c>
      <c r="BP99" s="135" t="str">
        <f t="shared" si="344"/>
        <v>C</v>
      </c>
      <c r="BQ99" s="141" t="str">
        <f>VLOOKUP(RANK(BO99,$BO$10:$BO$109),Sheet1!$A$381:$B$480,2,FALSE)</f>
        <v>14th</v>
      </c>
      <c r="BR99" s="149">
        <v>27</v>
      </c>
      <c r="BS99" s="149">
        <v>10</v>
      </c>
      <c r="BT99" s="147">
        <f t="shared" si="345"/>
        <v>37</v>
      </c>
      <c r="BU99" s="137">
        <f t="shared" si="346"/>
        <v>37</v>
      </c>
      <c r="BV99" s="135" t="str">
        <f t="shared" si="347"/>
        <v>E</v>
      </c>
      <c r="BW99" s="135" t="str">
        <f>VLOOKUP(RANK(BU99,$BU$10:$BU$109),Sheet1!$A$381:$B$480,2,FALSE)</f>
        <v>71st</v>
      </c>
      <c r="BX99" s="149">
        <v>34</v>
      </c>
      <c r="BY99" s="149">
        <v>10</v>
      </c>
      <c r="BZ99" s="137">
        <f t="shared" si="348"/>
        <v>44</v>
      </c>
      <c r="CA99" s="137">
        <f t="shared" si="349"/>
        <v>44</v>
      </c>
      <c r="CB99" s="135" t="str">
        <f t="shared" si="350"/>
        <v>D</v>
      </c>
      <c r="CC99" s="135" t="str">
        <f>VLOOKUP(RANK(CA99,$CA$10:$CA$109),Sheet1!$A$381:$B$480,2,FALSE)</f>
        <v>20th</v>
      </c>
      <c r="CD99" s="149">
        <v>25</v>
      </c>
      <c r="CE99" s="149">
        <v>30</v>
      </c>
      <c r="CF99" s="137">
        <f t="shared" si="351"/>
        <v>55</v>
      </c>
      <c r="CG99" s="137">
        <f t="shared" si="352"/>
        <v>55</v>
      </c>
      <c r="CH99" s="135" t="str">
        <f t="shared" si="353"/>
        <v>C</v>
      </c>
      <c r="CI99" s="135" t="str">
        <f>VLOOKUP(RANK(CG99,$CG$10:$CG$109),Sheet1!$A$381:$B$480,2,FALSE)</f>
        <v>46th</v>
      </c>
      <c r="CJ99" s="137"/>
      <c r="CK99" s="137"/>
      <c r="CL99" s="137">
        <f t="shared" si="354"/>
        <v>0</v>
      </c>
      <c r="CM99" s="137">
        <f t="shared" si="355"/>
        <v>0</v>
      </c>
      <c r="CN99" s="135" t="str">
        <f t="shared" si="356"/>
        <v>F</v>
      </c>
      <c r="CO99" s="135" t="str">
        <f>VLOOKUP(RANK(CM99,$CM$10:$CM$109),Sheet1!$A$381:$B$480,2,FALSE)</f>
        <v>1st</v>
      </c>
      <c r="CP99" s="137"/>
      <c r="CQ99" s="137"/>
      <c r="CR99" s="137">
        <f t="shared" si="357"/>
        <v>0</v>
      </c>
      <c r="CS99" s="137">
        <f t="shared" si="358"/>
        <v>0</v>
      </c>
      <c r="CT99" s="135" t="str">
        <f t="shared" si="359"/>
        <v>F</v>
      </c>
      <c r="CU99" s="135" t="str">
        <f>VLOOKUP(RANK(CS99,$CS$10:$CS$109),Sheet1!$A$381:$B$480,2,FALSE)</f>
        <v>1st</v>
      </c>
      <c r="CV99" s="151"/>
      <c r="CW99" s="135"/>
      <c r="CX99" s="151">
        <f t="shared" si="508"/>
        <v>0</v>
      </c>
      <c r="CY99" s="151">
        <f t="shared" si="509"/>
        <v>0</v>
      </c>
      <c r="CZ99" s="135" t="str">
        <f t="shared" si="360"/>
        <v>F</v>
      </c>
      <c r="DA99" s="135" t="str">
        <f>VLOOKUP(RANK(CY99,$CY$10:$CY$109),Sheet1!$A$381:$B$480,2,FALSE)</f>
        <v>1st</v>
      </c>
      <c r="DB99" s="135"/>
      <c r="DC99" s="151">
        <f t="shared" si="510"/>
        <v>535</v>
      </c>
      <c r="DD99" s="151">
        <f t="shared" si="511"/>
        <v>31.470588235294102</v>
      </c>
      <c r="DE99" s="135" t="str">
        <f>VLOOKUP(RANK(DD99,$DD$10:$DD$109),Sheet1!$A$381:$B$480,2,FALSE)</f>
        <v>85th</v>
      </c>
      <c r="DF99" s="137"/>
      <c r="DG99" s="160">
        <f t="shared" si="361"/>
        <v>566.47058823529403</v>
      </c>
      <c r="DH99" s="119"/>
      <c r="DI99" s="162">
        <v>32</v>
      </c>
      <c r="DJ99" s="162">
        <v>45</v>
      </c>
      <c r="DK99" s="137">
        <f t="shared" si="362"/>
        <v>77</v>
      </c>
      <c r="DL99" s="137" t="str">
        <f t="shared" si="363"/>
        <v>54</v>
      </c>
      <c r="DM99" s="137">
        <f t="shared" si="364"/>
        <v>131</v>
      </c>
      <c r="DN99" s="137">
        <f t="shared" si="365"/>
        <v>65.5</v>
      </c>
      <c r="DO99" s="135" t="str">
        <f t="shared" si="366"/>
        <v>B</v>
      </c>
      <c r="DP99" s="135" t="str">
        <f>VLOOKUP(RANK(DN99,$DN$10:$DN$109),Sheet1!$A$381:$B$480,2,FALSE)</f>
        <v>55th</v>
      </c>
      <c r="DQ99" s="166">
        <v>23</v>
      </c>
      <c r="DR99" s="166">
        <v>16</v>
      </c>
      <c r="DS99" s="137">
        <f t="shared" si="367"/>
        <v>39</v>
      </c>
      <c r="DT99" s="137" t="str">
        <f t="shared" si="368"/>
        <v>41</v>
      </c>
      <c r="DU99" s="137">
        <f t="shared" si="369"/>
        <v>80</v>
      </c>
      <c r="DV99" s="137">
        <f t="shared" si="370"/>
        <v>40</v>
      </c>
      <c r="DW99" s="135" t="str">
        <f t="shared" si="371"/>
        <v>D</v>
      </c>
      <c r="DX99" s="135" t="str">
        <f>VLOOKUP(RANK(DV99,$DV$10:$DV$109),Sheet1!$A$381:$B$480,2,FALSE)</f>
        <v>84th</v>
      </c>
      <c r="DY99" s="168">
        <v>26</v>
      </c>
      <c r="DZ99" s="168">
        <v>20</v>
      </c>
      <c r="EA99" s="137">
        <f t="shared" si="372"/>
        <v>46</v>
      </c>
      <c r="EB99" s="137" t="str">
        <f t="shared" si="373"/>
        <v>43</v>
      </c>
      <c r="EC99" s="137">
        <f t="shared" si="374"/>
        <v>89</v>
      </c>
      <c r="ED99" s="137">
        <f t="shared" si="375"/>
        <v>44.5</v>
      </c>
      <c r="EE99" s="135" t="str">
        <f t="shared" si="376"/>
        <v>D</v>
      </c>
      <c r="EF99" s="135" t="str">
        <f>VLOOKUP(RANK(ED99,$ED$10:$ED$109),Sheet1!$A$381:$B$480,2,FALSE)</f>
        <v>55th</v>
      </c>
      <c r="EG99" s="162">
        <v>15</v>
      </c>
      <c r="EH99" s="162">
        <v>21</v>
      </c>
      <c r="EI99" s="137">
        <f t="shared" si="377"/>
        <v>36</v>
      </c>
      <c r="EJ99" s="137" t="str">
        <f t="shared" si="378"/>
        <v>42</v>
      </c>
      <c r="EK99" s="137">
        <f t="shared" si="379"/>
        <v>78</v>
      </c>
      <c r="EL99" s="137">
        <f t="shared" si="380"/>
        <v>39</v>
      </c>
      <c r="EM99" s="135" t="str">
        <f t="shared" si="381"/>
        <v>E</v>
      </c>
      <c r="EN99" s="135" t="str">
        <f>VLOOKUP(RANK(EL99,$EL$10:$EL$109),Sheet1!$A$381:$B$480,2,FALSE)</f>
        <v>86th</v>
      </c>
      <c r="EO99" s="162">
        <v>25</v>
      </c>
      <c r="EP99" s="162">
        <v>11</v>
      </c>
      <c r="EQ99" s="137">
        <f t="shared" si="382"/>
        <v>36</v>
      </c>
      <c r="ER99" s="137" t="str">
        <f t="shared" si="383"/>
        <v>35</v>
      </c>
      <c r="ES99" s="137">
        <f t="shared" si="384"/>
        <v>71</v>
      </c>
      <c r="ET99" s="137">
        <f t="shared" si="385"/>
        <v>35.5</v>
      </c>
      <c r="EU99" s="135" t="str">
        <f t="shared" si="386"/>
        <v>E</v>
      </c>
      <c r="EV99" s="135" t="str">
        <f>VLOOKUP(RANK(ET99,$ET$10:$ET$109),Sheet1!$A$381:$B$480,2,FALSE)</f>
        <v>83rd</v>
      </c>
      <c r="EW99" s="137"/>
      <c r="EX99" s="137"/>
      <c r="EY99" s="137">
        <f t="shared" si="387"/>
        <v>0</v>
      </c>
      <c r="EZ99" s="137" t="str">
        <f t="shared" si="388"/>
        <v>0</v>
      </c>
      <c r="FA99" s="137">
        <f t="shared" si="389"/>
        <v>0</v>
      </c>
      <c r="FB99" s="137">
        <f t="shared" si="390"/>
        <v>0</v>
      </c>
      <c r="FC99" s="135" t="str">
        <f t="shared" si="391"/>
        <v>F</v>
      </c>
      <c r="FD99" s="135" t="str">
        <f>VLOOKUP(RANK(FB99,$FB$10:$FB$109),Sheet1!$A$381:$B$480,2,FALSE)</f>
        <v>1st</v>
      </c>
      <c r="FE99" s="137"/>
      <c r="FF99" s="137"/>
      <c r="FG99" s="137">
        <f t="shared" si="392"/>
        <v>0</v>
      </c>
      <c r="FH99" s="137" t="str">
        <f t="shared" si="393"/>
        <v>0</v>
      </c>
      <c r="FI99" s="137">
        <f t="shared" si="394"/>
        <v>0</v>
      </c>
      <c r="FJ99" s="137">
        <f t="shared" si="395"/>
        <v>0</v>
      </c>
      <c r="FK99" s="135" t="str">
        <f t="shared" si="396"/>
        <v>F</v>
      </c>
      <c r="FL99" s="135" t="str">
        <f>VLOOKUP(RANK(FJ99,$FJ$10:$FJ$109),Sheet1!$A$381:$B$480,2,FALSE)</f>
        <v>1st</v>
      </c>
      <c r="FM99" s="166">
        <v>27</v>
      </c>
      <c r="FN99" s="166">
        <v>25</v>
      </c>
      <c r="FO99" s="137">
        <f t="shared" si="397"/>
        <v>52</v>
      </c>
      <c r="FP99" s="137" t="str">
        <f t="shared" si="398"/>
        <v>52</v>
      </c>
      <c r="FQ99" s="137">
        <f t="shared" si="399"/>
        <v>104</v>
      </c>
      <c r="FR99" s="137">
        <f t="shared" si="400"/>
        <v>52</v>
      </c>
      <c r="FS99" s="135" t="str">
        <f t="shared" si="401"/>
        <v>C</v>
      </c>
      <c r="FT99" s="135" t="str">
        <f>VLOOKUP(RANK(FR99,$FR$10:$FR$109),Sheet1!$A$381:$B$480,2,FALSE)</f>
        <v>45th</v>
      </c>
      <c r="FU99" s="149">
        <v>38</v>
      </c>
      <c r="FV99" s="149">
        <v>20</v>
      </c>
      <c r="FW99" s="137">
        <f t="shared" si="402"/>
        <v>58</v>
      </c>
      <c r="FX99" s="137" t="str">
        <f t="shared" si="403"/>
        <v>46</v>
      </c>
      <c r="FY99" s="137">
        <f t="shared" si="512"/>
        <v>58</v>
      </c>
      <c r="FZ99" s="137">
        <f t="shared" si="404"/>
        <v>29</v>
      </c>
      <c r="GA99" s="135" t="str">
        <f t="shared" si="405"/>
        <v>F</v>
      </c>
      <c r="GB99" s="135" t="str">
        <f>VLOOKUP(RANK(FZ99,$FZ$10:$FZ$109),Sheet1!$A$381:$B$480,2,FALSE)</f>
        <v>28th</v>
      </c>
      <c r="GC99" s="166">
        <v>18</v>
      </c>
      <c r="GD99" s="166">
        <v>25</v>
      </c>
      <c r="GE99" s="137">
        <f t="shared" si="406"/>
        <v>43</v>
      </c>
      <c r="GF99" s="137" t="str">
        <f t="shared" si="407"/>
        <v>31</v>
      </c>
      <c r="GG99" s="135">
        <f t="shared" si="513"/>
        <v>74</v>
      </c>
      <c r="GH99" s="137">
        <f t="shared" si="514"/>
        <v>37</v>
      </c>
      <c r="GI99" s="135" t="str">
        <f t="shared" si="408"/>
        <v>E</v>
      </c>
      <c r="GJ99" s="135" t="str">
        <f>VLOOKUP(RANK(GH99,$GH$10:$GH$109),Sheet1!$A$381:$B$480,2,FALSE)</f>
        <v>54th</v>
      </c>
      <c r="GK99" s="166">
        <v>28</v>
      </c>
      <c r="GL99" s="166">
        <v>17</v>
      </c>
      <c r="GM99" s="137">
        <f t="shared" si="409"/>
        <v>45</v>
      </c>
      <c r="GN99" s="137" t="str">
        <f t="shared" si="410"/>
        <v>55</v>
      </c>
      <c r="GO99" s="135">
        <f t="shared" si="515"/>
        <v>100</v>
      </c>
      <c r="GP99" s="137">
        <f t="shared" si="411"/>
        <v>50</v>
      </c>
      <c r="GQ99" s="135" t="str">
        <f t="shared" si="412"/>
        <v>C</v>
      </c>
      <c r="GR99" s="135" t="str">
        <f>VLOOKUP(RANK(GP99,$GP$10:$GP$109),Sheet1!$A$381:$B$480,2,FALSE)</f>
        <v>22nd</v>
      </c>
      <c r="GS99" s="166">
        <v>28</v>
      </c>
      <c r="GT99" s="166">
        <v>15</v>
      </c>
      <c r="GU99" s="137">
        <f t="shared" si="413"/>
        <v>43</v>
      </c>
      <c r="GV99" s="137" t="str">
        <f t="shared" si="414"/>
        <v>37</v>
      </c>
      <c r="GW99" s="137">
        <f t="shared" si="415"/>
        <v>80</v>
      </c>
      <c r="GX99" s="137">
        <f t="shared" si="416"/>
        <v>40</v>
      </c>
      <c r="GY99" s="135" t="str">
        <f t="shared" si="417"/>
        <v>D</v>
      </c>
      <c r="GZ99" s="135" t="str">
        <f>VLOOKUP(RANK(GX99,$GX$10:$GX$109),Sheet1!$A$381:$B$480,2,FALSE)</f>
        <v>70th</v>
      </c>
      <c r="HA99" s="166">
        <v>30</v>
      </c>
      <c r="HB99" s="166">
        <v>7</v>
      </c>
      <c r="HC99" s="137">
        <f t="shared" si="418"/>
        <v>37</v>
      </c>
      <c r="HD99" s="137" t="str">
        <f t="shared" si="419"/>
        <v>44</v>
      </c>
      <c r="HE99" s="137">
        <f t="shared" si="420"/>
        <v>81</v>
      </c>
      <c r="HF99" s="137">
        <f t="shared" si="421"/>
        <v>40.5</v>
      </c>
      <c r="HG99" s="135" t="str">
        <f t="shared" si="422"/>
        <v>D</v>
      </c>
      <c r="HH99" s="135" t="str">
        <f>VLOOKUP(RANK(HF99,$HF$10:$HF$109),Sheet1!$A$381:$B$480,2,FALSE)</f>
        <v>57th</v>
      </c>
      <c r="HI99" s="149">
        <v>24</v>
      </c>
      <c r="HJ99" s="149">
        <v>32</v>
      </c>
      <c r="HK99" s="137">
        <f t="shared" si="423"/>
        <v>56</v>
      </c>
      <c r="HL99" s="137" t="str">
        <f t="shared" si="424"/>
        <v>55</v>
      </c>
      <c r="HM99" s="137">
        <f t="shared" si="425"/>
        <v>111</v>
      </c>
      <c r="HN99" s="137">
        <f t="shared" si="426"/>
        <v>55.5</v>
      </c>
      <c r="HO99" s="135" t="str">
        <f t="shared" si="427"/>
        <v>C</v>
      </c>
      <c r="HP99" s="135" t="str">
        <f>VLOOKUP(RANK(HN99,$HN$10:$HN$109),Sheet1!$A$381:$B$480,2,FALSE)</f>
        <v>85th</v>
      </c>
      <c r="HQ99" s="137"/>
      <c r="HR99" s="137"/>
      <c r="HS99" s="137">
        <f t="shared" si="428"/>
        <v>0</v>
      </c>
      <c r="HT99" s="137" t="str">
        <f t="shared" si="429"/>
        <v>0</v>
      </c>
      <c r="HU99" s="137">
        <f t="shared" si="430"/>
        <v>0</v>
      </c>
      <c r="HV99" s="137">
        <f t="shared" si="431"/>
        <v>0</v>
      </c>
      <c r="HW99" s="135" t="str">
        <f t="shared" si="432"/>
        <v>F</v>
      </c>
      <c r="HX99" s="135" t="str">
        <f>VLOOKUP(RANK(HV99,$HV$10:$HV$109),Sheet1!$A$381:$B$480,2,FALSE)</f>
        <v>1st</v>
      </c>
      <c r="HY99" s="137"/>
      <c r="HZ99" s="137"/>
      <c r="IA99" s="137">
        <f t="shared" si="433"/>
        <v>0</v>
      </c>
      <c r="IB99" s="137" t="str">
        <f t="shared" si="434"/>
        <v>0</v>
      </c>
      <c r="IC99" s="137">
        <f t="shared" si="435"/>
        <v>0</v>
      </c>
      <c r="ID99" s="137">
        <f t="shared" si="436"/>
        <v>0</v>
      </c>
      <c r="IE99" s="135" t="str">
        <f t="shared" si="437"/>
        <v>F</v>
      </c>
      <c r="IF99" s="135" t="str">
        <f>VLOOKUP(RANK(ID99,$ID$10:$ID$109),Sheet1!$A$381:$B$480,2,FALSE)</f>
        <v>1st</v>
      </c>
      <c r="IG99" s="135"/>
      <c r="IH99" s="135"/>
      <c r="II99" s="135">
        <f t="shared" si="516"/>
        <v>0</v>
      </c>
      <c r="IJ99" s="135" t="str">
        <f t="shared" si="517"/>
        <v>0</v>
      </c>
      <c r="IK99" s="135">
        <f t="shared" si="518"/>
        <v>0</v>
      </c>
      <c r="IL99" s="135">
        <f t="shared" si="519"/>
        <v>0</v>
      </c>
      <c r="IM99" s="135" t="str">
        <f t="shared" si="438"/>
        <v>F</v>
      </c>
      <c r="IN99" s="135" t="str">
        <f>VLOOKUP(RANK(IL99,$IL$10:$IL$109),Sheet1!$A$381:$B$480,2,FALSE)</f>
        <v>1st</v>
      </c>
      <c r="IO99" s="135">
        <f t="shared" si="520"/>
        <v>528.5</v>
      </c>
      <c r="IP99" s="177">
        <f t="shared" si="521"/>
        <v>31.088235294117599</v>
      </c>
      <c r="IQ99" s="135" t="str">
        <f>VLOOKUP(RANK(IP99,$IP$10:$IP$109),Sheet1!$A$381:$B$480,2,FALSE)</f>
        <v>76th</v>
      </c>
      <c r="IR99" s="178"/>
      <c r="IS99" s="137"/>
      <c r="IT99" s="137"/>
      <c r="IU99" s="137"/>
      <c r="IV99" s="137"/>
      <c r="IW99" s="181"/>
      <c r="IX99" s="184"/>
      <c r="IY99" s="186"/>
      <c r="IZ99" s="186">
        <f t="shared" si="439"/>
        <v>0</v>
      </c>
      <c r="JA99" s="186" t="str">
        <f t="shared" si="440"/>
        <v>54</v>
      </c>
      <c r="JB99" s="186" t="str">
        <f t="shared" si="441"/>
        <v>77</v>
      </c>
      <c r="JC99" s="186">
        <f t="shared" si="522"/>
        <v>131</v>
      </c>
      <c r="JD99" s="186">
        <f t="shared" si="523"/>
        <v>43.6666666666667</v>
      </c>
      <c r="JE99" s="135" t="str">
        <f t="shared" si="442"/>
        <v>D</v>
      </c>
      <c r="JF99" s="151" t="str">
        <f>VLOOKUP(RANK(JD99,$JD$10:$JD$109),Sheet1!$A$381:$B$480,2,FALSE)</f>
        <v>55th</v>
      </c>
      <c r="JG99" s="186"/>
      <c r="JH99" s="186"/>
      <c r="JI99" s="186">
        <f t="shared" si="443"/>
        <v>0</v>
      </c>
      <c r="JJ99" s="186" t="str">
        <f t="shared" si="444"/>
        <v>41</v>
      </c>
      <c r="JK99" s="186" t="str">
        <f t="shared" si="445"/>
        <v>39</v>
      </c>
      <c r="JL99" s="186">
        <f t="shared" si="524"/>
        <v>80</v>
      </c>
      <c r="JM99" s="186">
        <f t="shared" si="525"/>
        <v>26.6666666666667</v>
      </c>
      <c r="JN99" s="135" t="str">
        <f t="shared" si="446"/>
        <v>F</v>
      </c>
      <c r="JO99" s="151" t="str">
        <f>VLOOKUP(RANK(JM99,$JM$10:$JM$109),Sheet1!$A$381:$B$480,2,FALSE)</f>
        <v>84th</v>
      </c>
      <c r="JP99" s="186"/>
      <c r="JQ99" s="186"/>
      <c r="JR99" s="186">
        <f t="shared" si="447"/>
        <v>0</v>
      </c>
      <c r="JS99" s="186" t="str">
        <f t="shared" si="448"/>
        <v>43</v>
      </c>
      <c r="JT99" s="186" t="str">
        <f t="shared" si="449"/>
        <v>46</v>
      </c>
      <c r="JU99" s="186">
        <f t="shared" si="526"/>
        <v>89</v>
      </c>
      <c r="JV99" s="186">
        <f t="shared" si="527"/>
        <v>29.6666666666667</v>
      </c>
      <c r="JW99" s="135" t="str">
        <f t="shared" si="450"/>
        <v>F</v>
      </c>
      <c r="JX99" s="151" t="str">
        <f>VLOOKUP(RANK(JV99,$JV$10:$JV$109),Sheet1!$A$381:$B$480,2,FALSE)</f>
        <v>55th</v>
      </c>
      <c r="JY99" s="186"/>
      <c r="JZ99" s="186"/>
      <c r="KA99" s="186">
        <f t="shared" si="451"/>
        <v>0</v>
      </c>
      <c r="KB99" s="186" t="str">
        <f t="shared" si="452"/>
        <v>42</v>
      </c>
      <c r="KC99" s="186" t="str">
        <f t="shared" si="453"/>
        <v>36</v>
      </c>
      <c r="KD99" s="186">
        <f t="shared" si="528"/>
        <v>78</v>
      </c>
      <c r="KE99" s="186">
        <f t="shared" si="529"/>
        <v>26</v>
      </c>
      <c r="KF99" s="135" t="str">
        <f t="shared" si="454"/>
        <v>F</v>
      </c>
      <c r="KG99" s="151" t="str">
        <f>VLOOKUP(RANK(KE99,$KE$10:$KE$109),Sheet1!$A$381:$B$480,2,FALSE)</f>
        <v>86th</v>
      </c>
      <c r="KH99" s="186"/>
      <c r="KI99" s="186"/>
      <c r="KJ99" s="186">
        <f t="shared" si="455"/>
        <v>0</v>
      </c>
      <c r="KK99" s="186" t="str">
        <f t="shared" si="456"/>
        <v>35</v>
      </c>
      <c r="KL99" s="186" t="str">
        <f t="shared" si="457"/>
        <v>36</v>
      </c>
      <c r="KM99" s="186">
        <f t="shared" si="530"/>
        <v>71</v>
      </c>
      <c r="KN99" s="186">
        <f t="shared" si="531"/>
        <v>23.6666666666667</v>
      </c>
      <c r="KO99" s="135" t="str">
        <f t="shared" si="458"/>
        <v>F</v>
      </c>
      <c r="KP99" s="151" t="str">
        <f>VLOOKUP(RANK(KN99,$KN$10:$KN$109),Sheet1!$A$381:$B$480,2,FALSE)</f>
        <v>83rd</v>
      </c>
      <c r="KQ99" s="186"/>
      <c r="KR99" s="186"/>
      <c r="KS99" s="186">
        <f t="shared" si="459"/>
        <v>0</v>
      </c>
      <c r="KT99" s="186" t="str">
        <f t="shared" si="460"/>
        <v>0</v>
      </c>
      <c r="KU99" s="186" t="str">
        <f t="shared" si="461"/>
        <v>0</v>
      </c>
      <c r="KV99" s="186">
        <f t="shared" si="532"/>
        <v>0</v>
      </c>
      <c r="KW99" s="186">
        <f t="shared" si="533"/>
        <v>0</v>
      </c>
      <c r="KX99" s="135" t="str">
        <f t="shared" si="462"/>
        <v>F</v>
      </c>
      <c r="KY99" s="151" t="str">
        <f>VLOOKUP(RANK(KW99,$KW$10:$KW$109),Sheet1!$A$381:$B$480,2,FALSE)</f>
        <v>1st</v>
      </c>
      <c r="KZ99" s="186"/>
      <c r="LA99" s="186"/>
      <c r="LB99" s="186">
        <f t="shared" si="463"/>
        <v>0</v>
      </c>
      <c r="LC99" s="186" t="str">
        <f t="shared" si="464"/>
        <v>0</v>
      </c>
      <c r="LD99" s="186" t="str">
        <f t="shared" si="465"/>
        <v>0</v>
      </c>
      <c r="LE99" s="186">
        <f t="shared" si="534"/>
        <v>0</v>
      </c>
      <c r="LF99" s="186">
        <f t="shared" si="535"/>
        <v>0</v>
      </c>
      <c r="LG99" s="135" t="str">
        <f t="shared" si="466"/>
        <v>F</v>
      </c>
      <c r="LH99" s="151" t="str">
        <f>VLOOKUP(RANK(LF99,$LF$10:$LF$109),Sheet1!$A$381:$B$480,2,FALSE)</f>
        <v>1st</v>
      </c>
      <c r="LI99" s="186"/>
      <c r="LJ99" s="186"/>
      <c r="LK99" s="186">
        <f t="shared" si="467"/>
        <v>0</v>
      </c>
      <c r="LL99" s="186" t="str">
        <f t="shared" si="468"/>
        <v>52</v>
      </c>
      <c r="LM99" s="186" t="str">
        <f t="shared" si="469"/>
        <v>52</v>
      </c>
      <c r="LN99" s="186">
        <f t="shared" si="536"/>
        <v>104</v>
      </c>
      <c r="LO99" s="186">
        <f t="shared" si="537"/>
        <v>34.6666666666667</v>
      </c>
      <c r="LP99" s="135" t="str">
        <f t="shared" si="470"/>
        <v>F</v>
      </c>
      <c r="LQ99" s="151" t="str">
        <f>VLOOKUP(RANK(LO99,$LO$10:$LO$109),Sheet1!$A$381:$B$480,2,FALSE)</f>
        <v>45th</v>
      </c>
      <c r="LR99" s="186"/>
      <c r="LS99" s="186"/>
      <c r="LT99" s="186">
        <f t="shared" si="471"/>
        <v>0</v>
      </c>
      <c r="LU99" s="186" t="str">
        <f t="shared" si="472"/>
        <v>46</v>
      </c>
      <c r="LV99" s="186" t="str">
        <f t="shared" si="473"/>
        <v>58</v>
      </c>
      <c r="LW99" s="186">
        <f t="shared" si="538"/>
        <v>104</v>
      </c>
      <c r="LX99" s="186">
        <f t="shared" si="539"/>
        <v>34.6666666666667</v>
      </c>
      <c r="LY99" s="135" t="str">
        <f t="shared" si="474"/>
        <v>F</v>
      </c>
      <c r="LZ99" s="151" t="str">
        <f>VLOOKUP(RANK(LX99,$LX$10:$LX$109),Sheet1!$A$381:$B$480,2,FALSE)</f>
        <v>49th</v>
      </c>
      <c r="MA99" s="186"/>
      <c r="MB99" s="186"/>
      <c r="MC99" s="186">
        <f t="shared" si="475"/>
        <v>0</v>
      </c>
      <c r="MD99" s="186" t="str">
        <f t="shared" si="476"/>
        <v>31</v>
      </c>
      <c r="ME99" s="186" t="str">
        <f t="shared" si="477"/>
        <v>43</v>
      </c>
      <c r="MF99" s="183">
        <f t="shared" si="540"/>
        <v>74</v>
      </c>
      <c r="MG99" s="151">
        <f t="shared" si="541"/>
        <v>24.6666666666667</v>
      </c>
      <c r="MH99" s="135" t="str">
        <f t="shared" si="478"/>
        <v>F</v>
      </c>
      <c r="MI99" s="151" t="str">
        <f>VLOOKUP(RANK(MG99,$MG$10:$MG$109),Sheet1!$A$381:$B$480,2,FALSE)</f>
        <v>54th</v>
      </c>
      <c r="MJ99" s="186"/>
      <c r="MK99" s="186"/>
      <c r="ML99" s="186">
        <f t="shared" si="479"/>
        <v>0</v>
      </c>
      <c r="MM99" s="186" t="str">
        <f t="shared" si="480"/>
        <v>55</v>
      </c>
      <c r="MN99" s="186" t="str">
        <f t="shared" si="481"/>
        <v>45</v>
      </c>
      <c r="MO99" s="186">
        <f t="shared" si="542"/>
        <v>100</v>
      </c>
      <c r="MP99" s="186">
        <f t="shared" si="543"/>
        <v>33.3333333333333</v>
      </c>
      <c r="MQ99" s="135" t="str">
        <f t="shared" si="482"/>
        <v>F</v>
      </c>
      <c r="MR99" s="151" t="str">
        <f>VLOOKUP(RANK(MP99,$MP$10:$MP$109),Sheet1!$A$381:$B$480,2,FALSE)</f>
        <v>22nd</v>
      </c>
      <c r="MS99" s="186"/>
      <c r="MT99" s="186"/>
      <c r="MU99" s="186">
        <f t="shared" si="483"/>
        <v>0</v>
      </c>
      <c r="MV99" s="186" t="str">
        <f t="shared" si="484"/>
        <v>37</v>
      </c>
      <c r="MW99" s="186" t="str">
        <f t="shared" si="485"/>
        <v>43</v>
      </c>
      <c r="MX99" s="186">
        <f t="shared" si="544"/>
        <v>80</v>
      </c>
      <c r="MY99" s="186">
        <f t="shared" si="545"/>
        <v>26.6666666666667</v>
      </c>
      <c r="MZ99" s="135" t="str">
        <f t="shared" si="486"/>
        <v>F</v>
      </c>
      <c r="NA99" s="151" t="str">
        <f>VLOOKUP(RANK(MY99,$MY$10:$MY$109),Sheet1!$A$381:$B$480,2,FALSE)</f>
        <v>70th</v>
      </c>
      <c r="NB99" s="186"/>
      <c r="NC99" s="186"/>
      <c r="ND99" s="186">
        <f t="shared" si="487"/>
        <v>0</v>
      </c>
      <c r="NE99" s="186" t="str">
        <f t="shared" si="488"/>
        <v>44</v>
      </c>
      <c r="NF99" s="186" t="str">
        <f t="shared" si="489"/>
        <v>37</v>
      </c>
      <c r="NG99" s="186">
        <f t="shared" si="546"/>
        <v>81</v>
      </c>
      <c r="NH99" s="186">
        <f t="shared" si="547"/>
        <v>27</v>
      </c>
      <c r="NI99" s="135" t="str">
        <f t="shared" si="490"/>
        <v>F</v>
      </c>
      <c r="NJ99" s="151" t="str">
        <f>VLOOKUP(RANK(NH99,$NH$10:$NH$109),Sheet1!$A$381:$B$480,2,FALSE)</f>
        <v>57th</v>
      </c>
      <c r="NK99" s="186"/>
      <c r="NL99" s="186"/>
      <c r="NM99" s="186">
        <f t="shared" si="491"/>
        <v>0</v>
      </c>
      <c r="NN99" s="186" t="str">
        <f t="shared" si="492"/>
        <v>55</v>
      </c>
      <c r="NO99" s="186" t="str">
        <f t="shared" si="493"/>
        <v>56</v>
      </c>
      <c r="NP99" s="186">
        <f t="shared" si="548"/>
        <v>111</v>
      </c>
      <c r="NQ99" s="186">
        <f t="shared" si="494"/>
        <v>37</v>
      </c>
      <c r="NR99" s="135" t="str">
        <f t="shared" si="495"/>
        <v>E</v>
      </c>
      <c r="NS99" s="151" t="str">
        <f>VLOOKUP(RANK(NQ99,$NQ$10:$NQ$109),Sheet1!$A$381:$B$480,2,FALSE)</f>
        <v>85th</v>
      </c>
      <c r="NT99" s="186"/>
      <c r="NU99" s="186"/>
      <c r="NV99" s="186">
        <f t="shared" si="496"/>
        <v>0</v>
      </c>
      <c r="NW99" s="186" t="str">
        <f t="shared" si="497"/>
        <v>0</v>
      </c>
      <c r="NX99" s="186" t="str">
        <f t="shared" si="498"/>
        <v>0</v>
      </c>
      <c r="NY99" s="186">
        <f t="shared" si="549"/>
        <v>0</v>
      </c>
      <c r="NZ99" s="186">
        <f t="shared" si="499"/>
        <v>0</v>
      </c>
      <c r="OA99" s="135" t="str">
        <f t="shared" si="500"/>
        <v>F</v>
      </c>
      <c r="OB99" s="151" t="str">
        <f>VLOOKUP(RANK(NZ99,$NZ$10:$NZ$109),Sheet1!$A$381:$B$480,2,FALSE)</f>
        <v>1st</v>
      </c>
      <c r="OC99" s="186"/>
      <c r="OD99" s="186"/>
      <c r="OE99" s="186">
        <f t="shared" si="501"/>
        <v>0</v>
      </c>
      <c r="OF99" s="186" t="str">
        <f t="shared" si="502"/>
        <v>0</v>
      </c>
      <c r="OG99" s="186" t="str">
        <f t="shared" si="503"/>
        <v>0</v>
      </c>
      <c r="OH99" s="186">
        <f t="shared" si="550"/>
        <v>0</v>
      </c>
      <c r="OI99" s="186">
        <f t="shared" si="504"/>
        <v>0</v>
      </c>
      <c r="OJ99" s="135" t="str">
        <f t="shared" si="505"/>
        <v>F</v>
      </c>
      <c r="OK99" s="151" t="str">
        <f>VLOOKUP(RANK(OI99,$OI$10:$OI$109),Sheet1!$A$381:$B$480,2,FALSE)</f>
        <v>1st</v>
      </c>
      <c r="OL99" s="151"/>
      <c r="OM99" s="151"/>
      <c r="ON99" s="151">
        <f t="shared" si="551"/>
        <v>0</v>
      </c>
      <c r="OO99" s="151" t="str">
        <f t="shared" si="552"/>
        <v>0</v>
      </c>
      <c r="OP99" s="151" t="str">
        <f t="shared" si="553"/>
        <v>0</v>
      </c>
      <c r="OQ99" s="151">
        <f t="shared" si="554"/>
        <v>0</v>
      </c>
      <c r="OR99" s="151">
        <f t="shared" si="555"/>
        <v>0</v>
      </c>
      <c r="OS99" s="135" t="str">
        <f t="shared" si="506"/>
        <v>F</v>
      </c>
      <c r="OT99" s="151" t="str">
        <f>VLOOKUP(RANK(OR99,$OI$10:$OI$109),Sheet1!$A$381:$B$480,2,FALSE)</f>
        <v>1st</v>
      </c>
      <c r="OU99" s="151">
        <f t="shared" si="556"/>
        <v>367.66666666666703</v>
      </c>
      <c r="OV99" s="151">
        <f t="shared" si="557"/>
        <v>21.627450980392201</v>
      </c>
      <c r="OW99" s="151" t="str">
        <f>VLOOKUP(RANK(OV99,$OV$10:$OV$109),Sheet1!$A$381:$B$480,2,FALSE)</f>
        <v>76th</v>
      </c>
      <c r="OX99" s="151"/>
      <c r="OY99" s="186"/>
      <c r="OZ99" s="186"/>
      <c r="PA99" s="186"/>
      <c r="PB99" s="186"/>
    </row>
    <row r="100" spans="1:418" s="118" customFormat="1" ht="18.75">
      <c r="A100" s="131">
        <v>91</v>
      </c>
      <c r="B100" s="132" t="s">
        <v>190</v>
      </c>
      <c r="C100" s="133" t="s">
        <v>97</v>
      </c>
      <c r="D100" s="134">
        <v>28</v>
      </c>
      <c r="E100" s="134">
        <v>51</v>
      </c>
      <c r="F100" s="137">
        <f t="shared" si="315"/>
        <v>79</v>
      </c>
      <c r="G100" s="137">
        <f t="shared" si="316"/>
        <v>79</v>
      </c>
      <c r="H100" s="135" t="str">
        <f t="shared" si="507"/>
        <v>A</v>
      </c>
      <c r="I100" s="135" t="str">
        <f>VLOOKUP(RANK(G100,$G$10:$G$109),Sheet1!$A$381:$B$480,2,FALSE)</f>
        <v>11th</v>
      </c>
      <c r="J100" s="134">
        <v>25</v>
      </c>
      <c r="K100" s="134">
        <v>20</v>
      </c>
      <c r="L100" s="137">
        <f t="shared" si="317"/>
        <v>45</v>
      </c>
      <c r="M100" s="137">
        <f t="shared" si="318"/>
        <v>45</v>
      </c>
      <c r="N100" s="135" t="str">
        <f t="shared" si="319"/>
        <v>D</v>
      </c>
      <c r="O100" s="141" t="str">
        <f>VLOOKUP(RANK(M100,$M$10:$M$109),Sheet1!$A$381:$B$480,2,FALSE)</f>
        <v>79th</v>
      </c>
      <c r="P100" s="144">
        <v>28</v>
      </c>
      <c r="Q100" s="144">
        <v>15</v>
      </c>
      <c r="R100" s="147">
        <f t="shared" si="320"/>
        <v>43</v>
      </c>
      <c r="S100" s="137">
        <f t="shared" si="321"/>
        <v>43</v>
      </c>
      <c r="T100" s="135" t="str">
        <f t="shared" si="322"/>
        <v>D</v>
      </c>
      <c r="U100" s="135" t="str">
        <f>VLOOKUP(RANK(S100,$S$10:$S$109),Sheet1!$A$381:$B$480,2,FALSE)</f>
        <v>50th</v>
      </c>
      <c r="V100" s="134">
        <v>16</v>
      </c>
      <c r="W100" s="134">
        <v>13</v>
      </c>
      <c r="X100" s="137">
        <f t="shared" si="559"/>
        <v>29</v>
      </c>
      <c r="Y100" s="137">
        <f t="shared" si="558"/>
        <v>29</v>
      </c>
      <c r="Z100" s="135" t="str">
        <f t="shared" si="323"/>
        <v>F</v>
      </c>
      <c r="AA100" s="135" t="str">
        <f>VLOOKUP(RANK(Y100,$Y$10:$Y$109),Sheet1!$A$381:$B$480,2,FALSE)</f>
        <v>97th</v>
      </c>
      <c r="AB100" s="134">
        <v>30</v>
      </c>
      <c r="AC100" s="134">
        <v>35</v>
      </c>
      <c r="AD100" s="137">
        <f t="shared" si="324"/>
        <v>65</v>
      </c>
      <c r="AE100" s="137">
        <f t="shared" si="325"/>
        <v>65</v>
      </c>
      <c r="AF100" s="135" t="str">
        <f t="shared" si="326"/>
        <v>B</v>
      </c>
      <c r="AG100" s="135" t="str">
        <f>VLOOKUP(RANK(AE100,$AE$10:$AE$109),Sheet1!$A$381:$B$480,2,FALSE)</f>
        <v>39th</v>
      </c>
      <c r="AH100" s="137"/>
      <c r="AI100" s="137"/>
      <c r="AJ100" s="137">
        <f t="shared" si="327"/>
        <v>0</v>
      </c>
      <c r="AK100" s="137">
        <f t="shared" si="328"/>
        <v>0</v>
      </c>
      <c r="AL100" s="135" t="str">
        <f t="shared" si="329"/>
        <v>F</v>
      </c>
      <c r="AM100" s="135" t="str">
        <f>VLOOKUP(RANK(AK100,$AK$10:$AK$109),Sheet1!$A$381:$B$480,2,FALSE)</f>
        <v>1st</v>
      </c>
      <c r="AN100" s="134"/>
      <c r="AO100" s="134"/>
      <c r="AP100" s="137">
        <f t="shared" si="330"/>
        <v>0</v>
      </c>
      <c r="AQ100" s="137">
        <f t="shared" si="331"/>
        <v>0</v>
      </c>
      <c r="AR100" s="135" t="str">
        <f t="shared" si="332"/>
        <v>F</v>
      </c>
      <c r="AS100" s="135" t="str">
        <f>VLOOKUP(RANK(AQ100,$AQ$10:$AQ$109),Sheet1!$A$381:$B$480,2,FALSE)</f>
        <v>1st</v>
      </c>
      <c r="AT100" s="144">
        <v>25</v>
      </c>
      <c r="AU100" s="144">
        <v>35</v>
      </c>
      <c r="AV100" s="137">
        <f t="shared" si="333"/>
        <v>60</v>
      </c>
      <c r="AW100" s="137">
        <f t="shared" si="334"/>
        <v>60</v>
      </c>
      <c r="AX100" s="135" t="str">
        <f t="shared" si="335"/>
        <v>B</v>
      </c>
      <c r="AY100" s="141" t="str">
        <f>VLOOKUP(RANK(AW100,$AW$10:$AW$109),Sheet1!$A$381:$B$480,2,FALSE)</f>
        <v>9th</v>
      </c>
      <c r="AZ100" s="144">
        <v>30</v>
      </c>
      <c r="BA100" s="144">
        <v>10</v>
      </c>
      <c r="BB100" s="147">
        <f t="shared" si="336"/>
        <v>40</v>
      </c>
      <c r="BC100" s="137">
        <f t="shared" si="337"/>
        <v>40</v>
      </c>
      <c r="BD100" s="135" t="str">
        <f t="shared" si="338"/>
        <v>D</v>
      </c>
      <c r="BE100" s="135" t="str">
        <f>VLOOKUP(RANK(BC100,$BC$10:$BC$109),Sheet1!$A$381:$B$480,2,FALSE)</f>
        <v>85th</v>
      </c>
      <c r="BF100" s="144">
        <v>11</v>
      </c>
      <c r="BG100" s="144">
        <v>14</v>
      </c>
      <c r="BH100" s="137">
        <f t="shared" si="339"/>
        <v>25</v>
      </c>
      <c r="BI100" s="137">
        <f t="shared" si="340"/>
        <v>25</v>
      </c>
      <c r="BJ100" s="135" t="str">
        <f t="shared" si="341"/>
        <v>F</v>
      </c>
      <c r="BK100" s="141" t="str">
        <f>VLOOKUP(RANK(BI100,$BI$10:$BI$109),Sheet1!$A$381:$B$480,2,FALSE)</f>
        <v>78th</v>
      </c>
      <c r="BL100" s="149">
        <v>26</v>
      </c>
      <c r="BM100" s="149">
        <v>27</v>
      </c>
      <c r="BN100" s="147">
        <f t="shared" si="342"/>
        <v>53</v>
      </c>
      <c r="BO100" s="137">
        <f t="shared" si="343"/>
        <v>53</v>
      </c>
      <c r="BP100" s="135" t="str">
        <f t="shared" si="344"/>
        <v>C</v>
      </c>
      <c r="BQ100" s="141" t="str">
        <f>VLOOKUP(RANK(BO100,$BO$10:$BO$109),Sheet1!$A$381:$B$480,2,FALSE)</f>
        <v>36th</v>
      </c>
      <c r="BR100" s="149">
        <v>26</v>
      </c>
      <c r="BS100" s="149">
        <v>10</v>
      </c>
      <c r="BT100" s="147">
        <f t="shared" si="345"/>
        <v>36</v>
      </c>
      <c r="BU100" s="137">
        <f t="shared" si="346"/>
        <v>36</v>
      </c>
      <c r="BV100" s="135" t="str">
        <f t="shared" si="347"/>
        <v>E</v>
      </c>
      <c r="BW100" s="135" t="str">
        <f>VLOOKUP(RANK(BU100,$BU$10:$BU$109),Sheet1!$A$381:$B$480,2,FALSE)</f>
        <v>76th</v>
      </c>
      <c r="BX100" s="149">
        <v>30</v>
      </c>
      <c r="BY100" s="149">
        <v>10</v>
      </c>
      <c r="BZ100" s="137">
        <f t="shared" si="348"/>
        <v>40</v>
      </c>
      <c r="CA100" s="137">
        <f t="shared" si="349"/>
        <v>40</v>
      </c>
      <c r="CB100" s="135" t="str">
        <f t="shared" si="350"/>
        <v>D</v>
      </c>
      <c r="CC100" s="135" t="str">
        <f>VLOOKUP(RANK(CA100,$CA$10:$CA$109),Sheet1!$A$381:$B$480,2,FALSE)</f>
        <v>43rd</v>
      </c>
      <c r="CD100" s="149">
        <v>22</v>
      </c>
      <c r="CE100" s="149">
        <v>20</v>
      </c>
      <c r="CF100" s="137">
        <f t="shared" si="351"/>
        <v>42</v>
      </c>
      <c r="CG100" s="137">
        <f t="shared" si="352"/>
        <v>42</v>
      </c>
      <c r="CH100" s="135" t="str">
        <f t="shared" si="353"/>
        <v>D</v>
      </c>
      <c r="CI100" s="135" t="str">
        <f>VLOOKUP(RANK(CG100,$CG$10:$CG$109),Sheet1!$A$381:$B$480,2,FALSE)</f>
        <v>87th</v>
      </c>
      <c r="CJ100" s="137"/>
      <c r="CK100" s="137"/>
      <c r="CL100" s="137">
        <f t="shared" si="354"/>
        <v>0</v>
      </c>
      <c r="CM100" s="137">
        <f t="shared" si="355"/>
        <v>0</v>
      </c>
      <c r="CN100" s="135" t="str">
        <f t="shared" si="356"/>
        <v>F</v>
      </c>
      <c r="CO100" s="135" t="str">
        <f>VLOOKUP(RANK(CM100,$CM$10:$CM$109),Sheet1!$A$381:$B$480,2,FALSE)</f>
        <v>1st</v>
      </c>
      <c r="CP100" s="137"/>
      <c r="CQ100" s="137"/>
      <c r="CR100" s="137">
        <f t="shared" si="357"/>
        <v>0</v>
      </c>
      <c r="CS100" s="137">
        <f t="shared" si="358"/>
        <v>0</v>
      </c>
      <c r="CT100" s="135" t="str">
        <f t="shared" si="359"/>
        <v>F</v>
      </c>
      <c r="CU100" s="135" t="str">
        <f>VLOOKUP(RANK(CS100,$CS$10:$CS$109),Sheet1!$A$381:$B$480,2,FALSE)</f>
        <v>1st</v>
      </c>
      <c r="CV100" s="151"/>
      <c r="CW100" s="135"/>
      <c r="CX100" s="151">
        <f t="shared" si="508"/>
        <v>0</v>
      </c>
      <c r="CY100" s="151">
        <f t="shared" si="509"/>
        <v>0</v>
      </c>
      <c r="CZ100" s="135" t="str">
        <f t="shared" si="360"/>
        <v>F</v>
      </c>
      <c r="DA100" s="135" t="str">
        <f>VLOOKUP(RANK(CY100,$CY$10:$CY$109),Sheet1!$A$381:$B$480,2,FALSE)</f>
        <v>1st</v>
      </c>
      <c r="DB100" s="135"/>
      <c r="DC100" s="151">
        <f t="shared" si="510"/>
        <v>557</v>
      </c>
      <c r="DD100" s="151">
        <f t="shared" si="511"/>
        <v>32.764705882352899</v>
      </c>
      <c r="DE100" s="135" t="str">
        <f>VLOOKUP(RANK(DD100,$DD$10:$DD$109),Sheet1!$A$381:$B$480,2,FALSE)</f>
        <v>75th</v>
      </c>
      <c r="DF100" s="137"/>
      <c r="DG100" s="160">
        <f t="shared" si="361"/>
        <v>589.76470588235304</v>
      </c>
      <c r="DH100" s="119"/>
      <c r="DI100" s="162">
        <v>16</v>
      </c>
      <c r="DJ100" s="162">
        <v>49</v>
      </c>
      <c r="DK100" s="137">
        <f t="shared" si="362"/>
        <v>65</v>
      </c>
      <c r="DL100" s="137" t="str">
        <f t="shared" si="363"/>
        <v>79</v>
      </c>
      <c r="DM100" s="137">
        <f t="shared" si="364"/>
        <v>144</v>
      </c>
      <c r="DN100" s="137">
        <f t="shared" si="365"/>
        <v>72</v>
      </c>
      <c r="DO100" s="135" t="str">
        <f t="shared" si="366"/>
        <v>B</v>
      </c>
      <c r="DP100" s="135" t="str">
        <f>VLOOKUP(RANK(DN100,$DN$10:$DN$109),Sheet1!$A$381:$B$480,2,FALSE)</f>
        <v>29th</v>
      </c>
      <c r="DQ100" s="166">
        <v>0</v>
      </c>
      <c r="DR100" s="166">
        <v>0</v>
      </c>
      <c r="DS100" s="137">
        <f t="shared" si="367"/>
        <v>0</v>
      </c>
      <c r="DT100" s="137" t="str">
        <f t="shared" si="368"/>
        <v>45</v>
      </c>
      <c r="DU100" s="137">
        <f t="shared" si="369"/>
        <v>45</v>
      </c>
      <c r="DV100" s="137">
        <f t="shared" si="370"/>
        <v>22.5</v>
      </c>
      <c r="DW100" s="135" t="str">
        <f t="shared" si="371"/>
        <v>F</v>
      </c>
      <c r="DX100" s="135" t="str">
        <f>VLOOKUP(RANK(DV100,$DV$10:$DV$109),Sheet1!$A$381:$B$480,2,FALSE)</f>
        <v>98th</v>
      </c>
      <c r="DY100" s="168">
        <v>20</v>
      </c>
      <c r="DZ100" s="168">
        <v>21</v>
      </c>
      <c r="EA100" s="137">
        <f t="shared" si="372"/>
        <v>41</v>
      </c>
      <c r="EB100" s="137" t="str">
        <f t="shared" si="373"/>
        <v>43</v>
      </c>
      <c r="EC100" s="137">
        <f t="shared" si="374"/>
        <v>84</v>
      </c>
      <c r="ED100" s="137">
        <f t="shared" si="375"/>
        <v>42</v>
      </c>
      <c r="EE100" s="135" t="str">
        <f t="shared" si="376"/>
        <v>D</v>
      </c>
      <c r="EF100" s="135" t="str">
        <f>VLOOKUP(RANK(ED100,$ED$10:$ED$109),Sheet1!$A$381:$B$480,2,FALSE)</f>
        <v>61st</v>
      </c>
      <c r="EG100" s="162">
        <v>20</v>
      </c>
      <c r="EH100" s="162">
        <v>33</v>
      </c>
      <c r="EI100" s="137">
        <f t="shared" si="377"/>
        <v>53</v>
      </c>
      <c r="EJ100" s="137" t="str">
        <f t="shared" si="378"/>
        <v>29</v>
      </c>
      <c r="EK100" s="137">
        <f t="shared" si="379"/>
        <v>82</v>
      </c>
      <c r="EL100" s="137">
        <f t="shared" si="380"/>
        <v>41</v>
      </c>
      <c r="EM100" s="135" t="str">
        <f t="shared" si="381"/>
        <v>D</v>
      </c>
      <c r="EN100" s="135" t="str">
        <f>VLOOKUP(RANK(EL100,$EL$10:$EL$109),Sheet1!$A$381:$B$480,2,FALSE)</f>
        <v>82nd</v>
      </c>
      <c r="EO100" s="162">
        <v>26</v>
      </c>
      <c r="EP100" s="162">
        <v>17</v>
      </c>
      <c r="EQ100" s="137">
        <f t="shared" si="382"/>
        <v>43</v>
      </c>
      <c r="ER100" s="137" t="str">
        <f t="shared" si="383"/>
        <v>65</v>
      </c>
      <c r="ES100" s="137">
        <f t="shared" si="384"/>
        <v>108</v>
      </c>
      <c r="ET100" s="137">
        <f t="shared" si="385"/>
        <v>54</v>
      </c>
      <c r="EU100" s="135" t="str">
        <f t="shared" si="386"/>
        <v>C</v>
      </c>
      <c r="EV100" s="135" t="str">
        <f>VLOOKUP(RANK(ET100,$ET$10:$ET$109),Sheet1!$A$381:$B$480,2,FALSE)</f>
        <v>51st</v>
      </c>
      <c r="EW100" s="137"/>
      <c r="EX100" s="137"/>
      <c r="EY100" s="137">
        <f t="shared" si="387"/>
        <v>0</v>
      </c>
      <c r="EZ100" s="137" t="str">
        <f t="shared" si="388"/>
        <v>0</v>
      </c>
      <c r="FA100" s="137">
        <f t="shared" si="389"/>
        <v>0</v>
      </c>
      <c r="FB100" s="137">
        <f t="shared" si="390"/>
        <v>0</v>
      </c>
      <c r="FC100" s="135" t="str">
        <f t="shared" si="391"/>
        <v>F</v>
      </c>
      <c r="FD100" s="135" t="str">
        <f>VLOOKUP(RANK(FB100,$FB$10:$FB$109),Sheet1!$A$381:$B$480,2,FALSE)</f>
        <v>1st</v>
      </c>
      <c r="FE100" s="137"/>
      <c r="FF100" s="137"/>
      <c r="FG100" s="137">
        <f t="shared" si="392"/>
        <v>0</v>
      </c>
      <c r="FH100" s="137" t="str">
        <f t="shared" si="393"/>
        <v>0</v>
      </c>
      <c r="FI100" s="137">
        <f t="shared" si="394"/>
        <v>0</v>
      </c>
      <c r="FJ100" s="137">
        <f t="shared" si="395"/>
        <v>0</v>
      </c>
      <c r="FK100" s="135" t="str">
        <f t="shared" si="396"/>
        <v>F</v>
      </c>
      <c r="FL100" s="135" t="str">
        <f>VLOOKUP(RANK(FJ100,$FJ$10:$FJ$109),Sheet1!$A$381:$B$480,2,FALSE)</f>
        <v>1st</v>
      </c>
      <c r="FM100" s="166">
        <v>27</v>
      </c>
      <c r="FN100" s="166">
        <v>27</v>
      </c>
      <c r="FO100" s="137">
        <f t="shared" si="397"/>
        <v>54</v>
      </c>
      <c r="FP100" s="137" t="str">
        <f t="shared" si="398"/>
        <v>60</v>
      </c>
      <c r="FQ100" s="137">
        <f t="shared" si="399"/>
        <v>114</v>
      </c>
      <c r="FR100" s="137">
        <f t="shared" si="400"/>
        <v>57</v>
      </c>
      <c r="FS100" s="135" t="str">
        <f t="shared" si="401"/>
        <v>C</v>
      </c>
      <c r="FT100" s="135" t="str">
        <f>VLOOKUP(RANK(FR100,$FR$10:$FR$109),Sheet1!$A$381:$B$480,2,FALSE)</f>
        <v>14th</v>
      </c>
      <c r="FU100" s="149">
        <v>0</v>
      </c>
      <c r="FV100" s="149">
        <v>20</v>
      </c>
      <c r="FW100" s="137">
        <f t="shared" si="402"/>
        <v>20</v>
      </c>
      <c r="FX100" s="137" t="str">
        <f t="shared" si="403"/>
        <v>40</v>
      </c>
      <c r="FY100" s="137">
        <f t="shared" si="512"/>
        <v>20</v>
      </c>
      <c r="FZ100" s="137">
        <f t="shared" si="404"/>
        <v>10</v>
      </c>
      <c r="GA100" s="135" t="str">
        <f t="shared" si="405"/>
        <v>F</v>
      </c>
      <c r="GB100" s="135" t="str">
        <f>VLOOKUP(RANK(FZ100,$FZ$10:$FZ$109),Sheet1!$A$381:$B$480,2,FALSE)</f>
        <v>90th</v>
      </c>
      <c r="GC100" s="166">
        <v>4</v>
      </c>
      <c r="GD100" s="166">
        <v>0</v>
      </c>
      <c r="GE100" s="137">
        <f t="shared" si="406"/>
        <v>4</v>
      </c>
      <c r="GF100" s="137" t="str">
        <f t="shared" si="407"/>
        <v>25</v>
      </c>
      <c r="GG100" s="135">
        <f t="shared" si="513"/>
        <v>29</v>
      </c>
      <c r="GH100" s="137">
        <f t="shared" si="514"/>
        <v>14.5</v>
      </c>
      <c r="GI100" s="135" t="str">
        <f t="shared" si="408"/>
        <v>F</v>
      </c>
      <c r="GJ100" s="135" t="str">
        <f>VLOOKUP(RANK(GH100,$GH$10:$GH$109),Sheet1!$A$381:$B$480,2,FALSE)</f>
        <v>98th</v>
      </c>
      <c r="GK100" s="166">
        <v>26</v>
      </c>
      <c r="GL100" s="166">
        <v>16</v>
      </c>
      <c r="GM100" s="137">
        <f t="shared" si="409"/>
        <v>42</v>
      </c>
      <c r="GN100" s="137" t="str">
        <f t="shared" si="410"/>
        <v>53</v>
      </c>
      <c r="GO100" s="135">
        <f t="shared" si="515"/>
        <v>95</v>
      </c>
      <c r="GP100" s="137">
        <f t="shared" si="411"/>
        <v>47.5</v>
      </c>
      <c r="GQ100" s="135" t="str">
        <f t="shared" si="412"/>
        <v>D</v>
      </c>
      <c r="GR100" s="135" t="str">
        <f>VLOOKUP(RANK(GP100,$GP$10:$GP$109),Sheet1!$A$381:$B$480,2,FALSE)</f>
        <v>61st</v>
      </c>
      <c r="GS100" s="166">
        <v>13</v>
      </c>
      <c r="GT100" s="166">
        <v>10</v>
      </c>
      <c r="GU100" s="137">
        <f t="shared" si="413"/>
        <v>23</v>
      </c>
      <c r="GV100" s="137" t="str">
        <f t="shared" si="414"/>
        <v>36</v>
      </c>
      <c r="GW100" s="137">
        <f t="shared" si="415"/>
        <v>59</v>
      </c>
      <c r="GX100" s="137">
        <f t="shared" si="416"/>
        <v>29.5</v>
      </c>
      <c r="GY100" s="135" t="str">
        <f t="shared" si="417"/>
        <v>F</v>
      </c>
      <c r="GZ100" s="135" t="str">
        <f>VLOOKUP(RANK(GX100,$GX$10:$GX$109),Sheet1!$A$381:$B$480,2,FALSE)</f>
        <v>94th</v>
      </c>
      <c r="HA100" s="166">
        <v>28</v>
      </c>
      <c r="HB100" s="166">
        <v>9</v>
      </c>
      <c r="HC100" s="137">
        <f t="shared" si="418"/>
        <v>37</v>
      </c>
      <c r="HD100" s="137" t="str">
        <f t="shared" si="419"/>
        <v>40</v>
      </c>
      <c r="HE100" s="137">
        <f t="shared" si="420"/>
        <v>77</v>
      </c>
      <c r="HF100" s="137">
        <f t="shared" si="421"/>
        <v>38.5</v>
      </c>
      <c r="HG100" s="135" t="str">
        <f t="shared" si="422"/>
        <v>E</v>
      </c>
      <c r="HH100" s="135" t="str">
        <f>VLOOKUP(RANK(HF100,$HF$10:$HF$109),Sheet1!$A$381:$B$480,2,FALSE)</f>
        <v>74th</v>
      </c>
      <c r="HI100" s="149">
        <v>26</v>
      </c>
      <c r="HJ100" s="149">
        <v>32</v>
      </c>
      <c r="HK100" s="137">
        <f t="shared" si="423"/>
        <v>58</v>
      </c>
      <c r="HL100" s="137" t="str">
        <f t="shared" si="424"/>
        <v>42</v>
      </c>
      <c r="HM100" s="137">
        <f t="shared" si="425"/>
        <v>100</v>
      </c>
      <c r="HN100" s="137">
        <f t="shared" si="426"/>
        <v>50</v>
      </c>
      <c r="HO100" s="135" t="str">
        <f t="shared" si="427"/>
        <v>C</v>
      </c>
      <c r="HP100" s="135" t="str">
        <f>VLOOKUP(RANK(HN100,$HN$10:$HN$109),Sheet1!$A$381:$B$480,2,FALSE)</f>
        <v>93rd</v>
      </c>
      <c r="HQ100" s="137"/>
      <c r="HR100" s="137"/>
      <c r="HS100" s="137">
        <f t="shared" si="428"/>
        <v>0</v>
      </c>
      <c r="HT100" s="137" t="str">
        <f t="shared" si="429"/>
        <v>0</v>
      </c>
      <c r="HU100" s="137">
        <f t="shared" si="430"/>
        <v>0</v>
      </c>
      <c r="HV100" s="137">
        <f t="shared" si="431"/>
        <v>0</v>
      </c>
      <c r="HW100" s="135" t="str">
        <f t="shared" si="432"/>
        <v>F</v>
      </c>
      <c r="HX100" s="135" t="str">
        <f>VLOOKUP(RANK(HV100,$HV$10:$HV$109),Sheet1!$A$381:$B$480,2,FALSE)</f>
        <v>1st</v>
      </c>
      <c r="HY100" s="137"/>
      <c r="HZ100" s="137"/>
      <c r="IA100" s="137">
        <f t="shared" si="433"/>
        <v>0</v>
      </c>
      <c r="IB100" s="137" t="str">
        <f t="shared" si="434"/>
        <v>0</v>
      </c>
      <c r="IC100" s="137">
        <f t="shared" si="435"/>
        <v>0</v>
      </c>
      <c r="ID100" s="137">
        <f t="shared" si="436"/>
        <v>0</v>
      </c>
      <c r="IE100" s="135" t="str">
        <f t="shared" si="437"/>
        <v>F</v>
      </c>
      <c r="IF100" s="135" t="str">
        <f>VLOOKUP(RANK(ID100,$ID$10:$ID$109),Sheet1!$A$381:$B$480,2,FALSE)</f>
        <v>1st</v>
      </c>
      <c r="IG100" s="135"/>
      <c r="IH100" s="135"/>
      <c r="II100" s="135">
        <f t="shared" si="516"/>
        <v>0</v>
      </c>
      <c r="IJ100" s="135" t="str">
        <f t="shared" si="517"/>
        <v>0</v>
      </c>
      <c r="IK100" s="135">
        <f t="shared" si="518"/>
        <v>0</v>
      </c>
      <c r="IL100" s="135">
        <f t="shared" si="519"/>
        <v>0</v>
      </c>
      <c r="IM100" s="135" t="str">
        <f t="shared" si="438"/>
        <v>F</v>
      </c>
      <c r="IN100" s="135" t="str">
        <f>VLOOKUP(RANK(IL100,$IL$10:$IL$109),Sheet1!$A$381:$B$480,2,FALSE)</f>
        <v>1st</v>
      </c>
      <c r="IO100" s="135">
        <f t="shared" si="520"/>
        <v>478.5</v>
      </c>
      <c r="IP100" s="177">
        <f t="shared" si="521"/>
        <v>28.147058823529399</v>
      </c>
      <c r="IQ100" s="135" t="str">
        <f>VLOOKUP(RANK(IP100,$IP$10:$IP$109),Sheet1!$A$381:$B$480,2,FALSE)</f>
        <v>90th</v>
      </c>
      <c r="IR100" s="178"/>
      <c r="IS100" s="137"/>
      <c r="IT100" s="137"/>
      <c r="IU100" s="137"/>
      <c r="IV100" s="137"/>
      <c r="IW100" s="181"/>
      <c r="IX100" s="184"/>
      <c r="IY100" s="186"/>
      <c r="IZ100" s="186">
        <f t="shared" si="439"/>
        <v>0</v>
      </c>
      <c r="JA100" s="186" t="str">
        <f t="shared" si="440"/>
        <v>79</v>
      </c>
      <c r="JB100" s="186" t="str">
        <f t="shared" si="441"/>
        <v>65</v>
      </c>
      <c r="JC100" s="186">
        <f t="shared" si="522"/>
        <v>144</v>
      </c>
      <c r="JD100" s="186">
        <f t="shared" si="523"/>
        <v>48</v>
      </c>
      <c r="JE100" s="135" t="str">
        <f t="shared" si="442"/>
        <v>D</v>
      </c>
      <c r="JF100" s="151" t="str">
        <f>VLOOKUP(RANK(JD100,$JD$10:$JD$109),Sheet1!$A$381:$B$480,2,FALSE)</f>
        <v>29th</v>
      </c>
      <c r="JG100" s="186"/>
      <c r="JH100" s="186"/>
      <c r="JI100" s="186">
        <f t="shared" si="443"/>
        <v>0</v>
      </c>
      <c r="JJ100" s="186" t="str">
        <f t="shared" si="444"/>
        <v>45</v>
      </c>
      <c r="JK100" s="186" t="str">
        <f t="shared" si="445"/>
        <v>0</v>
      </c>
      <c r="JL100" s="186">
        <f t="shared" si="524"/>
        <v>45</v>
      </c>
      <c r="JM100" s="186">
        <f t="shared" si="525"/>
        <v>15</v>
      </c>
      <c r="JN100" s="135" t="str">
        <f t="shared" si="446"/>
        <v>F</v>
      </c>
      <c r="JO100" s="151" t="str">
        <f>VLOOKUP(RANK(JM100,$JM$10:$JM$109),Sheet1!$A$381:$B$480,2,FALSE)</f>
        <v>98th</v>
      </c>
      <c r="JP100" s="186"/>
      <c r="JQ100" s="186"/>
      <c r="JR100" s="186">
        <f t="shared" si="447"/>
        <v>0</v>
      </c>
      <c r="JS100" s="186" t="str">
        <f t="shared" si="448"/>
        <v>43</v>
      </c>
      <c r="JT100" s="186" t="str">
        <f t="shared" si="449"/>
        <v>41</v>
      </c>
      <c r="JU100" s="186">
        <f t="shared" si="526"/>
        <v>84</v>
      </c>
      <c r="JV100" s="186">
        <f t="shared" si="527"/>
        <v>28</v>
      </c>
      <c r="JW100" s="135" t="str">
        <f t="shared" si="450"/>
        <v>F</v>
      </c>
      <c r="JX100" s="151" t="str">
        <f>VLOOKUP(RANK(JV100,$JV$10:$JV$109),Sheet1!$A$381:$B$480,2,FALSE)</f>
        <v>61st</v>
      </c>
      <c r="JY100" s="186"/>
      <c r="JZ100" s="186"/>
      <c r="KA100" s="186">
        <f t="shared" si="451"/>
        <v>0</v>
      </c>
      <c r="KB100" s="186" t="str">
        <f t="shared" si="452"/>
        <v>29</v>
      </c>
      <c r="KC100" s="186" t="str">
        <f t="shared" si="453"/>
        <v>53</v>
      </c>
      <c r="KD100" s="186">
        <f t="shared" si="528"/>
        <v>82</v>
      </c>
      <c r="KE100" s="186">
        <f t="shared" si="529"/>
        <v>27.3333333333333</v>
      </c>
      <c r="KF100" s="135" t="str">
        <f t="shared" si="454"/>
        <v>F</v>
      </c>
      <c r="KG100" s="151" t="str">
        <f>VLOOKUP(RANK(KE100,$KE$10:$KE$109),Sheet1!$A$381:$B$480,2,FALSE)</f>
        <v>82nd</v>
      </c>
      <c r="KH100" s="186"/>
      <c r="KI100" s="186"/>
      <c r="KJ100" s="186">
        <f t="shared" si="455"/>
        <v>0</v>
      </c>
      <c r="KK100" s="186" t="str">
        <f t="shared" si="456"/>
        <v>65</v>
      </c>
      <c r="KL100" s="186" t="str">
        <f t="shared" si="457"/>
        <v>43</v>
      </c>
      <c r="KM100" s="186">
        <f t="shared" si="530"/>
        <v>108</v>
      </c>
      <c r="KN100" s="186">
        <f t="shared" si="531"/>
        <v>36</v>
      </c>
      <c r="KO100" s="135" t="str">
        <f t="shared" si="458"/>
        <v>E</v>
      </c>
      <c r="KP100" s="151" t="str">
        <f>VLOOKUP(RANK(KN100,$KN$10:$KN$109),Sheet1!$A$381:$B$480,2,FALSE)</f>
        <v>51st</v>
      </c>
      <c r="KQ100" s="186"/>
      <c r="KR100" s="186"/>
      <c r="KS100" s="186">
        <f t="shared" si="459"/>
        <v>0</v>
      </c>
      <c r="KT100" s="186" t="str">
        <f t="shared" si="460"/>
        <v>0</v>
      </c>
      <c r="KU100" s="186" t="str">
        <f t="shared" si="461"/>
        <v>0</v>
      </c>
      <c r="KV100" s="186">
        <f t="shared" si="532"/>
        <v>0</v>
      </c>
      <c r="KW100" s="186">
        <f t="shared" si="533"/>
        <v>0</v>
      </c>
      <c r="KX100" s="135" t="str">
        <f t="shared" si="462"/>
        <v>F</v>
      </c>
      <c r="KY100" s="151" t="str">
        <f>VLOOKUP(RANK(KW100,$KW$10:$KW$109),Sheet1!$A$381:$B$480,2,FALSE)</f>
        <v>1st</v>
      </c>
      <c r="KZ100" s="186"/>
      <c r="LA100" s="186"/>
      <c r="LB100" s="186">
        <f t="shared" si="463"/>
        <v>0</v>
      </c>
      <c r="LC100" s="186" t="str">
        <f t="shared" si="464"/>
        <v>0</v>
      </c>
      <c r="LD100" s="186" t="str">
        <f t="shared" si="465"/>
        <v>0</v>
      </c>
      <c r="LE100" s="186">
        <f t="shared" si="534"/>
        <v>0</v>
      </c>
      <c r="LF100" s="186">
        <f t="shared" si="535"/>
        <v>0</v>
      </c>
      <c r="LG100" s="135" t="str">
        <f t="shared" si="466"/>
        <v>F</v>
      </c>
      <c r="LH100" s="151" t="str">
        <f>VLOOKUP(RANK(LF100,$LF$10:$LF$109),Sheet1!$A$381:$B$480,2,FALSE)</f>
        <v>1st</v>
      </c>
      <c r="LI100" s="186"/>
      <c r="LJ100" s="186"/>
      <c r="LK100" s="186">
        <f t="shared" si="467"/>
        <v>0</v>
      </c>
      <c r="LL100" s="186" t="str">
        <f t="shared" si="468"/>
        <v>60</v>
      </c>
      <c r="LM100" s="186" t="str">
        <f t="shared" si="469"/>
        <v>54</v>
      </c>
      <c r="LN100" s="186">
        <f t="shared" si="536"/>
        <v>114</v>
      </c>
      <c r="LO100" s="186">
        <f t="shared" si="537"/>
        <v>38</v>
      </c>
      <c r="LP100" s="135" t="str">
        <f t="shared" si="470"/>
        <v>E</v>
      </c>
      <c r="LQ100" s="151" t="str">
        <f>VLOOKUP(RANK(LO100,$LO$10:$LO$109),Sheet1!$A$381:$B$480,2,FALSE)</f>
        <v>14th</v>
      </c>
      <c r="LR100" s="186"/>
      <c r="LS100" s="186"/>
      <c r="LT100" s="186">
        <f t="shared" si="471"/>
        <v>0</v>
      </c>
      <c r="LU100" s="186" t="str">
        <f t="shared" si="472"/>
        <v>40</v>
      </c>
      <c r="LV100" s="186" t="str">
        <f t="shared" si="473"/>
        <v>20</v>
      </c>
      <c r="LW100" s="186">
        <f t="shared" si="538"/>
        <v>60</v>
      </c>
      <c r="LX100" s="186">
        <f t="shared" si="539"/>
        <v>20</v>
      </c>
      <c r="LY100" s="135" t="str">
        <f t="shared" si="474"/>
        <v>F</v>
      </c>
      <c r="LZ100" s="151" t="str">
        <f>VLOOKUP(RANK(LX100,$LX$10:$LX$109),Sheet1!$A$381:$B$480,2,FALSE)</f>
        <v>97th</v>
      </c>
      <c r="MA100" s="186"/>
      <c r="MB100" s="186"/>
      <c r="MC100" s="186">
        <f t="shared" si="475"/>
        <v>0</v>
      </c>
      <c r="MD100" s="186" t="str">
        <f t="shared" si="476"/>
        <v>25</v>
      </c>
      <c r="ME100" s="186" t="str">
        <f t="shared" si="477"/>
        <v>4</v>
      </c>
      <c r="MF100" s="183">
        <f t="shared" si="540"/>
        <v>29</v>
      </c>
      <c r="MG100" s="151">
        <f t="shared" si="541"/>
        <v>9.6666666666666696</v>
      </c>
      <c r="MH100" s="135" t="str">
        <f t="shared" si="478"/>
        <v>F</v>
      </c>
      <c r="MI100" s="151" t="str">
        <f>VLOOKUP(RANK(MG100,$MG$10:$MG$109),Sheet1!$A$381:$B$480,2,FALSE)</f>
        <v>98th</v>
      </c>
      <c r="MJ100" s="186"/>
      <c r="MK100" s="186"/>
      <c r="ML100" s="186">
        <f t="shared" si="479"/>
        <v>0</v>
      </c>
      <c r="MM100" s="186" t="str">
        <f t="shared" si="480"/>
        <v>53</v>
      </c>
      <c r="MN100" s="186" t="str">
        <f t="shared" si="481"/>
        <v>42</v>
      </c>
      <c r="MO100" s="186">
        <f t="shared" si="542"/>
        <v>95</v>
      </c>
      <c r="MP100" s="186">
        <f t="shared" si="543"/>
        <v>31.6666666666667</v>
      </c>
      <c r="MQ100" s="135" t="str">
        <f t="shared" si="482"/>
        <v>F</v>
      </c>
      <c r="MR100" s="151" t="str">
        <f>VLOOKUP(RANK(MP100,$MP$10:$MP$109),Sheet1!$A$381:$B$480,2,FALSE)</f>
        <v>61st</v>
      </c>
      <c r="MS100" s="186"/>
      <c r="MT100" s="186"/>
      <c r="MU100" s="186">
        <f t="shared" si="483"/>
        <v>0</v>
      </c>
      <c r="MV100" s="186" t="str">
        <f t="shared" si="484"/>
        <v>36</v>
      </c>
      <c r="MW100" s="186" t="str">
        <f t="shared" si="485"/>
        <v>23</v>
      </c>
      <c r="MX100" s="186">
        <f t="shared" si="544"/>
        <v>59</v>
      </c>
      <c r="MY100" s="186">
        <f t="shared" si="545"/>
        <v>19.6666666666667</v>
      </c>
      <c r="MZ100" s="135" t="str">
        <f t="shared" si="486"/>
        <v>F</v>
      </c>
      <c r="NA100" s="151" t="str">
        <f>VLOOKUP(RANK(MY100,$MY$10:$MY$109),Sheet1!$A$381:$B$480,2,FALSE)</f>
        <v>94th</v>
      </c>
      <c r="NB100" s="186"/>
      <c r="NC100" s="186"/>
      <c r="ND100" s="186">
        <f t="shared" si="487"/>
        <v>0</v>
      </c>
      <c r="NE100" s="186" t="str">
        <f t="shared" si="488"/>
        <v>40</v>
      </c>
      <c r="NF100" s="186" t="str">
        <f t="shared" si="489"/>
        <v>37</v>
      </c>
      <c r="NG100" s="186">
        <f t="shared" si="546"/>
        <v>77</v>
      </c>
      <c r="NH100" s="186">
        <f t="shared" si="547"/>
        <v>25.6666666666667</v>
      </c>
      <c r="NI100" s="135" t="str">
        <f t="shared" si="490"/>
        <v>F</v>
      </c>
      <c r="NJ100" s="151" t="str">
        <f>VLOOKUP(RANK(NH100,$NH$10:$NH$109),Sheet1!$A$381:$B$480,2,FALSE)</f>
        <v>74th</v>
      </c>
      <c r="NK100" s="186"/>
      <c r="NL100" s="186"/>
      <c r="NM100" s="186">
        <f t="shared" si="491"/>
        <v>0</v>
      </c>
      <c r="NN100" s="186" t="str">
        <f t="shared" si="492"/>
        <v>42</v>
      </c>
      <c r="NO100" s="186" t="str">
        <f t="shared" si="493"/>
        <v>58</v>
      </c>
      <c r="NP100" s="186">
        <f t="shared" si="548"/>
        <v>100</v>
      </c>
      <c r="NQ100" s="186">
        <f t="shared" si="494"/>
        <v>33.3333333333333</v>
      </c>
      <c r="NR100" s="135" t="str">
        <f t="shared" si="495"/>
        <v>F</v>
      </c>
      <c r="NS100" s="151" t="str">
        <f>VLOOKUP(RANK(NQ100,$NQ$10:$NQ$109),Sheet1!$A$381:$B$480,2,FALSE)</f>
        <v>93rd</v>
      </c>
      <c r="NT100" s="186"/>
      <c r="NU100" s="186"/>
      <c r="NV100" s="186">
        <f t="shared" si="496"/>
        <v>0</v>
      </c>
      <c r="NW100" s="186" t="str">
        <f t="shared" si="497"/>
        <v>0</v>
      </c>
      <c r="NX100" s="186" t="str">
        <f t="shared" si="498"/>
        <v>0</v>
      </c>
      <c r="NY100" s="186">
        <f t="shared" si="549"/>
        <v>0</v>
      </c>
      <c r="NZ100" s="186">
        <f t="shared" si="499"/>
        <v>0</v>
      </c>
      <c r="OA100" s="135" t="str">
        <f t="shared" si="500"/>
        <v>F</v>
      </c>
      <c r="OB100" s="151" t="str">
        <f>VLOOKUP(RANK(NZ100,$NZ$10:$NZ$109),Sheet1!$A$381:$B$480,2,FALSE)</f>
        <v>1st</v>
      </c>
      <c r="OC100" s="186"/>
      <c r="OD100" s="186"/>
      <c r="OE100" s="186">
        <f t="shared" si="501"/>
        <v>0</v>
      </c>
      <c r="OF100" s="186" t="str">
        <f t="shared" si="502"/>
        <v>0</v>
      </c>
      <c r="OG100" s="186" t="str">
        <f t="shared" si="503"/>
        <v>0</v>
      </c>
      <c r="OH100" s="186">
        <f t="shared" si="550"/>
        <v>0</v>
      </c>
      <c r="OI100" s="186">
        <f t="shared" si="504"/>
        <v>0</v>
      </c>
      <c r="OJ100" s="135" t="str">
        <f t="shared" si="505"/>
        <v>F</v>
      </c>
      <c r="OK100" s="151" t="str">
        <f>VLOOKUP(RANK(OI100,$OI$10:$OI$109),Sheet1!$A$381:$B$480,2,FALSE)</f>
        <v>1st</v>
      </c>
      <c r="OL100" s="151"/>
      <c r="OM100" s="151"/>
      <c r="ON100" s="151">
        <f t="shared" si="551"/>
        <v>0</v>
      </c>
      <c r="OO100" s="151" t="str">
        <f t="shared" si="552"/>
        <v>0</v>
      </c>
      <c r="OP100" s="151" t="str">
        <f t="shared" si="553"/>
        <v>0</v>
      </c>
      <c r="OQ100" s="151">
        <f t="shared" si="554"/>
        <v>0</v>
      </c>
      <c r="OR100" s="151">
        <f t="shared" si="555"/>
        <v>0</v>
      </c>
      <c r="OS100" s="135" t="str">
        <f t="shared" si="506"/>
        <v>F</v>
      </c>
      <c r="OT100" s="151" t="str">
        <f>VLOOKUP(RANK(OR100,$OI$10:$OI$109),Sheet1!$A$381:$B$480,2,FALSE)</f>
        <v>1st</v>
      </c>
      <c r="OU100" s="151">
        <f t="shared" si="556"/>
        <v>332.33333333333297</v>
      </c>
      <c r="OV100" s="151">
        <f t="shared" si="557"/>
        <v>19.5490196078431</v>
      </c>
      <c r="OW100" s="151" t="str">
        <f>VLOOKUP(RANK(OV100,$OV$10:$OV$109),Sheet1!$A$381:$B$480,2,FALSE)</f>
        <v>90th</v>
      </c>
      <c r="OX100" s="151"/>
      <c r="OY100" s="186"/>
      <c r="OZ100" s="186"/>
      <c r="PA100" s="186"/>
      <c r="PB100" s="186"/>
    </row>
    <row r="101" spans="1:418" s="118" customFormat="1" ht="18.75">
      <c r="A101" s="131">
        <v>92</v>
      </c>
      <c r="B101" s="132" t="s">
        <v>191</v>
      </c>
      <c r="C101" s="133" t="s">
        <v>97</v>
      </c>
      <c r="D101" s="134">
        <v>24</v>
      </c>
      <c r="E101" s="134">
        <v>31</v>
      </c>
      <c r="F101" s="137">
        <f t="shared" si="315"/>
        <v>55</v>
      </c>
      <c r="G101" s="137">
        <f t="shared" si="316"/>
        <v>55</v>
      </c>
      <c r="H101" s="135" t="str">
        <f t="shared" si="507"/>
        <v>C</v>
      </c>
      <c r="I101" s="135" t="str">
        <f>VLOOKUP(RANK(G101,$G$10:$G$109),Sheet1!$A$381:$B$480,2,FALSE)</f>
        <v>89th</v>
      </c>
      <c r="J101" s="134">
        <v>28</v>
      </c>
      <c r="K101" s="134">
        <v>13</v>
      </c>
      <c r="L101" s="137">
        <f t="shared" si="317"/>
        <v>41</v>
      </c>
      <c r="M101" s="137">
        <f t="shared" si="318"/>
        <v>41</v>
      </c>
      <c r="N101" s="135" t="str">
        <f t="shared" si="319"/>
        <v>D</v>
      </c>
      <c r="O101" s="141" t="str">
        <f>VLOOKUP(RANK(M101,$M$10:$M$109),Sheet1!$A$381:$B$480,2,FALSE)</f>
        <v>84th</v>
      </c>
      <c r="P101" s="144">
        <v>32</v>
      </c>
      <c r="Q101" s="144">
        <v>20</v>
      </c>
      <c r="R101" s="147">
        <f t="shared" si="320"/>
        <v>52</v>
      </c>
      <c r="S101" s="137">
        <f t="shared" si="321"/>
        <v>52</v>
      </c>
      <c r="T101" s="135" t="str">
        <f t="shared" si="322"/>
        <v>C</v>
      </c>
      <c r="U101" s="135" t="str">
        <f>VLOOKUP(RANK(S101,$S$10:$S$109),Sheet1!$A$381:$B$480,2,FALSE)</f>
        <v>25th</v>
      </c>
      <c r="V101" s="134">
        <v>18</v>
      </c>
      <c r="W101" s="134">
        <v>19</v>
      </c>
      <c r="X101" s="137">
        <f t="shared" si="559"/>
        <v>37</v>
      </c>
      <c r="Y101" s="137">
        <f t="shared" si="558"/>
        <v>37</v>
      </c>
      <c r="Z101" s="135" t="str">
        <f t="shared" si="323"/>
        <v>E</v>
      </c>
      <c r="AA101" s="135" t="str">
        <f>VLOOKUP(RANK(Y101,$Y$10:$Y$109),Sheet1!$A$381:$B$480,2,FALSE)</f>
        <v>91st</v>
      </c>
      <c r="AB101" s="134">
        <v>29</v>
      </c>
      <c r="AC101" s="134">
        <v>18</v>
      </c>
      <c r="AD101" s="137">
        <f t="shared" si="324"/>
        <v>47</v>
      </c>
      <c r="AE101" s="137">
        <f t="shared" si="325"/>
        <v>47</v>
      </c>
      <c r="AF101" s="135" t="str">
        <f t="shared" si="326"/>
        <v>D</v>
      </c>
      <c r="AG101" s="135" t="str">
        <f>VLOOKUP(RANK(AE101,$AE$10:$AE$109),Sheet1!$A$381:$B$480,2,FALSE)</f>
        <v>71st</v>
      </c>
      <c r="AH101" s="137"/>
      <c r="AI101" s="137"/>
      <c r="AJ101" s="137">
        <f t="shared" si="327"/>
        <v>0</v>
      </c>
      <c r="AK101" s="137">
        <f t="shared" si="328"/>
        <v>0</v>
      </c>
      <c r="AL101" s="135" t="str">
        <f t="shared" si="329"/>
        <v>F</v>
      </c>
      <c r="AM101" s="135" t="str">
        <f>VLOOKUP(RANK(AK101,$AK$10:$AK$109),Sheet1!$A$381:$B$480,2,FALSE)</f>
        <v>1st</v>
      </c>
      <c r="AN101" s="134"/>
      <c r="AO101" s="134"/>
      <c r="AP101" s="137">
        <f t="shared" si="330"/>
        <v>0</v>
      </c>
      <c r="AQ101" s="137">
        <f t="shared" si="331"/>
        <v>0</v>
      </c>
      <c r="AR101" s="135" t="str">
        <f t="shared" si="332"/>
        <v>F</v>
      </c>
      <c r="AS101" s="135" t="str">
        <f>VLOOKUP(RANK(AQ101,$AQ$10:$AQ$109),Sheet1!$A$381:$B$480,2,FALSE)</f>
        <v>1st</v>
      </c>
      <c r="AT101" s="144">
        <v>24</v>
      </c>
      <c r="AU101" s="144">
        <v>28</v>
      </c>
      <c r="AV101" s="137">
        <f t="shared" si="333"/>
        <v>52</v>
      </c>
      <c r="AW101" s="137">
        <f t="shared" si="334"/>
        <v>52</v>
      </c>
      <c r="AX101" s="135" t="str">
        <f t="shared" si="335"/>
        <v>C</v>
      </c>
      <c r="AY101" s="141" t="str">
        <f>VLOOKUP(RANK(AW101,$AW$10:$AW$109),Sheet1!$A$381:$B$480,2,FALSE)</f>
        <v>34th</v>
      </c>
      <c r="AZ101" s="144">
        <v>32</v>
      </c>
      <c r="BA101" s="144">
        <v>16</v>
      </c>
      <c r="BB101" s="147">
        <f t="shared" si="336"/>
        <v>48</v>
      </c>
      <c r="BC101" s="137">
        <f t="shared" si="337"/>
        <v>48</v>
      </c>
      <c r="BD101" s="135" t="str">
        <f t="shared" si="338"/>
        <v>D</v>
      </c>
      <c r="BE101" s="135" t="str">
        <f>VLOOKUP(RANK(BC101,$BC$10:$BC$109),Sheet1!$A$381:$B$480,2,FALSE)</f>
        <v>63rd</v>
      </c>
      <c r="BF101" s="144">
        <v>11</v>
      </c>
      <c r="BG101" s="144">
        <v>20</v>
      </c>
      <c r="BH101" s="137">
        <f t="shared" si="339"/>
        <v>31</v>
      </c>
      <c r="BI101" s="137">
        <f t="shared" si="340"/>
        <v>31</v>
      </c>
      <c r="BJ101" s="135" t="str">
        <f t="shared" si="341"/>
        <v>F</v>
      </c>
      <c r="BK101" s="141" t="str">
        <f>VLOOKUP(RANK(BI101,$BI$10:$BI$109),Sheet1!$A$381:$B$480,2,FALSE)</f>
        <v>62nd</v>
      </c>
      <c r="BL101" s="149">
        <v>24</v>
      </c>
      <c r="BM101" s="149">
        <v>28</v>
      </c>
      <c r="BN101" s="147">
        <f t="shared" si="342"/>
        <v>52</v>
      </c>
      <c r="BO101" s="137">
        <f t="shared" si="343"/>
        <v>52</v>
      </c>
      <c r="BP101" s="135" t="str">
        <f t="shared" si="344"/>
        <v>C</v>
      </c>
      <c r="BQ101" s="141" t="str">
        <f>VLOOKUP(RANK(BO101,$BO$10:$BO$109),Sheet1!$A$381:$B$480,2,FALSE)</f>
        <v>56th</v>
      </c>
      <c r="BR101" s="149">
        <v>29</v>
      </c>
      <c r="BS101" s="149">
        <v>8</v>
      </c>
      <c r="BT101" s="147">
        <f t="shared" si="345"/>
        <v>37</v>
      </c>
      <c r="BU101" s="137">
        <f t="shared" si="346"/>
        <v>37</v>
      </c>
      <c r="BV101" s="135" t="str">
        <f t="shared" si="347"/>
        <v>E</v>
      </c>
      <c r="BW101" s="135" t="str">
        <f>VLOOKUP(RANK(BU101,$BU$10:$BU$109),Sheet1!$A$381:$B$480,2,FALSE)</f>
        <v>71st</v>
      </c>
      <c r="BX101" s="149">
        <v>28</v>
      </c>
      <c r="BY101" s="149">
        <v>10</v>
      </c>
      <c r="BZ101" s="137">
        <f t="shared" si="348"/>
        <v>38</v>
      </c>
      <c r="CA101" s="137">
        <f t="shared" si="349"/>
        <v>38</v>
      </c>
      <c r="CB101" s="135" t="str">
        <f t="shared" si="350"/>
        <v>E</v>
      </c>
      <c r="CC101" s="135" t="str">
        <f>VLOOKUP(RANK(CA101,$CA$10:$CA$109),Sheet1!$A$381:$B$480,2,FALSE)</f>
        <v>61st</v>
      </c>
      <c r="CD101" s="149">
        <v>25</v>
      </c>
      <c r="CE101" s="149">
        <v>35</v>
      </c>
      <c r="CF101" s="137">
        <f t="shared" si="351"/>
        <v>60</v>
      </c>
      <c r="CG101" s="137">
        <f t="shared" si="352"/>
        <v>60</v>
      </c>
      <c r="CH101" s="135" t="str">
        <f t="shared" si="353"/>
        <v>B</v>
      </c>
      <c r="CI101" s="135" t="str">
        <f>VLOOKUP(RANK(CG101,$CG$10:$CG$109),Sheet1!$A$381:$B$480,2,FALSE)</f>
        <v>32nd</v>
      </c>
      <c r="CJ101" s="137"/>
      <c r="CK101" s="137"/>
      <c r="CL101" s="137">
        <f t="shared" si="354"/>
        <v>0</v>
      </c>
      <c r="CM101" s="137">
        <f t="shared" si="355"/>
        <v>0</v>
      </c>
      <c r="CN101" s="135" t="str">
        <f t="shared" si="356"/>
        <v>F</v>
      </c>
      <c r="CO101" s="135" t="str">
        <f>VLOOKUP(RANK(CM101,$CM$10:$CM$109),Sheet1!$A$381:$B$480,2,FALSE)</f>
        <v>1st</v>
      </c>
      <c r="CP101" s="137"/>
      <c r="CQ101" s="137"/>
      <c r="CR101" s="137">
        <f t="shared" si="357"/>
        <v>0</v>
      </c>
      <c r="CS101" s="137">
        <f t="shared" si="358"/>
        <v>0</v>
      </c>
      <c r="CT101" s="135" t="str">
        <f t="shared" si="359"/>
        <v>F</v>
      </c>
      <c r="CU101" s="135" t="str">
        <f>VLOOKUP(RANK(CS101,$CS$10:$CS$109),Sheet1!$A$381:$B$480,2,FALSE)</f>
        <v>1st</v>
      </c>
      <c r="CV101" s="151"/>
      <c r="CW101" s="135"/>
      <c r="CX101" s="151">
        <f t="shared" si="508"/>
        <v>0</v>
      </c>
      <c r="CY101" s="151">
        <f t="shared" si="509"/>
        <v>0</v>
      </c>
      <c r="CZ101" s="135" t="str">
        <f t="shared" si="360"/>
        <v>F</v>
      </c>
      <c r="DA101" s="135" t="str">
        <f>VLOOKUP(RANK(CY101,$CY$10:$CY$109),Sheet1!$A$381:$B$480,2,FALSE)</f>
        <v>1st</v>
      </c>
      <c r="DB101" s="135"/>
      <c r="DC101" s="151">
        <f t="shared" si="510"/>
        <v>550</v>
      </c>
      <c r="DD101" s="151">
        <f t="shared" si="511"/>
        <v>32.352941176470601</v>
      </c>
      <c r="DE101" s="135" t="str">
        <f>VLOOKUP(RANK(DD101,$DD$10:$DD$109),Sheet1!$A$381:$B$480,2,FALSE)</f>
        <v>78th</v>
      </c>
      <c r="DF101" s="137"/>
      <c r="DG101" s="160">
        <f t="shared" si="361"/>
        <v>582.35294117647095</v>
      </c>
      <c r="DH101" s="119"/>
      <c r="DI101" s="162">
        <v>3</v>
      </c>
      <c r="DJ101" s="162">
        <v>38</v>
      </c>
      <c r="DK101" s="137">
        <f t="shared" si="362"/>
        <v>41</v>
      </c>
      <c r="DL101" s="137" t="str">
        <f t="shared" si="363"/>
        <v>55</v>
      </c>
      <c r="DM101" s="137">
        <f t="shared" si="364"/>
        <v>96</v>
      </c>
      <c r="DN101" s="137">
        <f t="shared" si="365"/>
        <v>48</v>
      </c>
      <c r="DO101" s="135" t="str">
        <f t="shared" si="366"/>
        <v>D</v>
      </c>
      <c r="DP101" s="135" t="str">
        <f>VLOOKUP(RANK(DN101,$DN$10:$DN$109),Sheet1!$A$381:$B$480,2,FALSE)</f>
        <v>90th</v>
      </c>
      <c r="DQ101" s="166">
        <v>25</v>
      </c>
      <c r="DR101" s="166">
        <v>29</v>
      </c>
      <c r="DS101" s="137">
        <f t="shared" si="367"/>
        <v>54</v>
      </c>
      <c r="DT101" s="137" t="str">
        <f t="shared" si="368"/>
        <v>41</v>
      </c>
      <c r="DU101" s="137">
        <f t="shared" si="369"/>
        <v>95</v>
      </c>
      <c r="DV101" s="137">
        <f t="shared" si="370"/>
        <v>47.5</v>
      </c>
      <c r="DW101" s="135" t="str">
        <f t="shared" si="371"/>
        <v>D</v>
      </c>
      <c r="DX101" s="135" t="str">
        <f>VLOOKUP(RANK(DV101,$DV$10:$DV$109),Sheet1!$A$381:$B$480,2,FALSE)</f>
        <v>61st</v>
      </c>
      <c r="DY101" s="168">
        <v>28</v>
      </c>
      <c r="DZ101" s="168">
        <v>19</v>
      </c>
      <c r="EA101" s="137">
        <f t="shared" si="372"/>
        <v>47</v>
      </c>
      <c r="EB101" s="137" t="str">
        <f t="shared" si="373"/>
        <v>52</v>
      </c>
      <c r="EC101" s="137">
        <f t="shared" si="374"/>
        <v>99</v>
      </c>
      <c r="ED101" s="137">
        <f t="shared" si="375"/>
        <v>49.5</v>
      </c>
      <c r="EE101" s="135" t="str">
        <f t="shared" si="376"/>
        <v>D</v>
      </c>
      <c r="EF101" s="135" t="str">
        <f>VLOOKUP(RANK(ED101,$ED$10:$ED$109),Sheet1!$A$381:$B$480,2,FALSE)</f>
        <v>38th</v>
      </c>
      <c r="EG101" s="162">
        <v>6</v>
      </c>
      <c r="EH101" s="162">
        <v>24</v>
      </c>
      <c r="EI101" s="137">
        <f t="shared" si="377"/>
        <v>30</v>
      </c>
      <c r="EJ101" s="137" t="str">
        <f t="shared" si="378"/>
        <v>37</v>
      </c>
      <c r="EK101" s="137">
        <f t="shared" si="379"/>
        <v>67</v>
      </c>
      <c r="EL101" s="137">
        <f t="shared" si="380"/>
        <v>33.5</v>
      </c>
      <c r="EM101" s="135" t="str">
        <f t="shared" si="381"/>
        <v>F</v>
      </c>
      <c r="EN101" s="135" t="str">
        <f>VLOOKUP(RANK(EL101,$EL$10:$EL$109),Sheet1!$A$381:$B$480,2,FALSE)</f>
        <v>95th</v>
      </c>
      <c r="EO101" s="162">
        <v>26</v>
      </c>
      <c r="EP101" s="162">
        <v>14</v>
      </c>
      <c r="EQ101" s="137">
        <f t="shared" si="382"/>
        <v>40</v>
      </c>
      <c r="ER101" s="137" t="str">
        <f t="shared" si="383"/>
        <v>47</v>
      </c>
      <c r="ES101" s="137">
        <f t="shared" si="384"/>
        <v>87</v>
      </c>
      <c r="ET101" s="137">
        <f t="shared" si="385"/>
        <v>43.5</v>
      </c>
      <c r="EU101" s="135" t="str">
        <f t="shared" si="386"/>
        <v>D</v>
      </c>
      <c r="EV101" s="135" t="str">
        <f>VLOOKUP(RANK(ET101,$ET$10:$ET$109),Sheet1!$A$381:$B$480,2,FALSE)</f>
        <v>71st</v>
      </c>
      <c r="EW101" s="137"/>
      <c r="EX101" s="137"/>
      <c r="EY101" s="137">
        <f t="shared" si="387"/>
        <v>0</v>
      </c>
      <c r="EZ101" s="137" t="str">
        <f t="shared" si="388"/>
        <v>0</v>
      </c>
      <c r="FA101" s="137">
        <f t="shared" si="389"/>
        <v>0</v>
      </c>
      <c r="FB101" s="137">
        <f t="shared" si="390"/>
        <v>0</v>
      </c>
      <c r="FC101" s="135" t="str">
        <f t="shared" si="391"/>
        <v>F</v>
      </c>
      <c r="FD101" s="135" t="str">
        <f>VLOOKUP(RANK(FB101,$FB$10:$FB$109),Sheet1!$A$381:$B$480,2,FALSE)</f>
        <v>1st</v>
      </c>
      <c r="FE101" s="137"/>
      <c r="FF101" s="137"/>
      <c r="FG101" s="137">
        <f t="shared" si="392"/>
        <v>0</v>
      </c>
      <c r="FH101" s="137" t="str">
        <f t="shared" si="393"/>
        <v>0</v>
      </c>
      <c r="FI101" s="137">
        <f t="shared" si="394"/>
        <v>0</v>
      </c>
      <c r="FJ101" s="137">
        <f t="shared" si="395"/>
        <v>0</v>
      </c>
      <c r="FK101" s="135" t="str">
        <f t="shared" si="396"/>
        <v>F</v>
      </c>
      <c r="FL101" s="135" t="str">
        <f>VLOOKUP(RANK(FJ101,$FJ$10:$FJ$109),Sheet1!$A$381:$B$480,2,FALSE)</f>
        <v>1st</v>
      </c>
      <c r="FM101" s="166">
        <v>28</v>
      </c>
      <c r="FN101" s="166">
        <v>22</v>
      </c>
      <c r="FO101" s="137">
        <f t="shared" si="397"/>
        <v>50</v>
      </c>
      <c r="FP101" s="137" t="str">
        <f t="shared" si="398"/>
        <v>52</v>
      </c>
      <c r="FQ101" s="137">
        <f t="shared" si="399"/>
        <v>102</v>
      </c>
      <c r="FR101" s="137">
        <f t="shared" si="400"/>
        <v>51</v>
      </c>
      <c r="FS101" s="135" t="str">
        <f t="shared" si="401"/>
        <v>C</v>
      </c>
      <c r="FT101" s="135" t="str">
        <f>VLOOKUP(RANK(FR101,$FR$10:$FR$109),Sheet1!$A$381:$B$480,2,FALSE)</f>
        <v>56th</v>
      </c>
      <c r="FU101" s="149">
        <v>25</v>
      </c>
      <c r="FV101" s="149">
        <v>25</v>
      </c>
      <c r="FW101" s="137">
        <f t="shared" si="402"/>
        <v>50</v>
      </c>
      <c r="FX101" s="137" t="str">
        <f t="shared" si="403"/>
        <v>48</v>
      </c>
      <c r="FY101" s="137">
        <f t="shared" si="512"/>
        <v>50</v>
      </c>
      <c r="FZ101" s="137">
        <f t="shared" si="404"/>
        <v>25</v>
      </c>
      <c r="GA101" s="135" t="str">
        <f t="shared" si="405"/>
        <v>F</v>
      </c>
      <c r="GB101" s="135" t="str">
        <f>VLOOKUP(RANK(FZ101,$FZ$10:$FZ$109),Sheet1!$A$381:$B$480,2,FALSE)</f>
        <v>53rd</v>
      </c>
      <c r="GC101" s="166">
        <v>9</v>
      </c>
      <c r="GD101" s="166">
        <v>25</v>
      </c>
      <c r="GE101" s="137">
        <f t="shared" si="406"/>
        <v>34</v>
      </c>
      <c r="GF101" s="137" t="str">
        <f t="shared" si="407"/>
        <v>31</v>
      </c>
      <c r="GG101" s="135">
        <f t="shared" si="513"/>
        <v>65</v>
      </c>
      <c r="GH101" s="137">
        <f t="shared" si="514"/>
        <v>32.5</v>
      </c>
      <c r="GI101" s="135" t="str">
        <f t="shared" si="408"/>
        <v>F</v>
      </c>
      <c r="GJ101" s="135" t="str">
        <f>VLOOKUP(RANK(GH101,$GH$10:$GH$109),Sheet1!$A$381:$B$480,2,FALSE)</f>
        <v>69th</v>
      </c>
      <c r="GK101" s="166">
        <v>28</v>
      </c>
      <c r="GL101" s="166">
        <v>25</v>
      </c>
      <c r="GM101" s="137">
        <f t="shared" si="409"/>
        <v>53</v>
      </c>
      <c r="GN101" s="137" t="str">
        <f t="shared" si="410"/>
        <v>52</v>
      </c>
      <c r="GO101" s="135">
        <f t="shared" si="515"/>
        <v>105</v>
      </c>
      <c r="GP101" s="137">
        <f t="shared" si="411"/>
        <v>52.5</v>
      </c>
      <c r="GQ101" s="135" t="str">
        <f t="shared" si="412"/>
        <v>C</v>
      </c>
      <c r="GR101" s="135" t="str">
        <f>VLOOKUP(RANK(GP101,$GP$10:$GP$109),Sheet1!$A$381:$B$480,2,FALSE)</f>
        <v>7th</v>
      </c>
      <c r="GS101" s="166">
        <v>13</v>
      </c>
      <c r="GT101" s="166">
        <v>24</v>
      </c>
      <c r="GU101" s="137">
        <f t="shared" si="413"/>
        <v>37</v>
      </c>
      <c r="GV101" s="137" t="str">
        <f t="shared" si="414"/>
        <v>37</v>
      </c>
      <c r="GW101" s="137">
        <f t="shared" si="415"/>
        <v>74</v>
      </c>
      <c r="GX101" s="137">
        <f t="shared" si="416"/>
        <v>37</v>
      </c>
      <c r="GY101" s="135" t="str">
        <f t="shared" si="417"/>
        <v>E</v>
      </c>
      <c r="GZ101" s="135" t="str">
        <f>VLOOKUP(RANK(GX101,$GX$10:$GX$109),Sheet1!$A$381:$B$480,2,FALSE)</f>
        <v>80th</v>
      </c>
      <c r="HA101" s="166">
        <v>29</v>
      </c>
      <c r="HB101" s="166">
        <v>6</v>
      </c>
      <c r="HC101" s="137">
        <f t="shared" si="418"/>
        <v>35</v>
      </c>
      <c r="HD101" s="137" t="str">
        <f t="shared" si="419"/>
        <v>38</v>
      </c>
      <c r="HE101" s="137">
        <f t="shared" si="420"/>
        <v>73</v>
      </c>
      <c r="HF101" s="137">
        <f t="shared" si="421"/>
        <v>36.5</v>
      </c>
      <c r="HG101" s="135" t="str">
        <f t="shared" si="422"/>
        <v>E</v>
      </c>
      <c r="HH101" s="135" t="str">
        <f>VLOOKUP(RANK(HF101,$HF$10:$HF$109),Sheet1!$A$381:$B$480,2,FALSE)</f>
        <v>92nd</v>
      </c>
      <c r="HI101" s="149">
        <v>27</v>
      </c>
      <c r="HJ101" s="149">
        <v>38</v>
      </c>
      <c r="HK101" s="137">
        <f t="shared" si="423"/>
        <v>65</v>
      </c>
      <c r="HL101" s="137" t="str">
        <f t="shared" si="424"/>
        <v>60</v>
      </c>
      <c r="HM101" s="137">
        <f t="shared" si="425"/>
        <v>125</v>
      </c>
      <c r="HN101" s="137">
        <f t="shared" si="426"/>
        <v>62.5</v>
      </c>
      <c r="HO101" s="135" t="str">
        <f t="shared" si="427"/>
        <v>B</v>
      </c>
      <c r="HP101" s="135" t="str">
        <f>VLOOKUP(RANK(HN101,$HN$10:$HN$109),Sheet1!$A$381:$B$480,2,FALSE)</f>
        <v>58th</v>
      </c>
      <c r="HQ101" s="137"/>
      <c r="HR101" s="137"/>
      <c r="HS101" s="137">
        <f t="shared" si="428"/>
        <v>0</v>
      </c>
      <c r="HT101" s="137" t="str">
        <f t="shared" si="429"/>
        <v>0</v>
      </c>
      <c r="HU101" s="137">
        <f t="shared" si="430"/>
        <v>0</v>
      </c>
      <c r="HV101" s="137">
        <f t="shared" si="431"/>
        <v>0</v>
      </c>
      <c r="HW101" s="135" t="str">
        <f t="shared" si="432"/>
        <v>F</v>
      </c>
      <c r="HX101" s="135" t="str">
        <f>VLOOKUP(RANK(HV101,$HV$10:$HV$109),Sheet1!$A$381:$B$480,2,FALSE)</f>
        <v>1st</v>
      </c>
      <c r="HY101" s="137"/>
      <c r="HZ101" s="137"/>
      <c r="IA101" s="137">
        <f t="shared" si="433"/>
        <v>0</v>
      </c>
      <c r="IB101" s="137" t="str">
        <f t="shared" si="434"/>
        <v>0</v>
      </c>
      <c r="IC101" s="137">
        <f t="shared" si="435"/>
        <v>0</v>
      </c>
      <c r="ID101" s="137">
        <f t="shared" si="436"/>
        <v>0</v>
      </c>
      <c r="IE101" s="135" t="str">
        <f t="shared" si="437"/>
        <v>F</v>
      </c>
      <c r="IF101" s="135" t="str">
        <f>VLOOKUP(RANK(ID101,$ID$10:$ID$109),Sheet1!$A$381:$B$480,2,FALSE)</f>
        <v>1st</v>
      </c>
      <c r="IG101" s="135"/>
      <c r="IH101" s="135"/>
      <c r="II101" s="135">
        <f t="shared" si="516"/>
        <v>0</v>
      </c>
      <c r="IJ101" s="135" t="str">
        <f t="shared" si="517"/>
        <v>0</v>
      </c>
      <c r="IK101" s="135">
        <f t="shared" si="518"/>
        <v>0</v>
      </c>
      <c r="IL101" s="135">
        <f t="shared" si="519"/>
        <v>0</v>
      </c>
      <c r="IM101" s="135" t="str">
        <f t="shared" si="438"/>
        <v>F</v>
      </c>
      <c r="IN101" s="135" t="str">
        <f>VLOOKUP(RANK(IL101,$IL$10:$IL$109),Sheet1!$A$381:$B$480,2,FALSE)</f>
        <v>1st</v>
      </c>
      <c r="IO101" s="135">
        <f t="shared" si="520"/>
        <v>519</v>
      </c>
      <c r="IP101" s="177">
        <f t="shared" si="521"/>
        <v>30.529411764705898</v>
      </c>
      <c r="IQ101" s="135" t="str">
        <f>VLOOKUP(RANK(IP101,$IP$10:$IP$109),Sheet1!$A$381:$B$480,2,FALSE)</f>
        <v>79th</v>
      </c>
      <c r="IR101" s="178"/>
      <c r="IS101" s="137"/>
      <c r="IT101" s="137"/>
      <c r="IU101" s="137"/>
      <c r="IV101" s="137"/>
      <c r="IW101" s="181"/>
      <c r="IX101" s="184"/>
      <c r="IY101" s="186"/>
      <c r="IZ101" s="186">
        <f t="shared" si="439"/>
        <v>0</v>
      </c>
      <c r="JA101" s="186" t="str">
        <f t="shared" si="440"/>
        <v>55</v>
      </c>
      <c r="JB101" s="186" t="str">
        <f t="shared" si="441"/>
        <v>41</v>
      </c>
      <c r="JC101" s="186">
        <f t="shared" si="522"/>
        <v>96</v>
      </c>
      <c r="JD101" s="186">
        <f t="shared" si="523"/>
        <v>32</v>
      </c>
      <c r="JE101" s="135" t="str">
        <f t="shared" si="442"/>
        <v>F</v>
      </c>
      <c r="JF101" s="151" t="str">
        <f>VLOOKUP(RANK(JD101,$JD$10:$JD$109),Sheet1!$A$381:$B$480,2,FALSE)</f>
        <v>90th</v>
      </c>
      <c r="JG101" s="186"/>
      <c r="JH101" s="186"/>
      <c r="JI101" s="186">
        <f t="shared" si="443"/>
        <v>0</v>
      </c>
      <c r="JJ101" s="186" t="str">
        <f t="shared" si="444"/>
        <v>41</v>
      </c>
      <c r="JK101" s="186" t="str">
        <f t="shared" si="445"/>
        <v>54</v>
      </c>
      <c r="JL101" s="186">
        <f t="shared" si="524"/>
        <v>95</v>
      </c>
      <c r="JM101" s="186">
        <f t="shared" si="525"/>
        <v>31.6666666666667</v>
      </c>
      <c r="JN101" s="135" t="str">
        <f t="shared" si="446"/>
        <v>F</v>
      </c>
      <c r="JO101" s="151" t="str">
        <f>VLOOKUP(RANK(JM101,$JM$10:$JM$109),Sheet1!$A$381:$B$480,2,FALSE)</f>
        <v>61st</v>
      </c>
      <c r="JP101" s="186"/>
      <c r="JQ101" s="186"/>
      <c r="JR101" s="186">
        <f t="shared" si="447"/>
        <v>0</v>
      </c>
      <c r="JS101" s="186" t="str">
        <f t="shared" si="448"/>
        <v>52</v>
      </c>
      <c r="JT101" s="186" t="str">
        <f t="shared" si="449"/>
        <v>47</v>
      </c>
      <c r="JU101" s="186">
        <f t="shared" si="526"/>
        <v>99</v>
      </c>
      <c r="JV101" s="186">
        <f t="shared" si="527"/>
        <v>33</v>
      </c>
      <c r="JW101" s="135" t="str">
        <f t="shared" si="450"/>
        <v>F</v>
      </c>
      <c r="JX101" s="151" t="str">
        <f>VLOOKUP(RANK(JV101,$JV$10:$JV$109),Sheet1!$A$381:$B$480,2,FALSE)</f>
        <v>38th</v>
      </c>
      <c r="JY101" s="186"/>
      <c r="JZ101" s="186"/>
      <c r="KA101" s="186">
        <f t="shared" si="451"/>
        <v>0</v>
      </c>
      <c r="KB101" s="186" t="str">
        <f t="shared" si="452"/>
        <v>37</v>
      </c>
      <c r="KC101" s="186" t="str">
        <f t="shared" si="453"/>
        <v>30</v>
      </c>
      <c r="KD101" s="186">
        <f t="shared" si="528"/>
        <v>67</v>
      </c>
      <c r="KE101" s="186">
        <f t="shared" si="529"/>
        <v>22.3333333333333</v>
      </c>
      <c r="KF101" s="135" t="str">
        <f t="shared" si="454"/>
        <v>F</v>
      </c>
      <c r="KG101" s="151" t="str">
        <f>VLOOKUP(RANK(KE101,$KE$10:$KE$109),Sheet1!$A$381:$B$480,2,FALSE)</f>
        <v>95th</v>
      </c>
      <c r="KH101" s="186"/>
      <c r="KI101" s="186"/>
      <c r="KJ101" s="186">
        <f t="shared" si="455"/>
        <v>0</v>
      </c>
      <c r="KK101" s="186" t="str">
        <f t="shared" si="456"/>
        <v>47</v>
      </c>
      <c r="KL101" s="186" t="str">
        <f t="shared" si="457"/>
        <v>40</v>
      </c>
      <c r="KM101" s="186">
        <f t="shared" si="530"/>
        <v>87</v>
      </c>
      <c r="KN101" s="186">
        <f t="shared" si="531"/>
        <v>29</v>
      </c>
      <c r="KO101" s="135" t="str">
        <f t="shared" si="458"/>
        <v>F</v>
      </c>
      <c r="KP101" s="151" t="str">
        <f>VLOOKUP(RANK(KN101,$KN$10:$KN$109),Sheet1!$A$381:$B$480,2,FALSE)</f>
        <v>71st</v>
      </c>
      <c r="KQ101" s="186"/>
      <c r="KR101" s="186"/>
      <c r="KS101" s="186">
        <f t="shared" si="459"/>
        <v>0</v>
      </c>
      <c r="KT101" s="186" t="str">
        <f t="shared" si="460"/>
        <v>0</v>
      </c>
      <c r="KU101" s="186" t="str">
        <f t="shared" si="461"/>
        <v>0</v>
      </c>
      <c r="KV101" s="186">
        <f t="shared" si="532"/>
        <v>0</v>
      </c>
      <c r="KW101" s="186">
        <f t="shared" si="533"/>
        <v>0</v>
      </c>
      <c r="KX101" s="135" t="str">
        <f t="shared" si="462"/>
        <v>F</v>
      </c>
      <c r="KY101" s="151" t="str">
        <f>VLOOKUP(RANK(KW101,$KW$10:$KW$109),Sheet1!$A$381:$B$480,2,FALSE)</f>
        <v>1st</v>
      </c>
      <c r="KZ101" s="186"/>
      <c r="LA101" s="186"/>
      <c r="LB101" s="186">
        <f t="shared" si="463"/>
        <v>0</v>
      </c>
      <c r="LC101" s="186" t="str">
        <f t="shared" si="464"/>
        <v>0</v>
      </c>
      <c r="LD101" s="186" t="str">
        <f t="shared" si="465"/>
        <v>0</v>
      </c>
      <c r="LE101" s="186">
        <f t="shared" si="534"/>
        <v>0</v>
      </c>
      <c r="LF101" s="186">
        <f t="shared" si="535"/>
        <v>0</v>
      </c>
      <c r="LG101" s="135" t="str">
        <f t="shared" si="466"/>
        <v>F</v>
      </c>
      <c r="LH101" s="151" t="str">
        <f>VLOOKUP(RANK(LF101,$LF$10:$LF$109),Sheet1!$A$381:$B$480,2,FALSE)</f>
        <v>1st</v>
      </c>
      <c r="LI101" s="186"/>
      <c r="LJ101" s="186"/>
      <c r="LK101" s="186">
        <f t="shared" si="467"/>
        <v>0</v>
      </c>
      <c r="LL101" s="186" t="str">
        <f t="shared" si="468"/>
        <v>52</v>
      </c>
      <c r="LM101" s="186" t="str">
        <f t="shared" si="469"/>
        <v>50</v>
      </c>
      <c r="LN101" s="186">
        <f t="shared" si="536"/>
        <v>102</v>
      </c>
      <c r="LO101" s="186">
        <f t="shared" si="537"/>
        <v>34</v>
      </c>
      <c r="LP101" s="135" t="str">
        <f t="shared" si="470"/>
        <v>F</v>
      </c>
      <c r="LQ101" s="151" t="str">
        <f>VLOOKUP(RANK(LO101,$LO$10:$LO$109),Sheet1!$A$381:$B$480,2,FALSE)</f>
        <v>56th</v>
      </c>
      <c r="LR101" s="186"/>
      <c r="LS101" s="186"/>
      <c r="LT101" s="186">
        <f t="shared" si="471"/>
        <v>0</v>
      </c>
      <c r="LU101" s="186" t="str">
        <f t="shared" si="472"/>
        <v>48</v>
      </c>
      <c r="LV101" s="186" t="str">
        <f t="shared" si="473"/>
        <v>50</v>
      </c>
      <c r="LW101" s="186">
        <f t="shared" si="538"/>
        <v>98</v>
      </c>
      <c r="LX101" s="186">
        <f t="shared" si="539"/>
        <v>32.6666666666667</v>
      </c>
      <c r="LY101" s="135" t="str">
        <f t="shared" si="474"/>
        <v>F</v>
      </c>
      <c r="LZ101" s="151" t="str">
        <f>VLOOKUP(RANK(LX101,$LX$10:$LX$109),Sheet1!$A$381:$B$480,2,FALSE)</f>
        <v>60th</v>
      </c>
      <c r="MA101" s="186"/>
      <c r="MB101" s="186"/>
      <c r="MC101" s="186">
        <f t="shared" si="475"/>
        <v>0</v>
      </c>
      <c r="MD101" s="186" t="str">
        <f t="shared" si="476"/>
        <v>31</v>
      </c>
      <c r="ME101" s="186" t="str">
        <f t="shared" si="477"/>
        <v>34</v>
      </c>
      <c r="MF101" s="183">
        <f t="shared" si="540"/>
        <v>65</v>
      </c>
      <c r="MG101" s="151">
        <f t="shared" si="541"/>
        <v>21.6666666666667</v>
      </c>
      <c r="MH101" s="135" t="str">
        <f t="shared" si="478"/>
        <v>F</v>
      </c>
      <c r="MI101" s="151" t="str">
        <f>VLOOKUP(RANK(MG101,$MG$10:$MG$109),Sheet1!$A$381:$B$480,2,FALSE)</f>
        <v>69th</v>
      </c>
      <c r="MJ101" s="186"/>
      <c r="MK101" s="186"/>
      <c r="ML101" s="186">
        <f t="shared" si="479"/>
        <v>0</v>
      </c>
      <c r="MM101" s="186" t="str">
        <f t="shared" si="480"/>
        <v>52</v>
      </c>
      <c r="MN101" s="186" t="str">
        <f t="shared" si="481"/>
        <v>53</v>
      </c>
      <c r="MO101" s="186">
        <f t="shared" si="542"/>
        <v>105</v>
      </c>
      <c r="MP101" s="186">
        <f t="shared" si="543"/>
        <v>35</v>
      </c>
      <c r="MQ101" s="135" t="str">
        <f t="shared" si="482"/>
        <v>E</v>
      </c>
      <c r="MR101" s="151" t="str">
        <f>VLOOKUP(RANK(MP101,$MP$10:$MP$109),Sheet1!$A$381:$B$480,2,FALSE)</f>
        <v>7th</v>
      </c>
      <c r="MS101" s="186"/>
      <c r="MT101" s="186"/>
      <c r="MU101" s="186">
        <f t="shared" si="483"/>
        <v>0</v>
      </c>
      <c r="MV101" s="186" t="str">
        <f t="shared" si="484"/>
        <v>37</v>
      </c>
      <c r="MW101" s="186" t="str">
        <f t="shared" si="485"/>
        <v>37</v>
      </c>
      <c r="MX101" s="186">
        <f t="shared" si="544"/>
        <v>74</v>
      </c>
      <c r="MY101" s="186">
        <f t="shared" si="545"/>
        <v>24.6666666666667</v>
      </c>
      <c r="MZ101" s="135" t="str">
        <f t="shared" si="486"/>
        <v>F</v>
      </c>
      <c r="NA101" s="151" t="str">
        <f>VLOOKUP(RANK(MY101,$MY$10:$MY$109),Sheet1!$A$381:$B$480,2,FALSE)</f>
        <v>80th</v>
      </c>
      <c r="NB101" s="186"/>
      <c r="NC101" s="186"/>
      <c r="ND101" s="186">
        <f t="shared" si="487"/>
        <v>0</v>
      </c>
      <c r="NE101" s="186" t="str">
        <f t="shared" si="488"/>
        <v>38</v>
      </c>
      <c r="NF101" s="186" t="str">
        <f t="shared" si="489"/>
        <v>35</v>
      </c>
      <c r="NG101" s="186">
        <f t="shared" si="546"/>
        <v>73</v>
      </c>
      <c r="NH101" s="186">
        <f t="shared" si="547"/>
        <v>24.3333333333333</v>
      </c>
      <c r="NI101" s="135" t="str">
        <f t="shared" si="490"/>
        <v>F</v>
      </c>
      <c r="NJ101" s="151" t="str">
        <f>VLOOKUP(RANK(NH101,$NH$10:$NH$109),Sheet1!$A$381:$B$480,2,FALSE)</f>
        <v>92nd</v>
      </c>
      <c r="NK101" s="186"/>
      <c r="NL101" s="186"/>
      <c r="NM101" s="186">
        <f t="shared" si="491"/>
        <v>0</v>
      </c>
      <c r="NN101" s="186" t="str">
        <f t="shared" si="492"/>
        <v>60</v>
      </c>
      <c r="NO101" s="186" t="str">
        <f t="shared" si="493"/>
        <v>65</v>
      </c>
      <c r="NP101" s="186">
        <f t="shared" si="548"/>
        <v>125</v>
      </c>
      <c r="NQ101" s="186">
        <f t="shared" si="494"/>
        <v>41.6666666666667</v>
      </c>
      <c r="NR101" s="135" t="str">
        <f t="shared" si="495"/>
        <v>D</v>
      </c>
      <c r="NS101" s="151" t="str">
        <f>VLOOKUP(RANK(NQ101,$NQ$10:$NQ$109),Sheet1!$A$381:$B$480,2,FALSE)</f>
        <v>58th</v>
      </c>
      <c r="NT101" s="186"/>
      <c r="NU101" s="186"/>
      <c r="NV101" s="186">
        <f t="shared" si="496"/>
        <v>0</v>
      </c>
      <c r="NW101" s="186" t="str">
        <f t="shared" si="497"/>
        <v>0</v>
      </c>
      <c r="NX101" s="186" t="str">
        <f t="shared" si="498"/>
        <v>0</v>
      </c>
      <c r="NY101" s="186">
        <f t="shared" si="549"/>
        <v>0</v>
      </c>
      <c r="NZ101" s="186">
        <f t="shared" si="499"/>
        <v>0</v>
      </c>
      <c r="OA101" s="135" t="str">
        <f t="shared" si="500"/>
        <v>F</v>
      </c>
      <c r="OB101" s="151" t="str">
        <f>VLOOKUP(RANK(NZ101,$NZ$10:$NZ$109),Sheet1!$A$381:$B$480,2,FALSE)</f>
        <v>1st</v>
      </c>
      <c r="OC101" s="186"/>
      <c r="OD101" s="186"/>
      <c r="OE101" s="186">
        <f t="shared" si="501"/>
        <v>0</v>
      </c>
      <c r="OF101" s="186" t="str">
        <f t="shared" si="502"/>
        <v>0</v>
      </c>
      <c r="OG101" s="186" t="str">
        <f t="shared" si="503"/>
        <v>0</v>
      </c>
      <c r="OH101" s="186">
        <f t="shared" si="550"/>
        <v>0</v>
      </c>
      <c r="OI101" s="186">
        <f t="shared" si="504"/>
        <v>0</v>
      </c>
      <c r="OJ101" s="135" t="str">
        <f t="shared" si="505"/>
        <v>F</v>
      </c>
      <c r="OK101" s="151" t="str">
        <f>VLOOKUP(RANK(OI101,$OI$10:$OI$109),Sheet1!$A$381:$B$480,2,FALSE)</f>
        <v>1st</v>
      </c>
      <c r="OL101" s="151"/>
      <c r="OM101" s="151"/>
      <c r="ON101" s="151">
        <f t="shared" si="551"/>
        <v>0</v>
      </c>
      <c r="OO101" s="151" t="str">
        <f t="shared" si="552"/>
        <v>0</v>
      </c>
      <c r="OP101" s="151" t="str">
        <f t="shared" si="553"/>
        <v>0</v>
      </c>
      <c r="OQ101" s="151">
        <f t="shared" si="554"/>
        <v>0</v>
      </c>
      <c r="OR101" s="151">
        <f t="shared" si="555"/>
        <v>0</v>
      </c>
      <c r="OS101" s="135" t="str">
        <f t="shared" si="506"/>
        <v>F</v>
      </c>
      <c r="OT101" s="151" t="str">
        <f>VLOOKUP(RANK(OR101,$OI$10:$OI$109),Sheet1!$A$381:$B$480,2,FALSE)</f>
        <v>1st</v>
      </c>
      <c r="OU101" s="151">
        <f t="shared" si="556"/>
        <v>362</v>
      </c>
      <c r="OV101" s="151">
        <f t="shared" si="557"/>
        <v>21.294117647058801</v>
      </c>
      <c r="OW101" s="151" t="str">
        <f>VLOOKUP(RANK(OV101,$OV$10:$OV$109),Sheet1!$A$381:$B$480,2,FALSE)</f>
        <v>80th</v>
      </c>
      <c r="OX101" s="151"/>
      <c r="OY101" s="186"/>
      <c r="OZ101" s="186"/>
      <c r="PA101" s="186"/>
      <c r="PB101" s="186"/>
    </row>
    <row r="102" spans="1:418" s="118" customFormat="1" ht="18.75">
      <c r="A102" s="131">
        <v>93</v>
      </c>
      <c r="B102" s="132" t="s">
        <v>192</v>
      </c>
      <c r="C102" s="133" t="s">
        <v>97</v>
      </c>
      <c r="D102" s="134">
        <v>29</v>
      </c>
      <c r="E102" s="134">
        <v>40</v>
      </c>
      <c r="F102" s="137">
        <f t="shared" si="315"/>
        <v>69</v>
      </c>
      <c r="G102" s="137">
        <f t="shared" si="316"/>
        <v>69</v>
      </c>
      <c r="H102" s="135" t="str">
        <f t="shared" si="507"/>
        <v>B</v>
      </c>
      <c r="I102" s="135" t="str">
        <f>VLOOKUP(RANK(G102,$G$10:$G$109),Sheet1!$A$381:$B$480,2,FALSE)</f>
        <v>46th</v>
      </c>
      <c r="J102" s="134">
        <v>18</v>
      </c>
      <c r="K102" s="134">
        <v>11</v>
      </c>
      <c r="L102" s="137">
        <f t="shared" si="317"/>
        <v>29</v>
      </c>
      <c r="M102" s="137">
        <f t="shared" si="318"/>
        <v>29</v>
      </c>
      <c r="N102" s="135" t="str">
        <f t="shared" si="319"/>
        <v>F</v>
      </c>
      <c r="O102" s="141" t="str">
        <f>VLOOKUP(RANK(M102,$M$10:$M$109),Sheet1!$A$381:$B$480,2,FALSE)</f>
        <v>97th</v>
      </c>
      <c r="P102" s="144">
        <v>28</v>
      </c>
      <c r="Q102" s="144">
        <v>2</v>
      </c>
      <c r="R102" s="147">
        <f t="shared" si="320"/>
        <v>30</v>
      </c>
      <c r="S102" s="137">
        <f t="shared" si="321"/>
        <v>30</v>
      </c>
      <c r="T102" s="135" t="str">
        <f t="shared" si="322"/>
        <v>F</v>
      </c>
      <c r="U102" s="135" t="str">
        <f>VLOOKUP(RANK(S102,$S$10:$S$109),Sheet1!$A$381:$B$480,2,FALSE)</f>
        <v>80th</v>
      </c>
      <c r="V102" s="134">
        <v>20</v>
      </c>
      <c r="W102" s="134">
        <v>15</v>
      </c>
      <c r="X102" s="137">
        <f t="shared" si="559"/>
        <v>35</v>
      </c>
      <c r="Y102" s="137">
        <f t="shared" si="558"/>
        <v>35</v>
      </c>
      <c r="Z102" s="135" t="str">
        <f t="shared" si="323"/>
        <v>E</v>
      </c>
      <c r="AA102" s="135" t="str">
        <f>VLOOKUP(RANK(Y102,$Y$10:$Y$109),Sheet1!$A$381:$B$480,2,FALSE)</f>
        <v>92nd</v>
      </c>
      <c r="AB102" s="134">
        <v>28</v>
      </c>
      <c r="AC102" s="134">
        <v>16</v>
      </c>
      <c r="AD102" s="137">
        <f t="shared" si="324"/>
        <v>44</v>
      </c>
      <c r="AE102" s="137">
        <f t="shared" si="325"/>
        <v>44</v>
      </c>
      <c r="AF102" s="135" t="str">
        <f t="shared" si="326"/>
        <v>D</v>
      </c>
      <c r="AG102" s="135" t="str">
        <f>VLOOKUP(RANK(AE102,$AE$10:$AE$109),Sheet1!$A$381:$B$480,2,FALSE)</f>
        <v>73rd</v>
      </c>
      <c r="AH102" s="137"/>
      <c r="AI102" s="137"/>
      <c r="AJ102" s="137">
        <f t="shared" si="327"/>
        <v>0</v>
      </c>
      <c r="AK102" s="137">
        <f t="shared" si="328"/>
        <v>0</v>
      </c>
      <c r="AL102" s="135" t="str">
        <f t="shared" si="329"/>
        <v>F</v>
      </c>
      <c r="AM102" s="135" t="str">
        <f>VLOOKUP(RANK(AK102,$AK$10:$AK$109),Sheet1!$A$381:$B$480,2,FALSE)</f>
        <v>1st</v>
      </c>
      <c r="AN102" s="134"/>
      <c r="AO102" s="134"/>
      <c r="AP102" s="137">
        <f t="shared" si="330"/>
        <v>0</v>
      </c>
      <c r="AQ102" s="137">
        <f t="shared" si="331"/>
        <v>0</v>
      </c>
      <c r="AR102" s="135" t="str">
        <f t="shared" si="332"/>
        <v>F</v>
      </c>
      <c r="AS102" s="135" t="str">
        <f>VLOOKUP(RANK(AQ102,$AQ$10:$AQ$109),Sheet1!$A$381:$B$480,2,FALSE)</f>
        <v>1st</v>
      </c>
      <c r="AT102" s="144">
        <v>24</v>
      </c>
      <c r="AU102" s="144">
        <v>26</v>
      </c>
      <c r="AV102" s="137">
        <f t="shared" si="333"/>
        <v>50</v>
      </c>
      <c r="AW102" s="137">
        <f t="shared" si="334"/>
        <v>50</v>
      </c>
      <c r="AX102" s="135" t="str">
        <f t="shared" si="335"/>
        <v>C</v>
      </c>
      <c r="AY102" s="141" t="str">
        <f>VLOOKUP(RANK(AW102,$AW$10:$AW$109),Sheet1!$A$381:$B$480,2,FALSE)</f>
        <v>58th</v>
      </c>
      <c r="AZ102" s="144">
        <v>33</v>
      </c>
      <c r="BA102" s="144">
        <v>25</v>
      </c>
      <c r="BB102" s="147">
        <f t="shared" si="336"/>
        <v>58</v>
      </c>
      <c r="BC102" s="137">
        <f t="shared" si="337"/>
        <v>58</v>
      </c>
      <c r="BD102" s="135" t="str">
        <f t="shared" si="338"/>
        <v>C</v>
      </c>
      <c r="BE102" s="135" t="str">
        <f>VLOOKUP(RANK(BC102,$BC$10:$BC$109),Sheet1!$A$381:$B$480,2,FALSE)</f>
        <v>33rd</v>
      </c>
      <c r="BF102" s="144">
        <v>12</v>
      </c>
      <c r="BG102" s="144">
        <v>26</v>
      </c>
      <c r="BH102" s="137">
        <f t="shared" si="339"/>
        <v>38</v>
      </c>
      <c r="BI102" s="137">
        <f t="shared" si="340"/>
        <v>38</v>
      </c>
      <c r="BJ102" s="135" t="str">
        <f t="shared" si="341"/>
        <v>E</v>
      </c>
      <c r="BK102" s="141" t="str">
        <f>VLOOKUP(RANK(BI102,$BI$10:$BI$109),Sheet1!$A$381:$B$480,2,FALSE)</f>
        <v>38th</v>
      </c>
      <c r="BL102" s="149">
        <v>26</v>
      </c>
      <c r="BM102" s="149">
        <v>25</v>
      </c>
      <c r="BN102" s="147">
        <f t="shared" si="342"/>
        <v>51</v>
      </c>
      <c r="BO102" s="137">
        <f t="shared" si="343"/>
        <v>51</v>
      </c>
      <c r="BP102" s="135" t="str">
        <f t="shared" si="344"/>
        <v>C</v>
      </c>
      <c r="BQ102" s="141" t="str">
        <f>VLOOKUP(RANK(BO102,$BO$10:$BO$109),Sheet1!$A$381:$B$480,2,FALSE)</f>
        <v>69th</v>
      </c>
      <c r="BR102" s="149">
        <v>29</v>
      </c>
      <c r="BS102" s="149">
        <v>16</v>
      </c>
      <c r="BT102" s="147">
        <f t="shared" si="345"/>
        <v>45</v>
      </c>
      <c r="BU102" s="137">
        <f t="shared" si="346"/>
        <v>45</v>
      </c>
      <c r="BV102" s="135" t="str">
        <f t="shared" si="347"/>
        <v>D</v>
      </c>
      <c r="BW102" s="135" t="str">
        <f>VLOOKUP(RANK(BU102,$BU$10:$BU$109),Sheet1!$A$381:$B$480,2,FALSE)</f>
        <v>46th</v>
      </c>
      <c r="BX102" s="149">
        <v>32</v>
      </c>
      <c r="BY102" s="149">
        <v>10</v>
      </c>
      <c r="BZ102" s="137">
        <f t="shared" si="348"/>
        <v>42</v>
      </c>
      <c r="CA102" s="137">
        <f t="shared" si="349"/>
        <v>42</v>
      </c>
      <c r="CB102" s="135" t="str">
        <f t="shared" si="350"/>
        <v>D</v>
      </c>
      <c r="CC102" s="135" t="str">
        <f>VLOOKUP(RANK(CA102,$CA$10:$CA$109),Sheet1!$A$381:$B$480,2,FALSE)</f>
        <v>32nd</v>
      </c>
      <c r="CD102" s="149">
        <v>20</v>
      </c>
      <c r="CE102" s="149">
        <v>25</v>
      </c>
      <c r="CF102" s="137">
        <f t="shared" si="351"/>
        <v>45</v>
      </c>
      <c r="CG102" s="137">
        <f t="shared" si="352"/>
        <v>45</v>
      </c>
      <c r="CH102" s="135" t="str">
        <f t="shared" si="353"/>
        <v>D</v>
      </c>
      <c r="CI102" s="135" t="str">
        <f>VLOOKUP(RANK(CG102,$CG$10:$CG$109),Sheet1!$A$381:$B$480,2,FALSE)</f>
        <v>82nd</v>
      </c>
      <c r="CJ102" s="137"/>
      <c r="CK102" s="137"/>
      <c r="CL102" s="137">
        <f t="shared" si="354"/>
        <v>0</v>
      </c>
      <c r="CM102" s="137">
        <f t="shared" si="355"/>
        <v>0</v>
      </c>
      <c r="CN102" s="135" t="str">
        <f t="shared" si="356"/>
        <v>F</v>
      </c>
      <c r="CO102" s="135" t="str">
        <f>VLOOKUP(RANK(CM102,$CM$10:$CM$109),Sheet1!$A$381:$B$480,2,FALSE)</f>
        <v>1st</v>
      </c>
      <c r="CP102" s="137"/>
      <c r="CQ102" s="137"/>
      <c r="CR102" s="137">
        <f t="shared" si="357"/>
        <v>0</v>
      </c>
      <c r="CS102" s="137">
        <f t="shared" si="358"/>
        <v>0</v>
      </c>
      <c r="CT102" s="135" t="str">
        <f t="shared" si="359"/>
        <v>F</v>
      </c>
      <c r="CU102" s="135" t="str">
        <f>VLOOKUP(RANK(CS102,$CS$10:$CS$109),Sheet1!$A$381:$B$480,2,FALSE)</f>
        <v>1st</v>
      </c>
      <c r="CV102" s="151"/>
      <c r="CW102" s="135"/>
      <c r="CX102" s="151">
        <f t="shared" si="508"/>
        <v>0</v>
      </c>
      <c r="CY102" s="151">
        <f t="shared" si="509"/>
        <v>0</v>
      </c>
      <c r="CZ102" s="135" t="str">
        <f t="shared" si="360"/>
        <v>F</v>
      </c>
      <c r="DA102" s="135" t="str">
        <f>VLOOKUP(RANK(CY102,$CY$10:$CY$109),Sheet1!$A$381:$B$480,2,FALSE)</f>
        <v>1st</v>
      </c>
      <c r="DB102" s="135"/>
      <c r="DC102" s="151">
        <f t="shared" si="510"/>
        <v>536</v>
      </c>
      <c r="DD102" s="151">
        <f t="shared" si="511"/>
        <v>31.529411764705898</v>
      </c>
      <c r="DE102" s="135" t="str">
        <f>VLOOKUP(RANK(DD102,$DD$10:$DD$109),Sheet1!$A$381:$B$480,2,FALSE)</f>
        <v>84th</v>
      </c>
      <c r="DF102" s="137"/>
      <c r="DG102" s="160">
        <f t="shared" si="361"/>
        <v>567.52941176470597</v>
      </c>
      <c r="DH102" s="119"/>
      <c r="DI102" s="162">
        <v>25</v>
      </c>
      <c r="DJ102" s="162">
        <v>37</v>
      </c>
      <c r="DK102" s="137">
        <f t="shared" si="362"/>
        <v>62</v>
      </c>
      <c r="DL102" s="137" t="str">
        <f t="shared" si="363"/>
        <v>69</v>
      </c>
      <c r="DM102" s="137">
        <f t="shared" si="364"/>
        <v>131</v>
      </c>
      <c r="DN102" s="137">
        <f t="shared" si="365"/>
        <v>65.5</v>
      </c>
      <c r="DO102" s="135" t="str">
        <f t="shared" si="366"/>
        <v>B</v>
      </c>
      <c r="DP102" s="135" t="str">
        <f>VLOOKUP(RANK(DN102,$DN$10:$DN$109),Sheet1!$A$381:$B$480,2,FALSE)</f>
        <v>55th</v>
      </c>
      <c r="DQ102" s="166">
        <v>23</v>
      </c>
      <c r="DR102" s="166">
        <v>15</v>
      </c>
      <c r="DS102" s="137">
        <f t="shared" si="367"/>
        <v>38</v>
      </c>
      <c r="DT102" s="137" t="str">
        <f t="shared" si="368"/>
        <v>29</v>
      </c>
      <c r="DU102" s="137">
        <f t="shared" si="369"/>
        <v>67</v>
      </c>
      <c r="DV102" s="137">
        <f t="shared" si="370"/>
        <v>33.5</v>
      </c>
      <c r="DW102" s="135" t="str">
        <f t="shared" si="371"/>
        <v>F</v>
      </c>
      <c r="DX102" s="135" t="str">
        <f>VLOOKUP(RANK(DV102,$DV$10:$DV$109),Sheet1!$A$381:$B$480,2,FALSE)</f>
        <v>92nd</v>
      </c>
      <c r="DY102" s="168">
        <v>23</v>
      </c>
      <c r="DZ102" s="168">
        <v>21</v>
      </c>
      <c r="EA102" s="137">
        <f t="shared" si="372"/>
        <v>44</v>
      </c>
      <c r="EB102" s="137" t="str">
        <f t="shared" si="373"/>
        <v>30</v>
      </c>
      <c r="EC102" s="137">
        <f t="shared" si="374"/>
        <v>74</v>
      </c>
      <c r="ED102" s="137">
        <f t="shared" si="375"/>
        <v>37</v>
      </c>
      <c r="EE102" s="135" t="str">
        <f t="shared" si="376"/>
        <v>E</v>
      </c>
      <c r="EF102" s="135" t="str">
        <f>VLOOKUP(RANK(ED102,$ED$10:$ED$109),Sheet1!$A$381:$B$480,2,FALSE)</f>
        <v>76th</v>
      </c>
      <c r="EG102" s="162">
        <v>12</v>
      </c>
      <c r="EH102" s="162">
        <v>33</v>
      </c>
      <c r="EI102" s="137">
        <f t="shared" si="377"/>
        <v>45</v>
      </c>
      <c r="EJ102" s="137" t="str">
        <f t="shared" si="378"/>
        <v>35</v>
      </c>
      <c r="EK102" s="137">
        <f t="shared" si="379"/>
        <v>80</v>
      </c>
      <c r="EL102" s="137">
        <f t="shared" si="380"/>
        <v>40</v>
      </c>
      <c r="EM102" s="135" t="str">
        <f t="shared" si="381"/>
        <v>D</v>
      </c>
      <c r="EN102" s="135" t="str">
        <f>VLOOKUP(RANK(EL102,$EL$10:$EL$109),Sheet1!$A$381:$B$480,2,FALSE)</f>
        <v>85th</v>
      </c>
      <c r="EO102" s="162">
        <v>25</v>
      </c>
      <c r="EP102" s="162">
        <v>12</v>
      </c>
      <c r="EQ102" s="137">
        <f t="shared" si="382"/>
        <v>37</v>
      </c>
      <c r="ER102" s="137" t="str">
        <f t="shared" si="383"/>
        <v>44</v>
      </c>
      <c r="ES102" s="137">
        <f t="shared" si="384"/>
        <v>81</v>
      </c>
      <c r="ET102" s="137">
        <f t="shared" si="385"/>
        <v>40.5</v>
      </c>
      <c r="EU102" s="135" t="str">
        <f t="shared" si="386"/>
        <v>D</v>
      </c>
      <c r="EV102" s="135" t="str">
        <f>VLOOKUP(RANK(ET102,$ET$10:$ET$109),Sheet1!$A$381:$B$480,2,FALSE)</f>
        <v>74th</v>
      </c>
      <c r="EW102" s="137"/>
      <c r="EX102" s="137"/>
      <c r="EY102" s="137">
        <f t="shared" si="387"/>
        <v>0</v>
      </c>
      <c r="EZ102" s="137" t="str">
        <f t="shared" si="388"/>
        <v>0</v>
      </c>
      <c r="FA102" s="137">
        <f t="shared" si="389"/>
        <v>0</v>
      </c>
      <c r="FB102" s="137">
        <f t="shared" si="390"/>
        <v>0</v>
      </c>
      <c r="FC102" s="135" t="str">
        <f t="shared" si="391"/>
        <v>F</v>
      </c>
      <c r="FD102" s="135" t="str">
        <f>VLOOKUP(RANK(FB102,$FB$10:$FB$109),Sheet1!$A$381:$B$480,2,FALSE)</f>
        <v>1st</v>
      </c>
      <c r="FE102" s="137"/>
      <c r="FF102" s="137"/>
      <c r="FG102" s="137">
        <f t="shared" si="392"/>
        <v>0</v>
      </c>
      <c r="FH102" s="137" t="str">
        <f t="shared" si="393"/>
        <v>0</v>
      </c>
      <c r="FI102" s="137">
        <f t="shared" si="394"/>
        <v>0</v>
      </c>
      <c r="FJ102" s="137">
        <f t="shared" si="395"/>
        <v>0</v>
      </c>
      <c r="FK102" s="135" t="str">
        <f t="shared" si="396"/>
        <v>F</v>
      </c>
      <c r="FL102" s="135" t="str">
        <f>VLOOKUP(RANK(FJ102,$FJ$10:$FJ$109),Sheet1!$A$381:$B$480,2,FALSE)</f>
        <v>1st</v>
      </c>
      <c r="FM102" s="166">
        <v>25</v>
      </c>
      <c r="FN102" s="166">
        <v>28</v>
      </c>
      <c r="FO102" s="137">
        <f t="shared" si="397"/>
        <v>53</v>
      </c>
      <c r="FP102" s="137" t="str">
        <f t="shared" si="398"/>
        <v>50</v>
      </c>
      <c r="FQ102" s="137">
        <f t="shared" si="399"/>
        <v>103</v>
      </c>
      <c r="FR102" s="137">
        <f t="shared" si="400"/>
        <v>51.5</v>
      </c>
      <c r="FS102" s="135" t="str">
        <f t="shared" si="401"/>
        <v>C</v>
      </c>
      <c r="FT102" s="135" t="str">
        <f>VLOOKUP(RANK(FR102,$FR$10:$FR$109),Sheet1!$A$381:$B$480,2,FALSE)</f>
        <v>50th</v>
      </c>
      <c r="FU102" s="149">
        <v>27</v>
      </c>
      <c r="FV102" s="149">
        <v>15</v>
      </c>
      <c r="FW102" s="137">
        <f t="shared" si="402"/>
        <v>42</v>
      </c>
      <c r="FX102" s="137" t="str">
        <f t="shared" si="403"/>
        <v>58</v>
      </c>
      <c r="FY102" s="137">
        <f t="shared" si="512"/>
        <v>42</v>
      </c>
      <c r="FZ102" s="137">
        <f t="shared" si="404"/>
        <v>21</v>
      </c>
      <c r="GA102" s="135" t="str">
        <f t="shared" si="405"/>
        <v>F</v>
      </c>
      <c r="GB102" s="135" t="str">
        <f>VLOOKUP(RANK(FZ102,$FZ$10:$FZ$109),Sheet1!$A$381:$B$480,2,FALSE)</f>
        <v>70th</v>
      </c>
      <c r="GC102" s="166">
        <v>21</v>
      </c>
      <c r="GD102" s="166">
        <v>20</v>
      </c>
      <c r="GE102" s="137">
        <f t="shared" si="406"/>
        <v>41</v>
      </c>
      <c r="GF102" s="137" t="str">
        <f t="shared" si="407"/>
        <v>38</v>
      </c>
      <c r="GG102" s="135">
        <f t="shared" si="513"/>
        <v>79</v>
      </c>
      <c r="GH102" s="137">
        <f t="shared" si="514"/>
        <v>39.5</v>
      </c>
      <c r="GI102" s="135" t="str">
        <f t="shared" si="408"/>
        <v>E</v>
      </c>
      <c r="GJ102" s="135" t="str">
        <f>VLOOKUP(RANK(GH102,$GH$10:$GH$109),Sheet1!$A$381:$B$480,2,FALSE)</f>
        <v>48th</v>
      </c>
      <c r="GK102" s="166">
        <v>29</v>
      </c>
      <c r="GL102" s="166">
        <v>17</v>
      </c>
      <c r="GM102" s="137">
        <f t="shared" si="409"/>
        <v>46</v>
      </c>
      <c r="GN102" s="137" t="str">
        <f t="shared" si="410"/>
        <v>51</v>
      </c>
      <c r="GO102" s="135">
        <f t="shared" si="515"/>
        <v>97</v>
      </c>
      <c r="GP102" s="137">
        <f t="shared" si="411"/>
        <v>48.5</v>
      </c>
      <c r="GQ102" s="135" t="str">
        <f t="shared" si="412"/>
        <v>D</v>
      </c>
      <c r="GR102" s="135" t="str">
        <f>VLOOKUP(RANK(GP102,$GP$10:$GP$109),Sheet1!$A$381:$B$480,2,FALSE)</f>
        <v>38th</v>
      </c>
      <c r="GS102" s="166">
        <v>26</v>
      </c>
      <c r="GT102" s="166">
        <v>24</v>
      </c>
      <c r="GU102" s="137">
        <f t="shared" si="413"/>
        <v>50</v>
      </c>
      <c r="GV102" s="137" t="str">
        <f t="shared" si="414"/>
        <v>45</v>
      </c>
      <c r="GW102" s="137">
        <f t="shared" si="415"/>
        <v>95</v>
      </c>
      <c r="GX102" s="137">
        <f t="shared" si="416"/>
        <v>47.5</v>
      </c>
      <c r="GY102" s="135" t="str">
        <f t="shared" si="417"/>
        <v>D</v>
      </c>
      <c r="GZ102" s="135" t="str">
        <f>VLOOKUP(RANK(GX102,$GX$10:$GX$109),Sheet1!$A$381:$B$480,2,FALSE)</f>
        <v>56th</v>
      </c>
      <c r="HA102" s="166">
        <v>29</v>
      </c>
      <c r="HB102" s="166">
        <v>5</v>
      </c>
      <c r="HC102" s="137">
        <f t="shared" si="418"/>
        <v>34</v>
      </c>
      <c r="HD102" s="137" t="str">
        <f t="shared" si="419"/>
        <v>42</v>
      </c>
      <c r="HE102" s="137">
        <f t="shared" si="420"/>
        <v>76</v>
      </c>
      <c r="HF102" s="137">
        <f t="shared" si="421"/>
        <v>38</v>
      </c>
      <c r="HG102" s="135" t="str">
        <f t="shared" si="422"/>
        <v>E</v>
      </c>
      <c r="HH102" s="135" t="str">
        <f>VLOOKUP(RANK(HF102,$HF$10:$HF$109),Sheet1!$A$381:$B$480,2,FALSE)</f>
        <v>80th</v>
      </c>
      <c r="HI102" s="149">
        <v>26</v>
      </c>
      <c r="HJ102" s="149">
        <v>32</v>
      </c>
      <c r="HK102" s="137">
        <f t="shared" si="423"/>
        <v>58</v>
      </c>
      <c r="HL102" s="137" t="str">
        <f t="shared" si="424"/>
        <v>45</v>
      </c>
      <c r="HM102" s="137">
        <f t="shared" si="425"/>
        <v>103</v>
      </c>
      <c r="HN102" s="137">
        <f t="shared" si="426"/>
        <v>51.5</v>
      </c>
      <c r="HO102" s="135" t="str">
        <f t="shared" si="427"/>
        <v>C</v>
      </c>
      <c r="HP102" s="135" t="str">
        <f>VLOOKUP(RANK(HN102,$HN$10:$HN$109),Sheet1!$A$381:$B$480,2,FALSE)</f>
        <v>92nd</v>
      </c>
      <c r="HQ102" s="137"/>
      <c r="HR102" s="137"/>
      <c r="HS102" s="137">
        <f t="shared" si="428"/>
        <v>0</v>
      </c>
      <c r="HT102" s="137" t="str">
        <f t="shared" si="429"/>
        <v>0</v>
      </c>
      <c r="HU102" s="137">
        <f t="shared" si="430"/>
        <v>0</v>
      </c>
      <c r="HV102" s="137">
        <f t="shared" si="431"/>
        <v>0</v>
      </c>
      <c r="HW102" s="135" t="str">
        <f t="shared" si="432"/>
        <v>F</v>
      </c>
      <c r="HX102" s="135" t="str">
        <f>VLOOKUP(RANK(HV102,$HV$10:$HV$109),Sheet1!$A$381:$B$480,2,FALSE)</f>
        <v>1st</v>
      </c>
      <c r="HY102" s="137"/>
      <c r="HZ102" s="137"/>
      <c r="IA102" s="137">
        <f t="shared" si="433"/>
        <v>0</v>
      </c>
      <c r="IB102" s="137" t="str">
        <f t="shared" si="434"/>
        <v>0</v>
      </c>
      <c r="IC102" s="137">
        <f t="shared" si="435"/>
        <v>0</v>
      </c>
      <c r="ID102" s="137">
        <f t="shared" si="436"/>
        <v>0</v>
      </c>
      <c r="IE102" s="135" t="str">
        <f t="shared" si="437"/>
        <v>F</v>
      </c>
      <c r="IF102" s="135" t="str">
        <f>VLOOKUP(RANK(ID102,$ID$10:$ID$109),Sheet1!$A$381:$B$480,2,FALSE)</f>
        <v>1st</v>
      </c>
      <c r="IG102" s="135"/>
      <c r="IH102" s="135"/>
      <c r="II102" s="135">
        <f t="shared" si="516"/>
        <v>0</v>
      </c>
      <c r="IJ102" s="135" t="str">
        <f t="shared" si="517"/>
        <v>0</v>
      </c>
      <c r="IK102" s="135">
        <f t="shared" si="518"/>
        <v>0</v>
      </c>
      <c r="IL102" s="135">
        <f t="shared" si="519"/>
        <v>0</v>
      </c>
      <c r="IM102" s="135" t="str">
        <f t="shared" si="438"/>
        <v>F</v>
      </c>
      <c r="IN102" s="135" t="str">
        <f>VLOOKUP(RANK(IL102,$IL$10:$IL$109),Sheet1!$A$381:$B$480,2,FALSE)</f>
        <v>1st</v>
      </c>
      <c r="IO102" s="135">
        <f t="shared" si="520"/>
        <v>514</v>
      </c>
      <c r="IP102" s="177">
        <f t="shared" si="521"/>
        <v>30.235294117647101</v>
      </c>
      <c r="IQ102" s="135" t="str">
        <f>VLOOKUP(RANK(IP102,$IP$10:$IP$109),Sheet1!$A$381:$B$480,2,FALSE)</f>
        <v>84th</v>
      </c>
      <c r="IR102" s="178"/>
      <c r="IS102" s="137"/>
      <c r="IT102" s="137"/>
      <c r="IU102" s="137"/>
      <c r="IV102" s="137"/>
      <c r="IW102" s="181"/>
      <c r="IX102" s="184"/>
      <c r="IY102" s="186"/>
      <c r="IZ102" s="186">
        <f t="shared" si="439"/>
        <v>0</v>
      </c>
      <c r="JA102" s="186" t="str">
        <f t="shared" si="440"/>
        <v>69</v>
      </c>
      <c r="JB102" s="186" t="str">
        <f t="shared" si="441"/>
        <v>62</v>
      </c>
      <c r="JC102" s="186">
        <f t="shared" si="522"/>
        <v>131</v>
      </c>
      <c r="JD102" s="186">
        <f t="shared" si="523"/>
        <v>43.6666666666667</v>
      </c>
      <c r="JE102" s="135" t="str">
        <f t="shared" si="442"/>
        <v>D</v>
      </c>
      <c r="JF102" s="151" t="str">
        <f>VLOOKUP(RANK(JD102,$JD$10:$JD$109),Sheet1!$A$381:$B$480,2,FALSE)</f>
        <v>55th</v>
      </c>
      <c r="JG102" s="186"/>
      <c r="JH102" s="186"/>
      <c r="JI102" s="186">
        <f t="shared" si="443"/>
        <v>0</v>
      </c>
      <c r="JJ102" s="186" t="str">
        <f t="shared" si="444"/>
        <v>29</v>
      </c>
      <c r="JK102" s="186" t="str">
        <f t="shared" si="445"/>
        <v>38</v>
      </c>
      <c r="JL102" s="186">
        <f t="shared" si="524"/>
        <v>67</v>
      </c>
      <c r="JM102" s="186">
        <f t="shared" si="525"/>
        <v>22.3333333333333</v>
      </c>
      <c r="JN102" s="135" t="str">
        <f t="shared" si="446"/>
        <v>F</v>
      </c>
      <c r="JO102" s="151" t="str">
        <f>VLOOKUP(RANK(JM102,$JM$10:$JM$109),Sheet1!$A$381:$B$480,2,FALSE)</f>
        <v>92nd</v>
      </c>
      <c r="JP102" s="186"/>
      <c r="JQ102" s="186"/>
      <c r="JR102" s="186">
        <f t="shared" si="447"/>
        <v>0</v>
      </c>
      <c r="JS102" s="186" t="str">
        <f t="shared" si="448"/>
        <v>30</v>
      </c>
      <c r="JT102" s="186" t="str">
        <f t="shared" si="449"/>
        <v>44</v>
      </c>
      <c r="JU102" s="186">
        <f t="shared" si="526"/>
        <v>74</v>
      </c>
      <c r="JV102" s="186">
        <f t="shared" si="527"/>
        <v>24.6666666666667</v>
      </c>
      <c r="JW102" s="135" t="str">
        <f t="shared" si="450"/>
        <v>F</v>
      </c>
      <c r="JX102" s="151" t="str">
        <f>VLOOKUP(RANK(JV102,$JV$10:$JV$109),Sheet1!$A$381:$B$480,2,FALSE)</f>
        <v>76th</v>
      </c>
      <c r="JY102" s="186"/>
      <c r="JZ102" s="186"/>
      <c r="KA102" s="186">
        <f t="shared" si="451"/>
        <v>0</v>
      </c>
      <c r="KB102" s="186" t="str">
        <f t="shared" si="452"/>
        <v>35</v>
      </c>
      <c r="KC102" s="186" t="str">
        <f t="shared" si="453"/>
        <v>45</v>
      </c>
      <c r="KD102" s="186">
        <f t="shared" si="528"/>
        <v>80</v>
      </c>
      <c r="KE102" s="186">
        <f t="shared" si="529"/>
        <v>26.6666666666667</v>
      </c>
      <c r="KF102" s="135" t="str">
        <f t="shared" si="454"/>
        <v>F</v>
      </c>
      <c r="KG102" s="151" t="str">
        <f>VLOOKUP(RANK(KE102,$KE$10:$KE$109),Sheet1!$A$381:$B$480,2,FALSE)</f>
        <v>85th</v>
      </c>
      <c r="KH102" s="186"/>
      <c r="KI102" s="186"/>
      <c r="KJ102" s="186">
        <f t="shared" si="455"/>
        <v>0</v>
      </c>
      <c r="KK102" s="186" t="str">
        <f t="shared" si="456"/>
        <v>44</v>
      </c>
      <c r="KL102" s="186" t="str">
        <f t="shared" si="457"/>
        <v>37</v>
      </c>
      <c r="KM102" s="186">
        <f t="shared" si="530"/>
        <v>81</v>
      </c>
      <c r="KN102" s="186">
        <f t="shared" si="531"/>
        <v>27</v>
      </c>
      <c r="KO102" s="135" t="str">
        <f t="shared" si="458"/>
        <v>F</v>
      </c>
      <c r="KP102" s="151" t="str">
        <f>VLOOKUP(RANK(KN102,$KN$10:$KN$109),Sheet1!$A$381:$B$480,2,FALSE)</f>
        <v>74th</v>
      </c>
      <c r="KQ102" s="186"/>
      <c r="KR102" s="186"/>
      <c r="KS102" s="186">
        <f t="shared" si="459"/>
        <v>0</v>
      </c>
      <c r="KT102" s="186" t="str">
        <f t="shared" si="460"/>
        <v>0</v>
      </c>
      <c r="KU102" s="186" t="str">
        <f t="shared" si="461"/>
        <v>0</v>
      </c>
      <c r="KV102" s="186">
        <f t="shared" si="532"/>
        <v>0</v>
      </c>
      <c r="KW102" s="186">
        <f t="shared" si="533"/>
        <v>0</v>
      </c>
      <c r="KX102" s="135" t="str">
        <f t="shared" si="462"/>
        <v>F</v>
      </c>
      <c r="KY102" s="151" t="str">
        <f>VLOOKUP(RANK(KW102,$KW$10:$KW$109),Sheet1!$A$381:$B$480,2,FALSE)</f>
        <v>1st</v>
      </c>
      <c r="KZ102" s="186"/>
      <c r="LA102" s="186"/>
      <c r="LB102" s="186">
        <f t="shared" si="463"/>
        <v>0</v>
      </c>
      <c r="LC102" s="186" t="str">
        <f t="shared" si="464"/>
        <v>0</v>
      </c>
      <c r="LD102" s="186" t="str">
        <f t="shared" si="465"/>
        <v>0</v>
      </c>
      <c r="LE102" s="186">
        <f t="shared" si="534"/>
        <v>0</v>
      </c>
      <c r="LF102" s="186">
        <f t="shared" si="535"/>
        <v>0</v>
      </c>
      <c r="LG102" s="135" t="str">
        <f t="shared" si="466"/>
        <v>F</v>
      </c>
      <c r="LH102" s="151" t="str">
        <f>VLOOKUP(RANK(LF102,$LF$10:$LF$109),Sheet1!$A$381:$B$480,2,FALSE)</f>
        <v>1st</v>
      </c>
      <c r="LI102" s="186"/>
      <c r="LJ102" s="186"/>
      <c r="LK102" s="186">
        <f t="shared" si="467"/>
        <v>0</v>
      </c>
      <c r="LL102" s="186" t="str">
        <f t="shared" si="468"/>
        <v>50</v>
      </c>
      <c r="LM102" s="186" t="str">
        <f t="shared" si="469"/>
        <v>53</v>
      </c>
      <c r="LN102" s="186">
        <f t="shared" si="536"/>
        <v>103</v>
      </c>
      <c r="LO102" s="186">
        <f t="shared" si="537"/>
        <v>34.3333333333333</v>
      </c>
      <c r="LP102" s="135" t="str">
        <f t="shared" si="470"/>
        <v>F</v>
      </c>
      <c r="LQ102" s="151" t="str">
        <f>VLOOKUP(RANK(LO102,$LO$10:$LO$109),Sheet1!$A$381:$B$480,2,FALSE)</f>
        <v>50th</v>
      </c>
      <c r="LR102" s="186"/>
      <c r="LS102" s="186"/>
      <c r="LT102" s="186">
        <f t="shared" si="471"/>
        <v>0</v>
      </c>
      <c r="LU102" s="186" t="str">
        <f t="shared" si="472"/>
        <v>58</v>
      </c>
      <c r="LV102" s="186" t="str">
        <f t="shared" si="473"/>
        <v>42</v>
      </c>
      <c r="LW102" s="186">
        <f t="shared" si="538"/>
        <v>100</v>
      </c>
      <c r="LX102" s="186">
        <f t="shared" si="539"/>
        <v>33.3333333333333</v>
      </c>
      <c r="LY102" s="135" t="str">
        <f t="shared" si="474"/>
        <v>F</v>
      </c>
      <c r="LZ102" s="151" t="str">
        <f>VLOOKUP(RANK(LX102,$LX$10:$LX$109),Sheet1!$A$381:$B$480,2,FALSE)</f>
        <v>57th</v>
      </c>
      <c r="MA102" s="186"/>
      <c r="MB102" s="186"/>
      <c r="MC102" s="186">
        <f t="shared" si="475"/>
        <v>0</v>
      </c>
      <c r="MD102" s="186" t="str">
        <f t="shared" si="476"/>
        <v>38</v>
      </c>
      <c r="ME102" s="186" t="str">
        <f t="shared" si="477"/>
        <v>41</v>
      </c>
      <c r="MF102" s="183">
        <f t="shared" si="540"/>
        <v>79</v>
      </c>
      <c r="MG102" s="151">
        <f t="shared" si="541"/>
        <v>26.3333333333333</v>
      </c>
      <c r="MH102" s="135" t="str">
        <f t="shared" si="478"/>
        <v>F</v>
      </c>
      <c r="MI102" s="151" t="str">
        <f>VLOOKUP(RANK(MG102,$MG$10:$MG$109),Sheet1!$A$381:$B$480,2,FALSE)</f>
        <v>48th</v>
      </c>
      <c r="MJ102" s="186"/>
      <c r="MK102" s="186"/>
      <c r="ML102" s="186">
        <f t="shared" si="479"/>
        <v>0</v>
      </c>
      <c r="MM102" s="186" t="str">
        <f t="shared" si="480"/>
        <v>51</v>
      </c>
      <c r="MN102" s="186" t="str">
        <f t="shared" si="481"/>
        <v>46</v>
      </c>
      <c r="MO102" s="186">
        <f t="shared" si="542"/>
        <v>97</v>
      </c>
      <c r="MP102" s="186">
        <f t="shared" si="543"/>
        <v>32.3333333333333</v>
      </c>
      <c r="MQ102" s="135" t="str">
        <f t="shared" si="482"/>
        <v>F</v>
      </c>
      <c r="MR102" s="151" t="str">
        <f>VLOOKUP(RANK(MP102,$MP$10:$MP$109),Sheet1!$A$381:$B$480,2,FALSE)</f>
        <v>38th</v>
      </c>
      <c r="MS102" s="186"/>
      <c r="MT102" s="186"/>
      <c r="MU102" s="186">
        <f t="shared" si="483"/>
        <v>0</v>
      </c>
      <c r="MV102" s="186" t="str">
        <f t="shared" si="484"/>
        <v>45</v>
      </c>
      <c r="MW102" s="186" t="str">
        <f t="shared" si="485"/>
        <v>50</v>
      </c>
      <c r="MX102" s="186">
        <f t="shared" si="544"/>
        <v>95</v>
      </c>
      <c r="MY102" s="186">
        <f t="shared" si="545"/>
        <v>31.6666666666667</v>
      </c>
      <c r="MZ102" s="135" t="str">
        <f t="shared" si="486"/>
        <v>F</v>
      </c>
      <c r="NA102" s="151" t="str">
        <f>VLOOKUP(RANK(MY102,$MY$10:$MY$109),Sheet1!$A$381:$B$480,2,FALSE)</f>
        <v>56th</v>
      </c>
      <c r="NB102" s="186"/>
      <c r="NC102" s="186"/>
      <c r="ND102" s="186">
        <f t="shared" si="487"/>
        <v>0</v>
      </c>
      <c r="NE102" s="186" t="str">
        <f t="shared" si="488"/>
        <v>42</v>
      </c>
      <c r="NF102" s="186" t="str">
        <f t="shared" si="489"/>
        <v>34</v>
      </c>
      <c r="NG102" s="186">
        <f t="shared" si="546"/>
        <v>76</v>
      </c>
      <c r="NH102" s="186">
        <f t="shared" si="547"/>
        <v>25.3333333333333</v>
      </c>
      <c r="NI102" s="135" t="str">
        <f t="shared" si="490"/>
        <v>F</v>
      </c>
      <c r="NJ102" s="151" t="str">
        <f>VLOOKUP(RANK(NH102,$NH$10:$NH$109),Sheet1!$A$381:$B$480,2,FALSE)</f>
        <v>80th</v>
      </c>
      <c r="NK102" s="186"/>
      <c r="NL102" s="186"/>
      <c r="NM102" s="186">
        <f t="shared" si="491"/>
        <v>0</v>
      </c>
      <c r="NN102" s="186" t="str">
        <f t="shared" si="492"/>
        <v>45</v>
      </c>
      <c r="NO102" s="186" t="str">
        <f t="shared" si="493"/>
        <v>58</v>
      </c>
      <c r="NP102" s="186">
        <f t="shared" si="548"/>
        <v>103</v>
      </c>
      <c r="NQ102" s="186">
        <f t="shared" si="494"/>
        <v>34.3333333333333</v>
      </c>
      <c r="NR102" s="135" t="str">
        <f t="shared" si="495"/>
        <v>F</v>
      </c>
      <c r="NS102" s="151" t="str">
        <f>VLOOKUP(RANK(NQ102,$NQ$10:$NQ$109),Sheet1!$A$381:$B$480,2,FALSE)</f>
        <v>92nd</v>
      </c>
      <c r="NT102" s="186"/>
      <c r="NU102" s="186"/>
      <c r="NV102" s="186">
        <f t="shared" si="496"/>
        <v>0</v>
      </c>
      <c r="NW102" s="186" t="str">
        <f t="shared" si="497"/>
        <v>0</v>
      </c>
      <c r="NX102" s="186" t="str">
        <f t="shared" si="498"/>
        <v>0</v>
      </c>
      <c r="NY102" s="186">
        <f t="shared" si="549"/>
        <v>0</v>
      </c>
      <c r="NZ102" s="186">
        <f t="shared" si="499"/>
        <v>0</v>
      </c>
      <c r="OA102" s="135" t="str">
        <f t="shared" si="500"/>
        <v>F</v>
      </c>
      <c r="OB102" s="151" t="str">
        <f>VLOOKUP(RANK(NZ102,$NZ$10:$NZ$109),Sheet1!$A$381:$B$480,2,FALSE)</f>
        <v>1st</v>
      </c>
      <c r="OC102" s="186"/>
      <c r="OD102" s="186"/>
      <c r="OE102" s="186">
        <f t="shared" si="501"/>
        <v>0</v>
      </c>
      <c r="OF102" s="186" t="str">
        <f t="shared" si="502"/>
        <v>0</v>
      </c>
      <c r="OG102" s="186" t="str">
        <f t="shared" si="503"/>
        <v>0</v>
      </c>
      <c r="OH102" s="186">
        <f t="shared" si="550"/>
        <v>0</v>
      </c>
      <c r="OI102" s="186">
        <f t="shared" si="504"/>
        <v>0</v>
      </c>
      <c r="OJ102" s="135" t="str">
        <f t="shared" si="505"/>
        <v>F</v>
      </c>
      <c r="OK102" s="151" t="str">
        <f>VLOOKUP(RANK(OI102,$OI$10:$OI$109),Sheet1!$A$381:$B$480,2,FALSE)</f>
        <v>1st</v>
      </c>
      <c r="OL102" s="151"/>
      <c r="OM102" s="151"/>
      <c r="ON102" s="151">
        <f t="shared" si="551"/>
        <v>0</v>
      </c>
      <c r="OO102" s="151" t="str">
        <f t="shared" si="552"/>
        <v>0</v>
      </c>
      <c r="OP102" s="151" t="str">
        <f t="shared" si="553"/>
        <v>0</v>
      </c>
      <c r="OQ102" s="151">
        <f t="shared" si="554"/>
        <v>0</v>
      </c>
      <c r="OR102" s="151">
        <f t="shared" si="555"/>
        <v>0</v>
      </c>
      <c r="OS102" s="135" t="str">
        <f t="shared" si="506"/>
        <v>F</v>
      </c>
      <c r="OT102" s="151" t="str">
        <f>VLOOKUP(RANK(OR102,$OI$10:$OI$109),Sheet1!$A$381:$B$480,2,FALSE)</f>
        <v>1st</v>
      </c>
      <c r="OU102" s="151">
        <f t="shared" si="556"/>
        <v>362</v>
      </c>
      <c r="OV102" s="151">
        <f t="shared" si="557"/>
        <v>21.294117647058801</v>
      </c>
      <c r="OW102" s="151" t="str">
        <f>VLOOKUP(RANK(OV102,$OV$10:$OV$109),Sheet1!$A$381:$B$480,2,FALSE)</f>
        <v>80th</v>
      </c>
      <c r="OX102" s="151"/>
      <c r="OY102" s="186"/>
      <c r="OZ102" s="186"/>
      <c r="PA102" s="186"/>
      <c r="PB102" s="186"/>
    </row>
    <row r="103" spans="1:418" s="118" customFormat="1" ht="18.75">
      <c r="A103" s="131">
        <v>94</v>
      </c>
      <c r="B103" s="132" t="s">
        <v>193</v>
      </c>
      <c r="C103" s="133" t="s">
        <v>97</v>
      </c>
      <c r="D103" s="134">
        <v>22</v>
      </c>
      <c r="E103" s="134">
        <v>51</v>
      </c>
      <c r="F103" s="137">
        <f t="shared" si="315"/>
        <v>73</v>
      </c>
      <c r="G103" s="137">
        <f t="shared" si="316"/>
        <v>73</v>
      </c>
      <c r="H103" s="135" t="str">
        <f t="shared" si="507"/>
        <v>B</v>
      </c>
      <c r="I103" s="135" t="str">
        <f>VLOOKUP(RANK(G103,$G$10:$G$109),Sheet1!$A$381:$B$480,2,FALSE)</f>
        <v>24th</v>
      </c>
      <c r="J103" s="134">
        <v>34</v>
      </c>
      <c r="K103" s="134">
        <v>48</v>
      </c>
      <c r="L103" s="137">
        <f t="shared" si="317"/>
        <v>82</v>
      </c>
      <c r="M103" s="137">
        <f t="shared" si="318"/>
        <v>82</v>
      </c>
      <c r="N103" s="135" t="str">
        <f t="shared" si="319"/>
        <v>A</v>
      </c>
      <c r="O103" s="141" t="str">
        <f>VLOOKUP(RANK(M103,$M$10:$M$109),Sheet1!$A$381:$B$480,2,FALSE)</f>
        <v>5th</v>
      </c>
      <c r="P103" s="144">
        <v>35</v>
      </c>
      <c r="Q103" s="144">
        <v>25</v>
      </c>
      <c r="R103" s="147">
        <f t="shared" si="320"/>
        <v>60</v>
      </c>
      <c r="S103" s="137">
        <f t="shared" si="321"/>
        <v>60</v>
      </c>
      <c r="T103" s="135" t="str">
        <f t="shared" si="322"/>
        <v>B</v>
      </c>
      <c r="U103" s="135" t="str">
        <f>VLOOKUP(RANK(S103,$S$10:$S$109),Sheet1!$A$381:$B$480,2,FALSE)</f>
        <v>13th</v>
      </c>
      <c r="V103" s="134">
        <v>28</v>
      </c>
      <c r="W103" s="134">
        <v>22</v>
      </c>
      <c r="X103" s="137">
        <f t="shared" si="559"/>
        <v>50</v>
      </c>
      <c r="Y103" s="137">
        <f t="shared" si="558"/>
        <v>50</v>
      </c>
      <c r="Z103" s="135" t="str">
        <f t="shared" si="323"/>
        <v>C</v>
      </c>
      <c r="AA103" s="135" t="str">
        <f>VLOOKUP(RANK(Y103,$Y$10:$Y$109),Sheet1!$A$381:$B$480,2,FALSE)</f>
        <v>67th</v>
      </c>
      <c r="AB103" s="134">
        <v>31</v>
      </c>
      <c r="AC103" s="134">
        <v>39</v>
      </c>
      <c r="AD103" s="137">
        <f t="shared" si="324"/>
        <v>70</v>
      </c>
      <c r="AE103" s="137">
        <f t="shared" si="325"/>
        <v>70</v>
      </c>
      <c r="AF103" s="135" t="str">
        <f t="shared" si="326"/>
        <v>B</v>
      </c>
      <c r="AG103" s="135" t="str">
        <f>VLOOKUP(RANK(AE103,$AE$10:$AE$109),Sheet1!$A$381:$B$480,2,FALSE)</f>
        <v>32nd</v>
      </c>
      <c r="AH103" s="137"/>
      <c r="AI103" s="137"/>
      <c r="AJ103" s="137">
        <f t="shared" si="327"/>
        <v>0</v>
      </c>
      <c r="AK103" s="137">
        <f t="shared" si="328"/>
        <v>0</v>
      </c>
      <c r="AL103" s="135" t="str">
        <f t="shared" si="329"/>
        <v>F</v>
      </c>
      <c r="AM103" s="135" t="str">
        <f>VLOOKUP(RANK(AK103,$AK$10:$AK$109),Sheet1!$A$381:$B$480,2,FALSE)</f>
        <v>1st</v>
      </c>
      <c r="AN103" s="134"/>
      <c r="AO103" s="134"/>
      <c r="AP103" s="137">
        <f t="shared" si="330"/>
        <v>0</v>
      </c>
      <c r="AQ103" s="137">
        <f t="shared" si="331"/>
        <v>0</v>
      </c>
      <c r="AR103" s="135" t="str">
        <f t="shared" si="332"/>
        <v>F</v>
      </c>
      <c r="AS103" s="135" t="str">
        <f>VLOOKUP(RANK(AQ103,$AQ$10:$AQ$109),Sheet1!$A$381:$B$480,2,FALSE)</f>
        <v>1st</v>
      </c>
      <c r="AT103" s="144">
        <v>25</v>
      </c>
      <c r="AU103" s="144">
        <v>35</v>
      </c>
      <c r="AV103" s="137">
        <f t="shared" si="333"/>
        <v>60</v>
      </c>
      <c r="AW103" s="137">
        <f t="shared" si="334"/>
        <v>60</v>
      </c>
      <c r="AX103" s="135" t="str">
        <f t="shared" si="335"/>
        <v>B</v>
      </c>
      <c r="AY103" s="141" t="str">
        <f>VLOOKUP(RANK(AW103,$AW$10:$AW$109),Sheet1!$A$381:$B$480,2,FALSE)</f>
        <v>9th</v>
      </c>
      <c r="AZ103" s="144">
        <v>36</v>
      </c>
      <c r="BA103" s="144">
        <v>31</v>
      </c>
      <c r="BB103" s="147">
        <f t="shared" si="336"/>
        <v>67</v>
      </c>
      <c r="BC103" s="137">
        <f t="shared" si="337"/>
        <v>67</v>
      </c>
      <c r="BD103" s="135" t="str">
        <f t="shared" si="338"/>
        <v>B</v>
      </c>
      <c r="BE103" s="135" t="str">
        <f>VLOOKUP(RANK(BC103,$BC$10:$BC$109),Sheet1!$A$381:$B$480,2,FALSE)</f>
        <v>15th</v>
      </c>
      <c r="BF103" s="144">
        <v>12</v>
      </c>
      <c r="BG103" s="144">
        <v>22</v>
      </c>
      <c r="BH103" s="137">
        <f t="shared" si="339"/>
        <v>34</v>
      </c>
      <c r="BI103" s="137">
        <f t="shared" si="340"/>
        <v>34</v>
      </c>
      <c r="BJ103" s="135" t="str">
        <f t="shared" si="341"/>
        <v>F</v>
      </c>
      <c r="BK103" s="141" t="str">
        <f>VLOOKUP(RANK(BI103,$BI$10:$BI$109),Sheet1!$A$381:$B$480,2,FALSE)</f>
        <v>53rd</v>
      </c>
      <c r="BL103" s="149">
        <v>24</v>
      </c>
      <c r="BM103" s="149">
        <v>28</v>
      </c>
      <c r="BN103" s="147">
        <f t="shared" si="342"/>
        <v>52</v>
      </c>
      <c r="BO103" s="137">
        <f t="shared" si="343"/>
        <v>52</v>
      </c>
      <c r="BP103" s="135" t="str">
        <f t="shared" si="344"/>
        <v>C</v>
      </c>
      <c r="BQ103" s="141" t="str">
        <f>VLOOKUP(RANK(BO103,$BO$10:$BO$109),Sheet1!$A$381:$B$480,2,FALSE)</f>
        <v>56th</v>
      </c>
      <c r="BR103" s="149">
        <v>28</v>
      </c>
      <c r="BS103" s="149">
        <v>43</v>
      </c>
      <c r="BT103" s="147">
        <f t="shared" si="345"/>
        <v>71</v>
      </c>
      <c r="BU103" s="137">
        <f t="shared" si="346"/>
        <v>71</v>
      </c>
      <c r="BV103" s="135" t="str">
        <f t="shared" si="347"/>
        <v>B</v>
      </c>
      <c r="BW103" s="135" t="str">
        <f>VLOOKUP(RANK(BU103,$BU$10:$BU$109),Sheet1!$A$381:$B$480,2,FALSE)</f>
        <v>9th</v>
      </c>
      <c r="BX103" s="149">
        <v>33</v>
      </c>
      <c r="BY103" s="149">
        <v>30</v>
      </c>
      <c r="BZ103" s="137">
        <f t="shared" si="348"/>
        <v>63</v>
      </c>
      <c r="CA103" s="137">
        <f t="shared" si="349"/>
        <v>63</v>
      </c>
      <c r="CB103" s="135" t="str">
        <f t="shared" si="350"/>
        <v>B</v>
      </c>
      <c r="CC103" s="135" t="str">
        <f>VLOOKUP(RANK(CA103,$CA$10:$CA$109),Sheet1!$A$381:$B$480,2,FALSE)</f>
        <v>3rd</v>
      </c>
      <c r="CD103" s="149">
        <v>25</v>
      </c>
      <c r="CE103" s="149">
        <v>25</v>
      </c>
      <c r="CF103" s="137">
        <f t="shared" si="351"/>
        <v>50</v>
      </c>
      <c r="CG103" s="137">
        <f t="shared" si="352"/>
        <v>50</v>
      </c>
      <c r="CH103" s="135" t="str">
        <f t="shared" si="353"/>
        <v>C</v>
      </c>
      <c r="CI103" s="135" t="str">
        <f>VLOOKUP(RANK(CG103,$CG$10:$CG$109),Sheet1!$A$381:$B$480,2,FALSE)</f>
        <v>71st</v>
      </c>
      <c r="CJ103" s="137"/>
      <c r="CK103" s="137"/>
      <c r="CL103" s="137">
        <f t="shared" si="354"/>
        <v>0</v>
      </c>
      <c r="CM103" s="137">
        <f t="shared" si="355"/>
        <v>0</v>
      </c>
      <c r="CN103" s="135" t="str">
        <f t="shared" si="356"/>
        <v>F</v>
      </c>
      <c r="CO103" s="135" t="str">
        <f>VLOOKUP(RANK(CM103,$CM$10:$CM$109),Sheet1!$A$381:$B$480,2,FALSE)</f>
        <v>1st</v>
      </c>
      <c r="CP103" s="137"/>
      <c r="CQ103" s="137"/>
      <c r="CR103" s="137">
        <f t="shared" si="357"/>
        <v>0</v>
      </c>
      <c r="CS103" s="137">
        <f t="shared" si="358"/>
        <v>0</v>
      </c>
      <c r="CT103" s="135" t="str">
        <f t="shared" si="359"/>
        <v>F</v>
      </c>
      <c r="CU103" s="135" t="str">
        <f>VLOOKUP(RANK(CS103,$CS$10:$CS$109),Sheet1!$A$381:$B$480,2,FALSE)</f>
        <v>1st</v>
      </c>
      <c r="CV103" s="151"/>
      <c r="CW103" s="135"/>
      <c r="CX103" s="151">
        <f t="shared" si="508"/>
        <v>0</v>
      </c>
      <c r="CY103" s="151">
        <f t="shared" si="509"/>
        <v>0</v>
      </c>
      <c r="CZ103" s="135" t="str">
        <f t="shared" si="360"/>
        <v>F</v>
      </c>
      <c r="DA103" s="135" t="str">
        <f>VLOOKUP(RANK(CY103,$CY$10:$CY$109),Sheet1!$A$381:$B$480,2,FALSE)</f>
        <v>1st</v>
      </c>
      <c r="DB103" s="135"/>
      <c r="DC103" s="151">
        <f t="shared" si="510"/>
        <v>732</v>
      </c>
      <c r="DD103" s="151">
        <f t="shared" si="511"/>
        <v>43.058823529411796</v>
      </c>
      <c r="DE103" s="135" t="str">
        <f>VLOOKUP(RANK(DD103,$DD$10:$DD$109),Sheet1!$A$381:$B$480,2,FALSE)</f>
        <v>14th</v>
      </c>
      <c r="DF103" s="137"/>
      <c r="DG103" s="160">
        <f t="shared" si="361"/>
        <v>775.05882352941205</v>
      </c>
      <c r="DH103" s="119"/>
      <c r="DI103" s="162">
        <v>20</v>
      </c>
      <c r="DJ103" s="162">
        <v>38</v>
      </c>
      <c r="DK103" s="137">
        <f t="shared" si="362"/>
        <v>58</v>
      </c>
      <c r="DL103" s="137" t="str">
        <f t="shared" si="363"/>
        <v>73</v>
      </c>
      <c r="DM103" s="137">
        <f t="shared" si="364"/>
        <v>131</v>
      </c>
      <c r="DN103" s="137">
        <f t="shared" si="365"/>
        <v>65.5</v>
      </c>
      <c r="DO103" s="135" t="str">
        <f t="shared" si="366"/>
        <v>B</v>
      </c>
      <c r="DP103" s="135" t="str">
        <f>VLOOKUP(RANK(DN103,$DN$10:$DN$109),Sheet1!$A$381:$B$480,2,FALSE)</f>
        <v>55th</v>
      </c>
      <c r="DQ103" s="166">
        <v>23</v>
      </c>
      <c r="DR103" s="166">
        <v>19</v>
      </c>
      <c r="DS103" s="137">
        <f t="shared" si="367"/>
        <v>42</v>
      </c>
      <c r="DT103" s="137" t="str">
        <f t="shared" si="368"/>
        <v>82</v>
      </c>
      <c r="DU103" s="137">
        <f t="shared" si="369"/>
        <v>124</v>
      </c>
      <c r="DV103" s="137">
        <f t="shared" si="370"/>
        <v>62</v>
      </c>
      <c r="DW103" s="135" t="str">
        <f t="shared" si="371"/>
        <v>B</v>
      </c>
      <c r="DX103" s="135" t="str">
        <f>VLOOKUP(RANK(DV103,$DV$10:$DV$109),Sheet1!$A$381:$B$480,2,FALSE)</f>
        <v>10th</v>
      </c>
      <c r="DY103" s="168">
        <v>32</v>
      </c>
      <c r="DZ103" s="168">
        <v>18</v>
      </c>
      <c r="EA103" s="137">
        <f t="shared" si="372"/>
        <v>50</v>
      </c>
      <c r="EB103" s="137" t="str">
        <f t="shared" si="373"/>
        <v>60</v>
      </c>
      <c r="EC103" s="137">
        <f t="shared" si="374"/>
        <v>110</v>
      </c>
      <c r="ED103" s="137">
        <f t="shared" si="375"/>
        <v>55</v>
      </c>
      <c r="EE103" s="135" t="str">
        <f t="shared" si="376"/>
        <v>C</v>
      </c>
      <c r="EF103" s="135" t="str">
        <f>VLOOKUP(RANK(ED103,$ED$10:$ED$109),Sheet1!$A$381:$B$480,2,FALSE)</f>
        <v>27th</v>
      </c>
      <c r="EG103" s="162">
        <v>35</v>
      </c>
      <c r="EH103" s="162">
        <v>50</v>
      </c>
      <c r="EI103" s="137">
        <f t="shared" si="377"/>
        <v>85</v>
      </c>
      <c r="EJ103" s="137" t="str">
        <f t="shared" si="378"/>
        <v>50</v>
      </c>
      <c r="EK103" s="137">
        <f t="shared" si="379"/>
        <v>135</v>
      </c>
      <c r="EL103" s="137">
        <f t="shared" si="380"/>
        <v>67.5</v>
      </c>
      <c r="EM103" s="135" t="str">
        <f t="shared" si="381"/>
        <v>B</v>
      </c>
      <c r="EN103" s="135" t="str">
        <f>VLOOKUP(RANK(EL103,$EL$10:$EL$109),Sheet1!$A$381:$B$480,2,FALSE)</f>
        <v>18th</v>
      </c>
      <c r="EO103" s="162">
        <v>34</v>
      </c>
      <c r="EP103" s="162">
        <v>32</v>
      </c>
      <c r="EQ103" s="137">
        <f t="shared" si="382"/>
        <v>66</v>
      </c>
      <c r="ER103" s="137" t="str">
        <f t="shared" si="383"/>
        <v>70</v>
      </c>
      <c r="ES103" s="137">
        <f t="shared" si="384"/>
        <v>136</v>
      </c>
      <c r="ET103" s="137">
        <f t="shared" si="385"/>
        <v>68</v>
      </c>
      <c r="EU103" s="135" t="str">
        <f t="shared" si="386"/>
        <v>B</v>
      </c>
      <c r="EV103" s="135" t="str">
        <f>VLOOKUP(RANK(ET103,$ET$10:$ET$109),Sheet1!$A$381:$B$480,2,FALSE)</f>
        <v>22nd</v>
      </c>
      <c r="EW103" s="137"/>
      <c r="EX103" s="137"/>
      <c r="EY103" s="137">
        <f t="shared" si="387"/>
        <v>0</v>
      </c>
      <c r="EZ103" s="137" t="str">
        <f t="shared" si="388"/>
        <v>0</v>
      </c>
      <c r="FA103" s="137">
        <f t="shared" si="389"/>
        <v>0</v>
      </c>
      <c r="FB103" s="137">
        <f t="shared" si="390"/>
        <v>0</v>
      </c>
      <c r="FC103" s="135" t="str">
        <f t="shared" si="391"/>
        <v>F</v>
      </c>
      <c r="FD103" s="135" t="str">
        <f>VLOOKUP(RANK(FB103,$FB$10:$FB$109),Sheet1!$A$381:$B$480,2,FALSE)</f>
        <v>1st</v>
      </c>
      <c r="FE103" s="137"/>
      <c r="FF103" s="137"/>
      <c r="FG103" s="137">
        <f t="shared" si="392"/>
        <v>0</v>
      </c>
      <c r="FH103" s="137" t="str">
        <f t="shared" si="393"/>
        <v>0</v>
      </c>
      <c r="FI103" s="137">
        <f t="shared" si="394"/>
        <v>0</v>
      </c>
      <c r="FJ103" s="137">
        <f t="shared" si="395"/>
        <v>0</v>
      </c>
      <c r="FK103" s="135" t="str">
        <f t="shared" si="396"/>
        <v>F</v>
      </c>
      <c r="FL103" s="135" t="str">
        <f>VLOOKUP(RANK(FJ103,$FJ$10:$FJ$109),Sheet1!$A$381:$B$480,2,FALSE)</f>
        <v>1st</v>
      </c>
      <c r="FM103" s="166">
        <v>28</v>
      </c>
      <c r="FN103" s="166">
        <v>32</v>
      </c>
      <c r="FO103" s="137">
        <f t="shared" si="397"/>
        <v>60</v>
      </c>
      <c r="FP103" s="137" t="str">
        <f t="shared" si="398"/>
        <v>60</v>
      </c>
      <c r="FQ103" s="137">
        <f t="shared" si="399"/>
        <v>120</v>
      </c>
      <c r="FR103" s="137">
        <f t="shared" si="400"/>
        <v>60</v>
      </c>
      <c r="FS103" s="135" t="str">
        <f t="shared" si="401"/>
        <v>B</v>
      </c>
      <c r="FT103" s="135" t="str">
        <f>VLOOKUP(RANK(FR103,$FR$10:$FR$109),Sheet1!$A$381:$B$480,2,FALSE)</f>
        <v>7th</v>
      </c>
      <c r="FU103" s="149">
        <v>38</v>
      </c>
      <c r="FV103" s="149">
        <v>30</v>
      </c>
      <c r="FW103" s="137">
        <f t="shared" si="402"/>
        <v>68</v>
      </c>
      <c r="FX103" s="137" t="str">
        <f t="shared" si="403"/>
        <v>67</v>
      </c>
      <c r="FY103" s="137">
        <f t="shared" si="512"/>
        <v>68</v>
      </c>
      <c r="FZ103" s="137">
        <f t="shared" si="404"/>
        <v>34</v>
      </c>
      <c r="GA103" s="135" t="str">
        <f t="shared" si="405"/>
        <v>F</v>
      </c>
      <c r="GB103" s="135" t="str">
        <f>VLOOKUP(RANK(FZ103,$FZ$10:$FZ$109),Sheet1!$A$381:$B$480,2,FALSE)</f>
        <v>4th</v>
      </c>
      <c r="GC103" s="166">
        <v>17</v>
      </c>
      <c r="GD103" s="166">
        <v>29</v>
      </c>
      <c r="GE103" s="137">
        <f t="shared" si="406"/>
        <v>46</v>
      </c>
      <c r="GF103" s="137" t="str">
        <f t="shared" si="407"/>
        <v>34</v>
      </c>
      <c r="GG103" s="135">
        <f t="shared" si="513"/>
        <v>80</v>
      </c>
      <c r="GH103" s="137">
        <f t="shared" si="514"/>
        <v>40</v>
      </c>
      <c r="GI103" s="135" t="str">
        <f t="shared" si="408"/>
        <v>D</v>
      </c>
      <c r="GJ103" s="135" t="str">
        <f>VLOOKUP(RANK(GH103,$GH$10:$GH$109),Sheet1!$A$381:$B$480,2,FALSE)</f>
        <v>44th</v>
      </c>
      <c r="GK103" s="166">
        <v>26</v>
      </c>
      <c r="GL103" s="166">
        <v>15</v>
      </c>
      <c r="GM103" s="137">
        <f t="shared" si="409"/>
        <v>41</v>
      </c>
      <c r="GN103" s="137" t="str">
        <f t="shared" si="410"/>
        <v>52</v>
      </c>
      <c r="GO103" s="135">
        <f t="shared" si="515"/>
        <v>93</v>
      </c>
      <c r="GP103" s="137">
        <f t="shared" si="411"/>
        <v>46.5</v>
      </c>
      <c r="GQ103" s="135" t="str">
        <f t="shared" si="412"/>
        <v>D</v>
      </c>
      <c r="GR103" s="135" t="str">
        <f>VLOOKUP(RANK(GP103,$GP$10:$GP$109),Sheet1!$A$381:$B$480,2,FALSE)</f>
        <v>74th</v>
      </c>
      <c r="GS103" s="166">
        <v>32</v>
      </c>
      <c r="GT103" s="166">
        <v>31</v>
      </c>
      <c r="GU103" s="137">
        <f t="shared" si="413"/>
        <v>63</v>
      </c>
      <c r="GV103" s="137" t="str">
        <f t="shared" si="414"/>
        <v>71</v>
      </c>
      <c r="GW103" s="137">
        <f t="shared" si="415"/>
        <v>134</v>
      </c>
      <c r="GX103" s="137">
        <f t="shared" si="416"/>
        <v>67</v>
      </c>
      <c r="GY103" s="135" t="str">
        <f t="shared" si="417"/>
        <v>B</v>
      </c>
      <c r="GZ103" s="135" t="str">
        <f>VLOOKUP(RANK(GX103,$GX$10:$GX$109),Sheet1!$A$381:$B$480,2,FALSE)</f>
        <v>16th</v>
      </c>
      <c r="HA103" s="166">
        <v>28</v>
      </c>
      <c r="HB103" s="166">
        <v>19</v>
      </c>
      <c r="HC103" s="137">
        <f t="shared" si="418"/>
        <v>47</v>
      </c>
      <c r="HD103" s="137" t="str">
        <f t="shared" si="419"/>
        <v>63</v>
      </c>
      <c r="HE103" s="137">
        <f t="shared" si="420"/>
        <v>110</v>
      </c>
      <c r="HF103" s="137">
        <f t="shared" si="421"/>
        <v>55</v>
      </c>
      <c r="HG103" s="135" t="str">
        <f t="shared" si="422"/>
        <v>C</v>
      </c>
      <c r="HH103" s="135" t="str">
        <f>VLOOKUP(RANK(HF103,$HF$10:$HF$109),Sheet1!$A$381:$B$480,2,FALSE)</f>
        <v>5th</v>
      </c>
      <c r="HI103" s="149">
        <v>26</v>
      </c>
      <c r="HJ103" s="149">
        <v>48</v>
      </c>
      <c r="HK103" s="137">
        <f t="shared" si="423"/>
        <v>74</v>
      </c>
      <c r="HL103" s="137" t="str">
        <f t="shared" si="424"/>
        <v>50</v>
      </c>
      <c r="HM103" s="137">
        <f t="shared" si="425"/>
        <v>124</v>
      </c>
      <c r="HN103" s="137">
        <f t="shared" si="426"/>
        <v>62</v>
      </c>
      <c r="HO103" s="135" t="str">
        <f t="shared" si="427"/>
        <v>B</v>
      </c>
      <c r="HP103" s="135" t="str">
        <f>VLOOKUP(RANK(HN103,$HN$10:$HN$109),Sheet1!$A$381:$B$480,2,FALSE)</f>
        <v>60th</v>
      </c>
      <c r="HQ103" s="137"/>
      <c r="HR103" s="137"/>
      <c r="HS103" s="137">
        <f t="shared" si="428"/>
        <v>0</v>
      </c>
      <c r="HT103" s="137" t="str">
        <f t="shared" si="429"/>
        <v>0</v>
      </c>
      <c r="HU103" s="137">
        <f t="shared" si="430"/>
        <v>0</v>
      </c>
      <c r="HV103" s="137">
        <f t="shared" si="431"/>
        <v>0</v>
      </c>
      <c r="HW103" s="135" t="str">
        <f t="shared" si="432"/>
        <v>F</v>
      </c>
      <c r="HX103" s="135" t="str">
        <f>VLOOKUP(RANK(HV103,$HV$10:$HV$109),Sheet1!$A$381:$B$480,2,FALSE)</f>
        <v>1st</v>
      </c>
      <c r="HY103" s="137"/>
      <c r="HZ103" s="137"/>
      <c r="IA103" s="137">
        <f t="shared" si="433"/>
        <v>0</v>
      </c>
      <c r="IB103" s="137" t="str">
        <f t="shared" si="434"/>
        <v>0</v>
      </c>
      <c r="IC103" s="137">
        <f t="shared" si="435"/>
        <v>0</v>
      </c>
      <c r="ID103" s="137">
        <f t="shared" si="436"/>
        <v>0</v>
      </c>
      <c r="IE103" s="135" t="str">
        <f t="shared" si="437"/>
        <v>F</v>
      </c>
      <c r="IF103" s="135" t="str">
        <f>VLOOKUP(RANK(ID103,$ID$10:$ID$109),Sheet1!$A$381:$B$480,2,FALSE)</f>
        <v>1st</v>
      </c>
      <c r="IG103" s="135"/>
      <c r="IH103" s="135"/>
      <c r="II103" s="135">
        <f t="shared" si="516"/>
        <v>0</v>
      </c>
      <c r="IJ103" s="135" t="str">
        <f t="shared" si="517"/>
        <v>0</v>
      </c>
      <c r="IK103" s="135">
        <f t="shared" si="518"/>
        <v>0</v>
      </c>
      <c r="IL103" s="135">
        <f t="shared" si="519"/>
        <v>0</v>
      </c>
      <c r="IM103" s="135" t="str">
        <f t="shared" si="438"/>
        <v>F</v>
      </c>
      <c r="IN103" s="135" t="str">
        <f>VLOOKUP(RANK(IL103,$IL$10:$IL$109),Sheet1!$A$381:$B$480,2,FALSE)</f>
        <v>1st</v>
      </c>
      <c r="IO103" s="135">
        <f t="shared" si="520"/>
        <v>682.5</v>
      </c>
      <c r="IP103" s="177">
        <f t="shared" si="521"/>
        <v>40.147058823529399</v>
      </c>
      <c r="IQ103" s="135" t="str">
        <f>VLOOKUP(RANK(IP103,$IP$10:$IP$109),Sheet1!$A$381:$B$480,2,FALSE)</f>
        <v>16th</v>
      </c>
      <c r="IR103" s="178"/>
      <c r="IS103" s="137"/>
      <c r="IT103" s="137"/>
      <c r="IU103" s="137"/>
      <c r="IV103" s="137"/>
      <c r="IW103" s="181"/>
      <c r="IX103" s="184"/>
      <c r="IY103" s="186"/>
      <c r="IZ103" s="186">
        <f t="shared" si="439"/>
        <v>0</v>
      </c>
      <c r="JA103" s="186" t="str">
        <f t="shared" si="440"/>
        <v>73</v>
      </c>
      <c r="JB103" s="186" t="str">
        <f t="shared" si="441"/>
        <v>58</v>
      </c>
      <c r="JC103" s="186">
        <f t="shared" si="522"/>
        <v>131</v>
      </c>
      <c r="JD103" s="186">
        <f t="shared" si="523"/>
        <v>43.6666666666667</v>
      </c>
      <c r="JE103" s="135" t="str">
        <f t="shared" si="442"/>
        <v>D</v>
      </c>
      <c r="JF103" s="151" t="str">
        <f>VLOOKUP(RANK(JD103,$JD$10:$JD$109),Sheet1!$A$381:$B$480,2,FALSE)</f>
        <v>55th</v>
      </c>
      <c r="JG103" s="186"/>
      <c r="JH103" s="186"/>
      <c r="JI103" s="186">
        <f t="shared" si="443"/>
        <v>0</v>
      </c>
      <c r="JJ103" s="186" t="str">
        <f t="shared" si="444"/>
        <v>82</v>
      </c>
      <c r="JK103" s="186" t="str">
        <f t="shared" si="445"/>
        <v>42</v>
      </c>
      <c r="JL103" s="186">
        <f t="shared" si="524"/>
        <v>124</v>
      </c>
      <c r="JM103" s="186">
        <f t="shared" si="525"/>
        <v>41.3333333333333</v>
      </c>
      <c r="JN103" s="135" t="str">
        <f t="shared" si="446"/>
        <v>D</v>
      </c>
      <c r="JO103" s="151" t="str">
        <f>VLOOKUP(RANK(JM103,$JM$10:$JM$109),Sheet1!$A$381:$B$480,2,FALSE)</f>
        <v>10th</v>
      </c>
      <c r="JP103" s="186"/>
      <c r="JQ103" s="186"/>
      <c r="JR103" s="186">
        <f t="shared" si="447"/>
        <v>0</v>
      </c>
      <c r="JS103" s="186" t="str">
        <f t="shared" si="448"/>
        <v>60</v>
      </c>
      <c r="JT103" s="186" t="str">
        <f t="shared" si="449"/>
        <v>50</v>
      </c>
      <c r="JU103" s="186">
        <f t="shared" si="526"/>
        <v>110</v>
      </c>
      <c r="JV103" s="186">
        <f t="shared" si="527"/>
        <v>36.6666666666667</v>
      </c>
      <c r="JW103" s="135" t="str">
        <f t="shared" si="450"/>
        <v>E</v>
      </c>
      <c r="JX103" s="151" t="str">
        <f>VLOOKUP(RANK(JV103,$JV$10:$JV$109),Sheet1!$A$381:$B$480,2,FALSE)</f>
        <v>27th</v>
      </c>
      <c r="JY103" s="186"/>
      <c r="JZ103" s="186"/>
      <c r="KA103" s="186">
        <f t="shared" si="451"/>
        <v>0</v>
      </c>
      <c r="KB103" s="186" t="str">
        <f t="shared" si="452"/>
        <v>50</v>
      </c>
      <c r="KC103" s="186" t="str">
        <f t="shared" si="453"/>
        <v>85</v>
      </c>
      <c r="KD103" s="186">
        <f t="shared" si="528"/>
        <v>135</v>
      </c>
      <c r="KE103" s="186">
        <f t="shared" si="529"/>
        <v>45</v>
      </c>
      <c r="KF103" s="135" t="str">
        <f t="shared" si="454"/>
        <v>D</v>
      </c>
      <c r="KG103" s="151" t="str">
        <f>VLOOKUP(RANK(KE103,$KE$10:$KE$109),Sheet1!$A$381:$B$480,2,FALSE)</f>
        <v>18th</v>
      </c>
      <c r="KH103" s="186"/>
      <c r="KI103" s="186"/>
      <c r="KJ103" s="186">
        <f t="shared" si="455"/>
        <v>0</v>
      </c>
      <c r="KK103" s="186" t="str">
        <f t="shared" si="456"/>
        <v>70</v>
      </c>
      <c r="KL103" s="186" t="str">
        <f t="shared" si="457"/>
        <v>66</v>
      </c>
      <c r="KM103" s="186">
        <f t="shared" si="530"/>
        <v>136</v>
      </c>
      <c r="KN103" s="186">
        <f t="shared" si="531"/>
        <v>45.3333333333333</v>
      </c>
      <c r="KO103" s="135" t="str">
        <f t="shared" si="458"/>
        <v>D</v>
      </c>
      <c r="KP103" s="151" t="str">
        <f>VLOOKUP(RANK(KN103,$KN$10:$KN$109),Sheet1!$A$381:$B$480,2,FALSE)</f>
        <v>22nd</v>
      </c>
      <c r="KQ103" s="186"/>
      <c r="KR103" s="186"/>
      <c r="KS103" s="186">
        <f t="shared" si="459"/>
        <v>0</v>
      </c>
      <c r="KT103" s="186" t="str">
        <f t="shared" si="460"/>
        <v>0</v>
      </c>
      <c r="KU103" s="186" t="str">
        <f t="shared" si="461"/>
        <v>0</v>
      </c>
      <c r="KV103" s="186">
        <f t="shared" si="532"/>
        <v>0</v>
      </c>
      <c r="KW103" s="186">
        <f t="shared" si="533"/>
        <v>0</v>
      </c>
      <c r="KX103" s="135" t="str">
        <f t="shared" si="462"/>
        <v>F</v>
      </c>
      <c r="KY103" s="151" t="str">
        <f>VLOOKUP(RANK(KW103,$KW$10:$KW$109),Sheet1!$A$381:$B$480,2,FALSE)</f>
        <v>1st</v>
      </c>
      <c r="KZ103" s="186"/>
      <c r="LA103" s="186"/>
      <c r="LB103" s="186">
        <f t="shared" si="463"/>
        <v>0</v>
      </c>
      <c r="LC103" s="186" t="str">
        <f t="shared" si="464"/>
        <v>0</v>
      </c>
      <c r="LD103" s="186" t="str">
        <f t="shared" si="465"/>
        <v>0</v>
      </c>
      <c r="LE103" s="186">
        <f t="shared" si="534"/>
        <v>0</v>
      </c>
      <c r="LF103" s="186">
        <f t="shared" si="535"/>
        <v>0</v>
      </c>
      <c r="LG103" s="135" t="str">
        <f t="shared" si="466"/>
        <v>F</v>
      </c>
      <c r="LH103" s="151" t="str">
        <f>VLOOKUP(RANK(LF103,$LF$10:$LF$109),Sheet1!$A$381:$B$480,2,FALSE)</f>
        <v>1st</v>
      </c>
      <c r="LI103" s="186"/>
      <c r="LJ103" s="186"/>
      <c r="LK103" s="186">
        <f t="shared" si="467"/>
        <v>0</v>
      </c>
      <c r="LL103" s="186" t="str">
        <f t="shared" si="468"/>
        <v>60</v>
      </c>
      <c r="LM103" s="186" t="str">
        <f t="shared" si="469"/>
        <v>60</v>
      </c>
      <c r="LN103" s="186">
        <f t="shared" si="536"/>
        <v>120</v>
      </c>
      <c r="LO103" s="186">
        <f t="shared" si="537"/>
        <v>40</v>
      </c>
      <c r="LP103" s="135" t="str">
        <f t="shared" si="470"/>
        <v>D</v>
      </c>
      <c r="LQ103" s="151" t="str">
        <f>VLOOKUP(RANK(LO103,$LO$10:$LO$109),Sheet1!$A$381:$B$480,2,FALSE)</f>
        <v>7th</v>
      </c>
      <c r="LR103" s="186"/>
      <c r="LS103" s="186"/>
      <c r="LT103" s="186">
        <f t="shared" si="471"/>
        <v>0</v>
      </c>
      <c r="LU103" s="186" t="str">
        <f t="shared" si="472"/>
        <v>67</v>
      </c>
      <c r="LV103" s="186" t="str">
        <f t="shared" si="473"/>
        <v>68</v>
      </c>
      <c r="LW103" s="186">
        <f t="shared" si="538"/>
        <v>135</v>
      </c>
      <c r="LX103" s="186">
        <f t="shared" si="539"/>
        <v>45</v>
      </c>
      <c r="LY103" s="135" t="str">
        <f t="shared" si="474"/>
        <v>D</v>
      </c>
      <c r="LZ103" s="151" t="str">
        <f>VLOOKUP(RANK(LX103,$LX$10:$LX$109),Sheet1!$A$381:$B$480,2,FALSE)</f>
        <v>5th</v>
      </c>
      <c r="MA103" s="186"/>
      <c r="MB103" s="186"/>
      <c r="MC103" s="186">
        <f t="shared" si="475"/>
        <v>0</v>
      </c>
      <c r="MD103" s="186" t="str">
        <f t="shared" si="476"/>
        <v>34</v>
      </c>
      <c r="ME103" s="186" t="str">
        <f t="shared" si="477"/>
        <v>46</v>
      </c>
      <c r="MF103" s="183">
        <f t="shared" si="540"/>
        <v>80</v>
      </c>
      <c r="MG103" s="151">
        <f t="shared" si="541"/>
        <v>26.6666666666667</v>
      </c>
      <c r="MH103" s="135" t="str">
        <f t="shared" si="478"/>
        <v>F</v>
      </c>
      <c r="MI103" s="151" t="str">
        <f>VLOOKUP(RANK(MG103,$MG$10:$MG$109),Sheet1!$A$381:$B$480,2,FALSE)</f>
        <v>44th</v>
      </c>
      <c r="MJ103" s="186"/>
      <c r="MK103" s="186"/>
      <c r="ML103" s="186">
        <f t="shared" si="479"/>
        <v>0</v>
      </c>
      <c r="MM103" s="186" t="str">
        <f t="shared" si="480"/>
        <v>52</v>
      </c>
      <c r="MN103" s="186" t="str">
        <f t="shared" si="481"/>
        <v>41</v>
      </c>
      <c r="MO103" s="186">
        <f t="shared" si="542"/>
        <v>93</v>
      </c>
      <c r="MP103" s="186">
        <f t="shared" si="543"/>
        <v>31</v>
      </c>
      <c r="MQ103" s="135" t="str">
        <f t="shared" si="482"/>
        <v>F</v>
      </c>
      <c r="MR103" s="151" t="str">
        <f>VLOOKUP(RANK(MP103,$MP$10:$MP$109),Sheet1!$A$381:$B$480,2,FALSE)</f>
        <v>74th</v>
      </c>
      <c r="MS103" s="186"/>
      <c r="MT103" s="186"/>
      <c r="MU103" s="186">
        <f t="shared" si="483"/>
        <v>0</v>
      </c>
      <c r="MV103" s="186" t="str">
        <f t="shared" si="484"/>
        <v>71</v>
      </c>
      <c r="MW103" s="186" t="str">
        <f t="shared" si="485"/>
        <v>63</v>
      </c>
      <c r="MX103" s="186">
        <f t="shared" si="544"/>
        <v>134</v>
      </c>
      <c r="MY103" s="186">
        <f t="shared" si="545"/>
        <v>44.6666666666667</v>
      </c>
      <c r="MZ103" s="135" t="str">
        <f t="shared" si="486"/>
        <v>D</v>
      </c>
      <c r="NA103" s="151" t="str">
        <f>VLOOKUP(RANK(MY103,$MY$10:$MY$109),Sheet1!$A$381:$B$480,2,FALSE)</f>
        <v>16th</v>
      </c>
      <c r="NB103" s="186"/>
      <c r="NC103" s="186"/>
      <c r="ND103" s="186">
        <f t="shared" si="487"/>
        <v>0</v>
      </c>
      <c r="NE103" s="186" t="str">
        <f t="shared" si="488"/>
        <v>63</v>
      </c>
      <c r="NF103" s="186" t="str">
        <f t="shared" si="489"/>
        <v>47</v>
      </c>
      <c r="NG103" s="186">
        <f t="shared" si="546"/>
        <v>110</v>
      </c>
      <c r="NH103" s="186">
        <f t="shared" si="547"/>
        <v>36.6666666666667</v>
      </c>
      <c r="NI103" s="135" t="str">
        <f t="shared" si="490"/>
        <v>E</v>
      </c>
      <c r="NJ103" s="151" t="str">
        <f>VLOOKUP(RANK(NH103,$NH$10:$NH$109),Sheet1!$A$381:$B$480,2,FALSE)</f>
        <v>5th</v>
      </c>
      <c r="NK103" s="186"/>
      <c r="NL103" s="186"/>
      <c r="NM103" s="186">
        <f t="shared" si="491"/>
        <v>0</v>
      </c>
      <c r="NN103" s="186" t="str">
        <f t="shared" si="492"/>
        <v>50</v>
      </c>
      <c r="NO103" s="186" t="str">
        <f t="shared" si="493"/>
        <v>74</v>
      </c>
      <c r="NP103" s="186">
        <f t="shared" si="548"/>
        <v>124</v>
      </c>
      <c r="NQ103" s="186">
        <f t="shared" si="494"/>
        <v>41.3333333333333</v>
      </c>
      <c r="NR103" s="135" t="str">
        <f t="shared" si="495"/>
        <v>D</v>
      </c>
      <c r="NS103" s="151" t="str">
        <f>VLOOKUP(RANK(NQ103,$NQ$10:$NQ$109),Sheet1!$A$381:$B$480,2,FALSE)</f>
        <v>60th</v>
      </c>
      <c r="NT103" s="186"/>
      <c r="NU103" s="186"/>
      <c r="NV103" s="186">
        <f t="shared" si="496"/>
        <v>0</v>
      </c>
      <c r="NW103" s="186" t="str">
        <f t="shared" si="497"/>
        <v>0</v>
      </c>
      <c r="NX103" s="186" t="str">
        <f t="shared" si="498"/>
        <v>0</v>
      </c>
      <c r="NY103" s="186">
        <f t="shared" si="549"/>
        <v>0</v>
      </c>
      <c r="NZ103" s="186">
        <f t="shared" si="499"/>
        <v>0</v>
      </c>
      <c r="OA103" s="135" t="str">
        <f t="shared" si="500"/>
        <v>F</v>
      </c>
      <c r="OB103" s="151" t="str">
        <f>VLOOKUP(RANK(NZ103,$NZ$10:$NZ$109),Sheet1!$A$381:$B$480,2,FALSE)</f>
        <v>1st</v>
      </c>
      <c r="OC103" s="186"/>
      <c r="OD103" s="186"/>
      <c r="OE103" s="186">
        <f t="shared" si="501"/>
        <v>0</v>
      </c>
      <c r="OF103" s="186" t="str">
        <f t="shared" si="502"/>
        <v>0</v>
      </c>
      <c r="OG103" s="186" t="str">
        <f t="shared" si="503"/>
        <v>0</v>
      </c>
      <c r="OH103" s="186">
        <f t="shared" si="550"/>
        <v>0</v>
      </c>
      <c r="OI103" s="186">
        <f t="shared" si="504"/>
        <v>0</v>
      </c>
      <c r="OJ103" s="135" t="str">
        <f t="shared" si="505"/>
        <v>F</v>
      </c>
      <c r="OK103" s="151" t="str">
        <f>VLOOKUP(RANK(OI103,$OI$10:$OI$109),Sheet1!$A$381:$B$480,2,FALSE)</f>
        <v>1st</v>
      </c>
      <c r="OL103" s="151"/>
      <c r="OM103" s="151"/>
      <c r="ON103" s="151">
        <f t="shared" si="551"/>
        <v>0</v>
      </c>
      <c r="OO103" s="151" t="str">
        <f t="shared" si="552"/>
        <v>0</v>
      </c>
      <c r="OP103" s="151" t="str">
        <f t="shared" si="553"/>
        <v>0</v>
      </c>
      <c r="OQ103" s="151">
        <f t="shared" si="554"/>
        <v>0</v>
      </c>
      <c r="OR103" s="151">
        <f t="shared" si="555"/>
        <v>0</v>
      </c>
      <c r="OS103" s="135" t="str">
        <f t="shared" si="506"/>
        <v>F</v>
      </c>
      <c r="OT103" s="151" t="str">
        <f>VLOOKUP(RANK(OR103,$OI$10:$OI$109),Sheet1!$A$381:$B$480,2,FALSE)</f>
        <v>1st</v>
      </c>
      <c r="OU103" s="151">
        <f t="shared" si="556"/>
        <v>477.33333333333297</v>
      </c>
      <c r="OV103" s="151">
        <f t="shared" si="557"/>
        <v>28.078431372549002</v>
      </c>
      <c r="OW103" s="151" t="str">
        <f>VLOOKUP(RANK(OV103,$OV$10:$OV$109),Sheet1!$A$381:$B$480,2,FALSE)</f>
        <v>16th</v>
      </c>
      <c r="OX103" s="151"/>
      <c r="OY103" s="186"/>
      <c r="OZ103" s="186"/>
      <c r="PA103" s="186"/>
      <c r="PB103" s="186"/>
    </row>
    <row r="104" spans="1:418" s="118" customFormat="1" ht="18.75">
      <c r="A104" s="131">
        <v>95</v>
      </c>
      <c r="B104" s="132" t="s">
        <v>194</v>
      </c>
      <c r="C104" s="133" t="s">
        <v>97</v>
      </c>
      <c r="D104" s="134">
        <v>26</v>
      </c>
      <c r="E104" s="134">
        <v>40</v>
      </c>
      <c r="F104" s="137">
        <f t="shared" si="315"/>
        <v>66</v>
      </c>
      <c r="G104" s="137">
        <f t="shared" si="316"/>
        <v>66</v>
      </c>
      <c r="H104" s="135" t="str">
        <f t="shared" si="507"/>
        <v>B</v>
      </c>
      <c r="I104" s="135" t="str">
        <f>VLOOKUP(RANK(G104,$G$10:$G$109),Sheet1!$A$381:$B$480,2,FALSE)</f>
        <v>54th</v>
      </c>
      <c r="J104" s="134">
        <v>30</v>
      </c>
      <c r="K104" s="134">
        <v>38</v>
      </c>
      <c r="L104" s="137">
        <f t="shared" si="317"/>
        <v>68</v>
      </c>
      <c r="M104" s="137">
        <f t="shared" si="318"/>
        <v>68</v>
      </c>
      <c r="N104" s="135" t="str">
        <f t="shared" si="319"/>
        <v>B</v>
      </c>
      <c r="O104" s="141" t="str">
        <f>VLOOKUP(RANK(M104,$M$10:$M$109),Sheet1!$A$381:$B$480,2,FALSE)</f>
        <v>14th</v>
      </c>
      <c r="P104" s="144">
        <v>30</v>
      </c>
      <c r="Q104" s="144">
        <v>20</v>
      </c>
      <c r="R104" s="147">
        <f t="shared" si="320"/>
        <v>50</v>
      </c>
      <c r="S104" s="137">
        <f t="shared" si="321"/>
        <v>50</v>
      </c>
      <c r="T104" s="135" t="str">
        <f t="shared" si="322"/>
        <v>C</v>
      </c>
      <c r="U104" s="135" t="str">
        <f>VLOOKUP(RANK(S104,$S$10:$S$109),Sheet1!$A$381:$B$480,2,FALSE)</f>
        <v>29th</v>
      </c>
      <c r="V104" s="134">
        <v>28</v>
      </c>
      <c r="W104" s="134">
        <v>30</v>
      </c>
      <c r="X104" s="137">
        <f t="shared" si="559"/>
        <v>58</v>
      </c>
      <c r="Y104" s="137">
        <f t="shared" si="558"/>
        <v>58</v>
      </c>
      <c r="Z104" s="135" t="str">
        <f t="shared" si="323"/>
        <v>C</v>
      </c>
      <c r="AA104" s="135" t="str">
        <f>VLOOKUP(RANK(Y104,$Y$10:$Y$109),Sheet1!$A$381:$B$480,2,FALSE)</f>
        <v>38th</v>
      </c>
      <c r="AB104" s="134">
        <v>32</v>
      </c>
      <c r="AC104" s="134">
        <v>43</v>
      </c>
      <c r="AD104" s="137">
        <f t="shared" si="324"/>
        <v>75</v>
      </c>
      <c r="AE104" s="137">
        <f t="shared" si="325"/>
        <v>75</v>
      </c>
      <c r="AF104" s="135" t="str">
        <f t="shared" si="326"/>
        <v>A</v>
      </c>
      <c r="AG104" s="135" t="str">
        <f>VLOOKUP(RANK(AE104,$AE$10:$AE$109),Sheet1!$A$381:$B$480,2,FALSE)</f>
        <v>24th</v>
      </c>
      <c r="AH104" s="137"/>
      <c r="AI104" s="137"/>
      <c r="AJ104" s="137">
        <f t="shared" si="327"/>
        <v>0</v>
      </c>
      <c r="AK104" s="137">
        <f t="shared" si="328"/>
        <v>0</v>
      </c>
      <c r="AL104" s="135" t="str">
        <f t="shared" si="329"/>
        <v>F</v>
      </c>
      <c r="AM104" s="135" t="str">
        <f>VLOOKUP(RANK(AK104,$AK$10:$AK$109),Sheet1!$A$381:$B$480,2,FALSE)</f>
        <v>1st</v>
      </c>
      <c r="AN104" s="139"/>
      <c r="AO104" s="139"/>
      <c r="AP104" s="137">
        <f t="shared" si="330"/>
        <v>0</v>
      </c>
      <c r="AQ104" s="137">
        <f t="shared" si="331"/>
        <v>0</v>
      </c>
      <c r="AR104" s="135" t="str">
        <f t="shared" si="332"/>
        <v>F</v>
      </c>
      <c r="AS104" s="135" t="str">
        <f>VLOOKUP(RANK(AQ104,$AQ$10:$AQ$109),Sheet1!$A$381:$B$480,2,FALSE)</f>
        <v>1st</v>
      </c>
      <c r="AT104" s="144">
        <v>24</v>
      </c>
      <c r="AU104" s="144">
        <v>29</v>
      </c>
      <c r="AV104" s="137">
        <f t="shared" si="333"/>
        <v>53</v>
      </c>
      <c r="AW104" s="137">
        <f t="shared" si="334"/>
        <v>53</v>
      </c>
      <c r="AX104" s="135" t="str">
        <f t="shared" si="335"/>
        <v>C</v>
      </c>
      <c r="AY104" s="141" t="str">
        <f>VLOOKUP(RANK(AW104,$AW$10:$AW$109),Sheet1!$A$381:$B$480,2,FALSE)</f>
        <v>28th</v>
      </c>
      <c r="AZ104" s="144">
        <v>32</v>
      </c>
      <c r="BA104" s="144">
        <v>19</v>
      </c>
      <c r="BB104" s="147">
        <f t="shared" si="336"/>
        <v>51</v>
      </c>
      <c r="BC104" s="137">
        <f t="shared" si="337"/>
        <v>51</v>
      </c>
      <c r="BD104" s="135" t="str">
        <f t="shared" si="338"/>
        <v>C</v>
      </c>
      <c r="BE104" s="135" t="str">
        <f>VLOOKUP(RANK(BC104,$BC$10:$BC$109),Sheet1!$A$381:$B$480,2,FALSE)</f>
        <v>54th</v>
      </c>
      <c r="BF104" s="144">
        <v>10</v>
      </c>
      <c r="BG104" s="144">
        <v>13</v>
      </c>
      <c r="BH104" s="137">
        <f t="shared" si="339"/>
        <v>23</v>
      </c>
      <c r="BI104" s="137">
        <f t="shared" si="340"/>
        <v>23</v>
      </c>
      <c r="BJ104" s="135" t="str">
        <f t="shared" si="341"/>
        <v>F</v>
      </c>
      <c r="BK104" s="141" t="str">
        <f>VLOOKUP(RANK(BI104,$BI$10:$BI$109),Sheet1!$A$381:$B$480,2,FALSE)</f>
        <v>89th</v>
      </c>
      <c r="BL104" s="149">
        <v>27</v>
      </c>
      <c r="BM104" s="149">
        <v>28</v>
      </c>
      <c r="BN104" s="147">
        <f t="shared" si="342"/>
        <v>55</v>
      </c>
      <c r="BO104" s="137">
        <f t="shared" si="343"/>
        <v>55</v>
      </c>
      <c r="BP104" s="135" t="str">
        <f t="shared" si="344"/>
        <v>C</v>
      </c>
      <c r="BQ104" s="141" t="str">
        <f>VLOOKUP(RANK(BO104,$BO$10:$BO$109),Sheet1!$A$381:$B$480,2,FALSE)</f>
        <v>14th</v>
      </c>
      <c r="BR104" s="149">
        <v>26</v>
      </c>
      <c r="BS104" s="149">
        <v>10</v>
      </c>
      <c r="BT104" s="147">
        <f t="shared" si="345"/>
        <v>36</v>
      </c>
      <c r="BU104" s="137">
        <f t="shared" si="346"/>
        <v>36</v>
      </c>
      <c r="BV104" s="135" t="str">
        <f t="shared" si="347"/>
        <v>E</v>
      </c>
      <c r="BW104" s="135" t="str">
        <f>VLOOKUP(RANK(BU104,$BU$10:$BU$109),Sheet1!$A$381:$B$480,2,FALSE)</f>
        <v>76th</v>
      </c>
      <c r="BX104" s="149">
        <v>27</v>
      </c>
      <c r="BY104" s="149">
        <v>13</v>
      </c>
      <c r="BZ104" s="137">
        <f t="shared" si="348"/>
        <v>40</v>
      </c>
      <c r="CA104" s="137">
        <f t="shared" si="349"/>
        <v>40</v>
      </c>
      <c r="CB104" s="135" t="str">
        <f t="shared" si="350"/>
        <v>D</v>
      </c>
      <c r="CC104" s="135" t="str">
        <f>VLOOKUP(RANK(CA104,$CA$10:$CA$109),Sheet1!$A$381:$B$480,2,FALSE)</f>
        <v>43rd</v>
      </c>
      <c r="CD104" s="149">
        <v>30</v>
      </c>
      <c r="CE104" s="149">
        <v>50</v>
      </c>
      <c r="CF104" s="137">
        <f t="shared" si="351"/>
        <v>80</v>
      </c>
      <c r="CG104" s="137">
        <f t="shared" si="352"/>
        <v>80</v>
      </c>
      <c r="CH104" s="135" t="str">
        <f t="shared" si="353"/>
        <v>A</v>
      </c>
      <c r="CI104" s="135" t="str">
        <f>VLOOKUP(RANK(CG104,$CG$10:$CG$109),Sheet1!$A$381:$B$480,2,FALSE)</f>
        <v>6th</v>
      </c>
      <c r="CJ104" s="137"/>
      <c r="CK104" s="137"/>
      <c r="CL104" s="137">
        <f t="shared" si="354"/>
        <v>0</v>
      </c>
      <c r="CM104" s="137">
        <f t="shared" si="355"/>
        <v>0</v>
      </c>
      <c r="CN104" s="135" t="str">
        <f t="shared" si="356"/>
        <v>F</v>
      </c>
      <c r="CO104" s="135" t="str">
        <f>VLOOKUP(RANK(CM104,$CM$10:$CM$109),Sheet1!$A$381:$B$480,2,FALSE)</f>
        <v>1st</v>
      </c>
      <c r="CP104" s="137"/>
      <c r="CQ104" s="137"/>
      <c r="CR104" s="137">
        <f t="shared" si="357"/>
        <v>0</v>
      </c>
      <c r="CS104" s="137">
        <f t="shared" si="358"/>
        <v>0</v>
      </c>
      <c r="CT104" s="135" t="str">
        <f t="shared" si="359"/>
        <v>F</v>
      </c>
      <c r="CU104" s="135" t="str">
        <f>VLOOKUP(RANK(CS104,$CS$10:$CS$109),Sheet1!$A$381:$B$480,2,FALSE)</f>
        <v>1st</v>
      </c>
      <c r="CV104" s="151"/>
      <c r="CW104" s="135"/>
      <c r="CX104" s="151">
        <f t="shared" si="508"/>
        <v>0</v>
      </c>
      <c r="CY104" s="151">
        <f t="shared" si="509"/>
        <v>0</v>
      </c>
      <c r="CZ104" s="135" t="str">
        <f t="shared" si="360"/>
        <v>F</v>
      </c>
      <c r="DA104" s="135" t="str">
        <f>VLOOKUP(RANK(CY104,$CY$10:$CY$109),Sheet1!$A$381:$B$480,2,FALSE)</f>
        <v>1st</v>
      </c>
      <c r="DB104" s="135"/>
      <c r="DC104" s="151">
        <f t="shared" si="510"/>
        <v>655</v>
      </c>
      <c r="DD104" s="151">
        <f t="shared" si="511"/>
        <v>38.529411764705898</v>
      </c>
      <c r="DE104" s="135" t="str">
        <f>VLOOKUP(RANK(DD104,$DD$10:$DD$109),Sheet1!$A$381:$B$480,2,FALSE)</f>
        <v>34th</v>
      </c>
      <c r="DF104" s="137"/>
      <c r="DG104" s="160">
        <f t="shared" si="361"/>
        <v>693.52941176470597</v>
      </c>
      <c r="DH104" s="119"/>
      <c r="DI104" s="162">
        <v>16</v>
      </c>
      <c r="DJ104" s="162">
        <v>41</v>
      </c>
      <c r="DK104" s="137">
        <f t="shared" si="362"/>
        <v>57</v>
      </c>
      <c r="DL104" s="137" t="str">
        <f t="shared" si="363"/>
        <v>66</v>
      </c>
      <c r="DM104" s="137">
        <f t="shared" si="364"/>
        <v>123</v>
      </c>
      <c r="DN104" s="137">
        <f t="shared" si="365"/>
        <v>61.5</v>
      </c>
      <c r="DO104" s="135" t="str">
        <f t="shared" si="366"/>
        <v>B</v>
      </c>
      <c r="DP104" s="135" t="str">
        <f>VLOOKUP(RANK(DN104,$DN$10:$DN$109),Sheet1!$A$381:$B$480,2,FALSE)</f>
        <v>72nd</v>
      </c>
      <c r="DQ104" s="166">
        <v>24</v>
      </c>
      <c r="DR104" s="166">
        <v>21</v>
      </c>
      <c r="DS104" s="137">
        <f t="shared" si="367"/>
        <v>45</v>
      </c>
      <c r="DT104" s="137" t="str">
        <f t="shared" si="368"/>
        <v>68</v>
      </c>
      <c r="DU104" s="137">
        <f t="shared" si="369"/>
        <v>113</v>
      </c>
      <c r="DV104" s="137">
        <f t="shared" si="370"/>
        <v>56.5</v>
      </c>
      <c r="DW104" s="135" t="str">
        <f t="shared" si="371"/>
        <v>C</v>
      </c>
      <c r="DX104" s="135" t="str">
        <f>VLOOKUP(RANK(DV104,$DV$10:$DV$109),Sheet1!$A$381:$B$480,2,FALSE)</f>
        <v>21st</v>
      </c>
      <c r="DY104" s="168">
        <v>28</v>
      </c>
      <c r="DZ104" s="168">
        <v>21</v>
      </c>
      <c r="EA104" s="137">
        <f t="shared" si="372"/>
        <v>49</v>
      </c>
      <c r="EB104" s="137" t="str">
        <f t="shared" si="373"/>
        <v>50</v>
      </c>
      <c r="EC104" s="137">
        <f t="shared" si="374"/>
        <v>99</v>
      </c>
      <c r="ED104" s="137">
        <f t="shared" si="375"/>
        <v>49.5</v>
      </c>
      <c r="EE104" s="135" t="str">
        <f t="shared" si="376"/>
        <v>D</v>
      </c>
      <c r="EF104" s="135" t="str">
        <f>VLOOKUP(RANK(ED104,$ED$10:$ED$109),Sheet1!$A$381:$B$480,2,FALSE)</f>
        <v>38th</v>
      </c>
      <c r="EG104" s="162">
        <v>25</v>
      </c>
      <c r="EH104" s="162">
        <v>36</v>
      </c>
      <c r="EI104" s="137">
        <f t="shared" si="377"/>
        <v>61</v>
      </c>
      <c r="EJ104" s="137" t="str">
        <f t="shared" si="378"/>
        <v>58</v>
      </c>
      <c r="EK104" s="137">
        <f t="shared" si="379"/>
        <v>119</v>
      </c>
      <c r="EL104" s="137">
        <f t="shared" si="380"/>
        <v>59.5</v>
      </c>
      <c r="EM104" s="135" t="str">
        <f t="shared" si="381"/>
        <v>C</v>
      </c>
      <c r="EN104" s="135" t="str">
        <f>VLOOKUP(RANK(EL104,$EL$10:$EL$109),Sheet1!$A$381:$B$480,2,FALSE)</f>
        <v>38th</v>
      </c>
      <c r="EO104" s="162">
        <v>28</v>
      </c>
      <c r="EP104" s="162">
        <v>24</v>
      </c>
      <c r="EQ104" s="137">
        <f t="shared" si="382"/>
        <v>52</v>
      </c>
      <c r="ER104" s="137" t="str">
        <f t="shared" si="383"/>
        <v>75</v>
      </c>
      <c r="ES104" s="137">
        <f t="shared" si="384"/>
        <v>127</v>
      </c>
      <c r="ET104" s="137">
        <f t="shared" si="385"/>
        <v>63.5</v>
      </c>
      <c r="EU104" s="135" t="str">
        <f t="shared" si="386"/>
        <v>B</v>
      </c>
      <c r="EV104" s="135" t="str">
        <f>VLOOKUP(RANK(ET104,$ET$10:$ET$109),Sheet1!$A$381:$B$480,2,FALSE)</f>
        <v>34th</v>
      </c>
      <c r="EW104" s="137"/>
      <c r="EX104" s="137"/>
      <c r="EY104" s="137">
        <f t="shared" si="387"/>
        <v>0</v>
      </c>
      <c r="EZ104" s="137" t="str">
        <f t="shared" si="388"/>
        <v>0</v>
      </c>
      <c r="FA104" s="137">
        <f t="shared" si="389"/>
        <v>0</v>
      </c>
      <c r="FB104" s="137">
        <f t="shared" si="390"/>
        <v>0</v>
      </c>
      <c r="FC104" s="135" t="str">
        <f t="shared" si="391"/>
        <v>F</v>
      </c>
      <c r="FD104" s="135" t="str">
        <f>VLOOKUP(RANK(FB104,$FB$10:$FB$109),Sheet1!$A$381:$B$480,2,FALSE)</f>
        <v>1st</v>
      </c>
      <c r="FE104" s="137"/>
      <c r="FF104" s="137"/>
      <c r="FG104" s="137">
        <f t="shared" si="392"/>
        <v>0</v>
      </c>
      <c r="FH104" s="137" t="str">
        <f t="shared" si="393"/>
        <v>0</v>
      </c>
      <c r="FI104" s="137">
        <f t="shared" si="394"/>
        <v>0</v>
      </c>
      <c r="FJ104" s="137">
        <f t="shared" si="395"/>
        <v>0</v>
      </c>
      <c r="FK104" s="135" t="str">
        <f t="shared" si="396"/>
        <v>F</v>
      </c>
      <c r="FL104" s="135" t="str">
        <f>VLOOKUP(RANK(FJ104,$FJ$10:$FJ$109),Sheet1!$A$381:$B$480,2,FALSE)</f>
        <v>1st</v>
      </c>
      <c r="FM104" s="166">
        <v>25</v>
      </c>
      <c r="FN104" s="166">
        <v>27</v>
      </c>
      <c r="FO104" s="137">
        <f t="shared" si="397"/>
        <v>52</v>
      </c>
      <c r="FP104" s="137" t="str">
        <f t="shared" si="398"/>
        <v>53</v>
      </c>
      <c r="FQ104" s="137">
        <f t="shared" si="399"/>
        <v>105</v>
      </c>
      <c r="FR104" s="137">
        <f t="shared" si="400"/>
        <v>52.5</v>
      </c>
      <c r="FS104" s="135" t="str">
        <f t="shared" si="401"/>
        <v>C</v>
      </c>
      <c r="FT104" s="135" t="str">
        <f>VLOOKUP(RANK(FR104,$FR$10:$FR$109),Sheet1!$A$381:$B$480,2,FALSE)</f>
        <v>40th</v>
      </c>
      <c r="FU104" s="149">
        <v>36</v>
      </c>
      <c r="FV104" s="149">
        <v>17</v>
      </c>
      <c r="FW104" s="137">
        <f t="shared" si="402"/>
        <v>53</v>
      </c>
      <c r="FX104" s="137" t="str">
        <f t="shared" si="403"/>
        <v>51</v>
      </c>
      <c r="FY104" s="137">
        <f t="shared" si="512"/>
        <v>53</v>
      </c>
      <c r="FZ104" s="137">
        <f t="shared" si="404"/>
        <v>26.5</v>
      </c>
      <c r="GA104" s="135" t="str">
        <f t="shared" si="405"/>
        <v>F</v>
      </c>
      <c r="GB104" s="135" t="str">
        <f>VLOOKUP(RANK(FZ104,$FZ$10:$FZ$109),Sheet1!$A$381:$B$480,2,FALSE)</f>
        <v>43rd</v>
      </c>
      <c r="GC104" s="166">
        <v>26</v>
      </c>
      <c r="GD104" s="166">
        <v>27</v>
      </c>
      <c r="GE104" s="137">
        <f t="shared" si="406"/>
        <v>53</v>
      </c>
      <c r="GF104" s="137" t="str">
        <f t="shared" si="407"/>
        <v>23</v>
      </c>
      <c r="GG104" s="135">
        <f t="shared" si="513"/>
        <v>76</v>
      </c>
      <c r="GH104" s="137">
        <f t="shared" si="514"/>
        <v>38</v>
      </c>
      <c r="GI104" s="135" t="str">
        <f t="shared" si="408"/>
        <v>E</v>
      </c>
      <c r="GJ104" s="135" t="str">
        <f>VLOOKUP(RANK(GH104,$GH$10:$GH$109),Sheet1!$A$381:$B$480,2,FALSE)</f>
        <v>50th</v>
      </c>
      <c r="GK104" s="166">
        <v>27</v>
      </c>
      <c r="GL104" s="166">
        <v>16</v>
      </c>
      <c r="GM104" s="137">
        <f t="shared" si="409"/>
        <v>43</v>
      </c>
      <c r="GN104" s="137" t="str">
        <f t="shared" si="410"/>
        <v>55</v>
      </c>
      <c r="GO104" s="135">
        <f t="shared" si="515"/>
        <v>98</v>
      </c>
      <c r="GP104" s="137">
        <f t="shared" si="411"/>
        <v>49</v>
      </c>
      <c r="GQ104" s="135" t="str">
        <f t="shared" si="412"/>
        <v>D</v>
      </c>
      <c r="GR104" s="135" t="str">
        <f>VLOOKUP(RANK(GP104,$GP$10:$GP$109),Sheet1!$A$381:$B$480,2,FALSE)</f>
        <v>31st</v>
      </c>
      <c r="GS104" s="166">
        <v>29</v>
      </c>
      <c r="GT104" s="166">
        <v>34</v>
      </c>
      <c r="GU104" s="137">
        <f t="shared" si="413"/>
        <v>63</v>
      </c>
      <c r="GV104" s="137" t="str">
        <f t="shared" si="414"/>
        <v>36</v>
      </c>
      <c r="GW104" s="137">
        <f t="shared" si="415"/>
        <v>99</v>
      </c>
      <c r="GX104" s="137">
        <f t="shared" si="416"/>
        <v>49.5</v>
      </c>
      <c r="GY104" s="135" t="str">
        <f t="shared" si="417"/>
        <v>D</v>
      </c>
      <c r="GZ104" s="135" t="str">
        <f>VLOOKUP(RANK(GX104,$GX$10:$GX$109),Sheet1!$A$381:$B$480,2,FALSE)</f>
        <v>50th</v>
      </c>
      <c r="HA104" s="166">
        <v>30</v>
      </c>
      <c r="HB104" s="166">
        <v>17</v>
      </c>
      <c r="HC104" s="137">
        <f t="shared" si="418"/>
        <v>47</v>
      </c>
      <c r="HD104" s="137" t="str">
        <f t="shared" si="419"/>
        <v>40</v>
      </c>
      <c r="HE104" s="137">
        <f t="shared" si="420"/>
        <v>87</v>
      </c>
      <c r="HF104" s="137">
        <f t="shared" si="421"/>
        <v>43.5</v>
      </c>
      <c r="HG104" s="135" t="str">
        <f t="shared" si="422"/>
        <v>D</v>
      </c>
      <c r="HH104" s="135" t="str">
        <f>VLOOKUP(RANK(HF104,$HF$10:$HF$109),Sheet1!$A$381:$B$480,2,FALSE)</f>
        <v>33rd</v>
      </c>
      <c r="HI104" s="149">
        <v>25</v>
      </c>
      <c r="HJ104" s="149">
        <v>50</v>
      </c>
      <c r="HK104" s="137">
        <f t="shared" si="423"/>
        <v>75</v>
      </c>
      <c r="HL104" s="137" t="str">
        <f t="shared" si="424"/>
        <v>80</v>
      </c>
      <c r="HM104" s="137">
        <f t="shared" si="425"/>
        <v>155</v>
      </c>
      <c r="HN104" s="137">
        <f t="shared" si="426"/>
        <v>77.5</v>
      </c>
      <c r="HO104" s="135" t="str">
        <f t="shared" si="427"/>
        <v>A</v>
      </c>
      <c r="HP104" s="135" t="str">
        <f>VLOOKUP(RANK(HN104,$HN$10:$HN$109),Sheet1!$A$381:$B$480,2,FALSE)</f>
        <v>8th</v>
      </c>
      <c r="HQ104" s="137"/>
      <c r="HR104" s="137"/>
      <c r="HS104" s="137">
        <f t="shared" si="428"/>
        <v>0</v>
      </c>
      <c r="HT104" s="137" t="str">
        <f t="shared" si="429"/>
        <v>0</v>
      </c>
      <c r="HU104" s="137">
        <f t="shared" si="430"/>
        <v>0</v>
      </c>
      <c r="HV104" s="137">
        <f t="shared" si="431"/>
        <v>0</v>
      </c>
      <c r="HW104" s="135" t="str">
        <f t="shared" si="432"/>
        <v>F</v>
      </c>
      <c r="HX104" s="135" t="str">
        <f>VLOOKUP(RANK(HV104,$HV$10:$HV$109),Sheet1!$A$381:$B$480,2,FALSE)</f>
        <v>1st</v>
      </c>
      <c r="HY104" s="137"/>
      <c r="HZ104" s="137"/>
      <c r="IA104" s="137">
        <f t="shared" si="433"/>
        <v>0</v>
      </c>
      <c r="IB104" s="137" t="str">
        <f t="shared" si="434"/>
        <v>0</v>
      </c>
      <c r="IC104" s="137">
        <f t="shared" si="435"/>
        <v>0</v>
      </c>
      <c r="ID104" s="137">
        <f t="shared" si="436"/>
        <v>0</v>
      </c>
      <c r="IE104" s="135" t="str">
        <f t="shared" si="437"/>
        <v>F</v>
      </c>
      <c r="IF104" s="135" t="str">
        <f>VLOOKUP(RANK(ID104,$ID$10:$ID$109),Sheet1!$A$381:$B$480,2,FALSE)</f>
        <v>1st</v>
      </c>
      <c r="IG104" s="135"/>
      <c r="IH104" s="135"/>
      <c r="II104" s="135">
        <f t="shared" si="516"/>
        <v>0</v>
      </c>
      <c r="IJ104" s="135" t="str">
        <f t="shared" si="517"/>
        <v>0</v>
      </c>
      <c r="IK104" s="135">
        <f t="shared" si="518"/>
        <v>0</v>
      </c>
      <c r="IL104" s="135">
        <f t="shared" si="519"/>
        <v>0</v>
      </c>
      <c r="IM104" s="135" t="str">
        <f t="shared" si="438"/>
        <v>F</v>
      </c>
      <c r="IN104" s="135" t="str">
        <f>VLOOKUP(RANK(IL104,$IL$10:$IL$109),Sheet1!$A$381:$B$480,2,FALSE)</f>
        <v>1st</v>
      </c>
      <c r="IO104" s="135">
        <f t="shared" si="520"/>
        <v>627</v>
      </c>
      <c r="IP104" s="177">
        <f t="shared" si="521"/>
        <v>36.882352941176499</v>
      </c>
      <c r="IQ104" s="135" t="str">
        <f>VLOOKUP(RANK(IP104,$IP$10:$IP$109),Sheet1!$A$381:$B$480,2,FALSE)</f>
        <v>36th</v>
      </c>
      <c r="IR104" s="178"/>
      <c r="IS104" s="137"/>
      <c r="IT104" s="137"/>
      <c r="IU104" s="137"/>
      <c r="IV104" s="137"/>
      <c r="IW104" s="181"/>
      <c r="IX104" s="184"/>
      <c r="IY104" s="186"/>
      <c r="IZ104" s="186">
        <f t="shared" si="439"/>
        <v>0</v>
      </c>
      <c r="JA104" s="186" t="str">
        <f t="shared" si="440"/>
        <v>66</v>
      </c>
      <c r="JB104" s="186" t="str">
        <f t="shared" si="441"/>
        <v>57</v>
      </c>
      <c r="JC104" s="186">
        <f t="shared" si="522"/>
        <v>123</v>
      </c>
      <c r="JD104" s="186">
        <f t="shared" si="523"/>
        <v>41</v>
      </c>
      <c r="JE104" s="135" t="str">
        <f t="shared" si="442"/>
        <v>D</v>
      </c>
      <c r="JF104" s="151" t="str">
        <f>VLOOKUP(RANK(JD104,$JD$10:$JD$109),Sheet1!$A$381:$B$480,2,FALSE)</f>
        <v>72nd</v>
      </c>
      <c r="JG104" s="186"/>
      <c r="JH104" s="186"/>
      <c r="JI104" s="186">
        <f t="shared" si="443"/>
        <v>0</v>
      </c>
      <c r="JJ104" s="186" t="str">
        <f t="shared" si="444"/>
        <v>68</v>
      </c>
      <c r="JK104" s="186" t="str">
        <f t="shared" si="445"/>
        <v>45</v>
      </c>
      <c r="JL104" s="186">
        <f t="shared" si="524"/>
        <v>113</v>
      </c>
      <c r="JM104" s="186">
        <f t="shared" si="525"/>
        <v>37.6666666666667</v>
      </c>
      <c r="JN104" s="135" t="str">
        <f t="shared" si="446"/>
        <v>E</v>
      </c>
      <c r="JO104" s="151" t="str">
        <f>VLOOKUP(RANK(JM104,$JM$10:$JM$109),Sheet1!$A$381:$B$480,2,FALSE)</f>
        <v>21st</v>
      </c>
      <c r="JP104" s="186"/>
      <c r="JQ104" s="186"/>
      <c r="JR104" s="186">
        <f t="shared" si="447"/>
        <v>0</v>
      </c>
      <c r="JS104" s="186" t="str">
        <f t="shared" si="448"/>
        <v>50</v>
      </c>
      <c r="JT104" s="186" t="str">
        <f t="shared" si="449"/>
        <v>49</v>
      </c>
      <c r="JU104" s="186">
        <f t="shared" si="526"/>
        <v>99</v>
      </c>
      <c r="JV104" s="186">
        <f t="shared" si="527"/>
        <v>33</v>
      </c>
      <c r="JW104" s="135" t="str">
        <f t="shared" si="450"/>
        <v>F</v>
      </c>
      <c r="JX104" s="151" t="str">
        <f>VLOOKUP(RANK(JV104,$JV$10:$JV$109),Sheet1!$A$381:$B$480,2,FALSE)</f>
        <v>38th</v>
      </c>
      <c r="JY104" s="186"/>
      <c r="JZ104" s="186"/>
      <c r="KA104" s="186">
        <f t="shared" si="451"/>
        <v>0</v>
      </c>
      <c r="KB104" s="186" t="str">
        <f t="shared" si="452"/>
        <v>58</v>
      </c>
      <c r="KC104" s="186" t="str">
        <f t="shared" si="453"/>
        <v>61</v>
      </c>
      <c r="KD104" s="186">
        <f t="shared" si="528"/>
        <v>119</v>
      </c>
      <c r="KE104" s="186">
        <f t="shared" si="529"/>
        <v>39.6666666666667</v>
      </c>
      <c r="KF104" s="135" t="str">
        <f t="shared" si="454"/>
        <v>E</v>
      </c>
      <c r="KG104" s="151" t="str">
        <f>VLOOKUP(RANK(KE104,$KE$10:$KE$109),Sheet1!$A$381:$B$480,2,FALSE)</f>
        <v>38th</v>
      </c>
      <c r="KH104" s="186"/>
      <c r="KI104" s="186"/>
      <c r="KJ104" s="186">
        <f t="shared" si="455"/>
        <v>0</v>
      </c>
      <c r="KK104" s="186" t="str">
        <f t="shared" si="456"/>
        <v>75</v>
      </c>
      <c r="KL104" s="186" t="str">
        <f t="shared" si="457"/>
        <v>52</v>
      </c>
      <c r="KM104" s="186">
        <f t="shared" si="530"/>
        <v>127</v>
      </c>
      <c r="KN104" s="186">
        <f t="shared" si="531"/>
        <v>42.3333333333333</v>
      </c>
      <c r="KO104" s="135" t="str">
        <f t="shared" si="458"/>
        <v>D</v>
      </c>
      <c r="KP104" s="151" t="str">
        <f>VLOOKUP(RANK(KN104,$KN$10:$KN$109),Sheet1!$A$381:$B$480,2,FALSE)</f>
        <v>34th</v>
      </c>
      <c r="KQ104" s="186"/>
      <c r="KR104" s="186"/>
      <c r="KS104" s="186">
        <f t="shared" si="459"/>
        <v>0</v>
      </c>
      <c r="KT104" s="186" t="str">
        <f t="shared" si="460"/>
        <v>0</v>
      </c>
      <c r="KU104" s="186" t="str">
        <f t="shared" si="461"/>
        <v>0</v>
      </c>
      <c r="KV104" s="186">
        <f t="shared" si="532"/>
        <v>0</v>
      </c>
      <c r="KW104" s="186">
        <f t="shared" si="533"/>
        <v>0</v>
      </c>
      <c r="KX104" s="135" t="str">
        <f t="shared" si="462"/>
        <v>F</v>
      </c>
      <c r="KY104" s="151" t="str">
        <f>VLOOKUP(RANK(KW104,$KW$10:$KW$109),Sheet1!$A$381:$B$480,2,FALSE)</f>
        <v>1st</v>
      </c>
      <c r="KZ104" s="186"/>
      <c r="LA104" s="186"/>
      <c r="LB104" s="186">
        <f t="shared" si="463"/>
        <v>0</v>
      </c>
      <c r="LC104" s="186" t="str">
        <f t="shared" si="464"/>
        <v>0</v>
      </c>
      <c r="LD104" s="186" t="str">
        <f t="shared" si="465"/>
        <v>0</v>
      </c>
      <c r="LE104" s="186">
        <f t="shared" si="534"/>
        <v>0</v>
      </c>
      <c r="LF104" s="186">
        <f t="shared" si="535"/>
        <v>0</v>
      </c>
      <c r="LG104" s="135" t="str">
        <f t="shared" si="466"/>
        <v>F</v>
      </c>
      <c r="LH104" s="151" t="str">
        <f>VLOOKUP(RANK(LF104,$LF$10:$LF$109),Sheet1!$A$381:$B$480,2,FALSE)</f>
        <v>1st</v>
      </c>
      <c r="LI104" s="186"/>
      <c r="LJ104" s="186"/>
      <c r="LK104" s="186">
        <f t="shared" si="467"/>
        <v>0</v>
      </c>
      <c r="LL104" s="186" t="str">
        <f t="shared" si="468"/>
        <v>53</v>
      </c>
      <c r="LM104" s="186" t="str">
        <f t="shared" si="469"/>
        <v>52</v>
      </c>
      <c r="LN104" s="186">
        <f t="shared" si="536"/>
        <v>105</v>
      </c>
      <c r="LO104" s="186">
        <f t="shared" si="537"/>
        <v>35</v>
      </c>
      <c r="LP104" s="135" t="str">
        <f t="shared" si="470"/>
        <v>E</v>
      </c>
      <c r="LQ104" s="151" t="str">
        <f>VLOOKUP(RANK(LO104,$LO$10:$LO$109),Sheet1!$A$381:$B$480,2,FALSE)</f>
        <v>40th</v>
      </c>
      <c r="LR104" s="186"/>
      <c r="LS104" s="186"/>
      <c r="LT104" s="186">
        <f t="shared" si="471"/>
        <v>0</v>
      </c>
      <c r="LU104" s="186" t="str">
        <f t="shared" si="472"/>
        <v>51</v>
      </c>
      <c r="LV104" s="186" t="str">
        <f t="shared" si="473"/>
        <v>53</v>
      </c>
      <c r="LW104" s="186">
        <f t="shared" si="538"/>
        <v>104</v>
      </c>
      <c r="LX104" s="186">
        <f t="shared" si="539"/>
        <v>34.6666666666667</v>
      </c>
      <c r="LY104" s="135" t="str">
        <f t="shared" si="474"/>
        <v>F</v>
      </c>
      <c r="LZ104" s="151" t="str">
        <f>VLOOKUP(RANK(LX104,$LX$10:$LX$109),Sheet1!$A$381:$B$480,2,FALSE)</f>
        <v>49th</v>
      </c>
      <c r="MA104" s="186"/>
      <c r="MB104" s="186"/>
      <c r="MC104" s="186">
        <f t="shared" si="475"/>
        <v>0</v>
      </c>
      <c r="MD104" s="186" t="str">
        <f t="shared" si="476"/>
        <v>23</v>
      </c>
      <c r="ME104" s="186" t="str">
        <f t="shared" si="477"/>
        <v>53</v>
      </c>
      <c r="MF104" s="183">
        <f t="shared" si="540"/>
        <v>76</v>
      </c>
      <c r="MG104" s="151">
        <f t="shared" si="541"/>
        <v>25.3333333333333</v>
      </c>
      <c r="MH104" s="135" t="str">
        <f t="shared" si="478"/>
        <v>F</v>
      </c>
      <c r="MI104" s="151" t="str">
        <f>VLOOKUP(RANK(MG104,$MG$10:$MG$109),Sheet1!$A$381:$B$480,2,FALSE)</f>
        <v>50th</v>
      </c>
      <c r="MJ104" s="186"/>
      <c r="MK104" s="186"/>
      <c r="ML104" s="186">
        <f t="shared" si="479"/>
        <v>0</v>
      </c>
      <c r="MM104" s="186" t="str">
        <f t="shared" si="480"/>
        <v>55</v>
      </c>
      <c r="MN104" s="186" t="str">
        <f t="shared" si="481"/>
        <v>43</v>
      </c>
      <c r="MO104" s="186">
        <f t="shared" si="542"/>
        <v>98</v>
      </c>
      <c r="MP104" s="186">
        <f t="shared" si="543"/>
        <v>32.6666666666667</v>
      </c>
      <c r="MQ104" s="135" t="str">
        <f t="shared" si="482"/>
        <v>F</v>
      </c>
      <c r="MR104" s="151" t="str">
        <f>VLOOKUP(RANK(MP104,$MP$10:$MP$109),Sheet1!$A$381:$B$480,2,FALSE)</f>
        <v>31st</v>
      </c>
      <c r="MS104" s="186"/>
      <c r="MT104" s="186"/>
      <c r="MU104" s="186">
        <f t="shared" si="483"/>
        <v>0</v>
      </c>
      <c r="MV104" s="186" t="str">
        <f t="shared" si="484"/>
        <v>36</v>
      </c>
      <c r="MW104" s="186" t="str">
        <f t="shared" si="485"/>
        <v>63</v>
      </c>
      <c r="MX104" s="186">
        <f t="shared" si="544"/>
        <v>99</v>
      </c>
      <c r="MY104" s="186">
        <f t="shared" si="545"/>
        <v>33</v>
      </c>
      <c r="MZ104" s="135" t="str">
        <f t="shared" si="486"/>
        <v>F</v>
      </c>
      <c r="NA104" s="151" t="str">
        <f>VLOOKUP(RANK(MY104,$MY$10:$MY$109),Sheet1!$A$381:$B$480,2,FALSE)</f>
        <v>50th</v>
      </c>
      <c r="NB104" s="186"/>
      <c r="NC104" s="186"/>
      <c r="ND104" s="186">
        <f t="shared" si="487"/>
        <v>0</v>
      </c>
      <c r="NE104" s="186" t="str">
        <f t="shared" si="488"/>
        <v>40</v>
      </c>
      <c r="NF104" s="186" t="str">
        <f t="shared" si="489"/>
        <v>47</v>
      </c>
      <c r="NG104" s="186">
        <f t="shared" si="546"/>
        <v>87</v>
      </c>
      <c r="NH104" s="186">
        <f t="shared" si="547"/>
        <v>29</v>
      </c>
      <c r="NI104" s="135" t="str">
        <f t="shared" si="490"/>
        <v>F</v>
      </c>
      <c r="NJ104" s="151" t="str">
        <f>VLOOKUP(RANK(NH104,$NH$10:$NH$109),Sheet1!$A$381:$B$480,2,FALSE)</f>
        <v>33rd</v>
      </c>
      <c r="NK104" s="186"/>
      <c r="NL104" s="186"/>
      <c r="NM104" s="186">
        <f t="shared" si="491"/>
        <v>0</v>
      </c>
      <c r="NN104" s="186" t="str">
        <f t="shared" si="492"/>
        <v>80</v>
      </c>
      <c r="NO104" s="186" t="str">
        <f t="shared" si="493"/>
        <v>75</v>
      </c>
      <c r="NP104" s="186">
        <f t="shared" si="548"/>
        <v>155</v>
      </c>
      <c r="NQ104" s="186">
        <f t="shared" si="494"/>
        <v>51.6666666666667</v>
      </c>
      <c r="NR104" s="135" t="str">
        <f t="shared" si="495"/>
        <v>C</v>
      </c>
      <c r="NS104" s="151" t="str">
        <f>VLOOKUP(RANK(NQ104,$NQ$10:$NQ$109),Sheet1!$A$381:$B$480,2,FALSE)</f>
        <v>8th</v>
      </c>
      <c r="NT104" s="186"/>
      <c r="NU104" s="186"/>
      <c r="NV104" s="186">
        <f t="shared" si="496"/>
        <v>0</v>
      </c>
      <c r="NW104" s="186" t="str">
        <f t="shared" si="497"/>
        <v>0</v>
      </c>
      <c r="NX104" s="186" t="str">
        <f t="shared" si="498"/>
        <v>0</v>
      </c>
      <c r="NY104" s="186">
        <f t="shared" si="549"/>
        <v>0</v>
      </c>
      <c r="NZ104" s="186">
        <f t="shared" si="499"/>
        <v>0</v>
      </c>
      <c r="OA104" s="135" t="str">
        <f t="shared" si="500"/>
        <v>F</v>
      </c>
      <c r="OB104" s="151" t="str">
        <f>VLOOKUP(RANK(NZ104,$NZ$10:$NZ$109),Sheet1!$A$381:$B$480,2,FALSE)</f>
        <v>1st</v>
      </c>
      <c r="OC104" s="186"/>
      <c r="OD104" s="186"/>
      <c r="OE104" s="186">
        <f t="shared" si="501"/>
        <v>0</v>
      </c>
      <c r="OF104" s="186" t="str">
        <f t="shared" si="502"/>
        <v>0</v>
      </c>
      <c r="OG104" s="186" t="str">
        <f t="shared" si="503"/>
        <v>0</v>
      </c>
      <c r="OH104" s="186">
        <f t="shared" si="550"/>
        <v>0</v>
      </c>
      <c r="OI104" s="186">
        <f t="shared" si="504"/>
        <v>0</v>
      </c>
      <c r="OJ104" s="135" t="str">
        <f t="shared" si="505"/>
        <v>F</v>
      </c>
      <c r="OK104" s="151" t="str">
        <f>VLOOKUP(RANK(OI104,$OI$10:$OI$109),Sheet1!$A$381:$B$480,2,FALSE)</f>
        <v>1st</v>
      </c>
      <c r="OL104" s="151"/>
      <c r="OM104" s="151"/>
      <c r="ON104" s="151">
        <f t="shared" si="551"/>
        <v>0</v>
      </c>
      <c r="OO104" s="151" t="str">
        <f t="shared" si="552"/>
        <v>0</v>
      </c>
      <c r="OP104" s="151" t="str">
        <f t="shared" si="553"/>
        <v>0</v>
      </c>
      <c r="OQ104" s="151">
        <f t="shared" si="554"/>
        <v>0</v>
      </c>
      <c r="OR104" s="151">
        <f t="shared" si="555"/>
        <v>0</v>
      </c>
      <c r="OS104" s="135" t="str">
        <f t="shared" si="506"/>
        <v>F</v>
      </c>
      <c r="OT104" s="151" t="str">
        <f>VLOOKUP(RANK(OR104,$OI$10:$OI$109),Sheet1!$A$381:$B$480,2,FALSE)</f>
        <v>1st</v>
      </c>
      <c r="OU104" s="151">
        <f t="shared" si="556"/>
        <v>435</v>
      </c>
      <c r="OV104" s="151">
        <f t="shared" si="557"/>
        <v>25.588235294117599</v>
      </c>
      <c r="OW104" s="151" t="str">
        <f>VLOOKUP(RANK(OV104,$OV$10:$OV$109),Sheet1!$A$381:$B$480,2,FALSE)</f>
        <v>36th</v>
      </c>
      <c r="OX104" s="151"/>
      <c r="OY104" s="186"/>
      <c r="OZ104" s="186"/>
      <c r="PA104" s="186"/>
      <c r="PB104" s="186"/>
    </row>
    <row r="105" spans="1:418" s="118" customFormat="1" ht="18.75">
      <c r="A105" s="131">
        <v>96</v>
      </c>
      <c r="B105" s="132" t="s">
        <v>195</v>
      </c>
      <c r="C105" s="133" t="s">
        <v>97</v>
      </c>
      <c r="D105" s="134">
        <v>29</v>
      </c>
      <c r="E105" s="134">
        <v>40</v>
      </c>
      <c r="F105" s="137">
        <f t="shared" si="315"/>
        <v>69</v>
      </c>
      <c r="G105" s="137">
        <f t="shared" si="316"/>
        <v>69</v>
      </c>
      <c r="H105" s="135" t="str">
        <f t="shared" si="507"/>
        <v>B</v>
      </c>
      <c r="I105" s="135" t="str">
        <f>VLOOKUP(RANK(G105,$G$10:$G$109),Sheet1!$A$381:$B$480,2,FALSE)</f>
        <v>46th</v>
      </c>
      <c r="J105" s="134">
        <v>16</v>
      </c>
      <c r="K105" s="134">
        <v>15</v>
      </c>
      <c r="L105" s="137">
        <f t="shared" si="317"/>
        <v>31</v>
      </c>
      <c r="M105" s="137">
        <f t="shared" si="318"/>
        <v>31</v>
      </c>
      <c r="N105" s="135" t="str">
        <f t="shared" si="319"/>
        <v>F</v>
      </c>
      <c r="O105" s="141" t="str">
        <f>VLOOKUP(RANK(M105,$M$10:$M$109),Sheet1!$A$381:$B$480,2,FALSE)</f>
        <v>96th</v>
      </c>
      <c r="P105" s="144">
        <v>28</v>
      </c>
      <c r="Q105" s="144">
        <v>15</v>
      </c>
      <c r="R105" s="147">
        <f t="shared" si="320"/>
        <v>43</v>
      </c>
      <c r="S105" s="137">
        <f t="shared" si="321"/>
        <v>43</v>
      </c>
      <c r="T105" s="135" t="str">
        <f t="shared" si="322"/>
        <v>D</v>
      </c>
      <c r="U105" s="135" t="str">
        <f>VLOOKUP(RANK(S105,$S$10:$S$109),Sheet1!$A$381:$B$480,2,FALSE)</f>
        <v>50th</v>
      </c>
      <c r="V105" s="134">
        <v>22</v>
      </c>
      <c r="W105" s="134">
        <v>10</v>
      </c>
      <c r="X105" s="137">
        <f t="shared" si="559"/>
        <v>32</v>
      </c>
      <c r="Y105" s="137">
        <f t="shared" si="558"/>
        <v>32</v>
      </c>
      <c r="Z105" s="135" t="str">
        <f t="shared" si="323"/>
        <v>F</v>
      </c>
      <c r="AA105" s="135" t="str">
        <f>VLOOKUP(RANK(Y105,$Y$10:$Y$109),Sheet1!$A$381:$B$480,2,FALSE)</f>
        <v>94th</v>
      </c>
      <c r="AB105" s="134">
        <v>28</v>
      </c>
      <c r="AC105" s="134">
        <v>5</v>
      </c>
      <c r="AD105" s="137">
        <f t="shared" si="324"/>
        <v>33</v>
      </c>
      <c r="AE105" s="137">
        <f t="shared" si="325"/>
        <v>33</v>
      </c>
      <c r="AF105" s="135" t="str">
        <f t="shared" si="326"/>
        <v>F</v>
      </c>
      <c r="AG105" s="135" t="str">
        <f>VLOOKUP(RANK(AE105,$AE$10:$AE$109),Sheet1!$A$381:$B$480,2,FALSE)</f>
        <v>89th</v>
      </c>
      <c r="AH105" s="137"/>
      <c r="AI105" s="137"/>
      <c r="AJ105" s="137">
        <f t="shared" si="327"/>
        <v>0</v>
      </c>
      <c r="AK105" s="137">
        <f t="shared" si="328"/>
        <v>0</v>
      </c>
      <c r="AL105" s="135" t="str">
        <f t="shared" si="329"/>
        <v>F</v>
      </c>
      <c r="AM105" s="135" t="str">
        <f>VLOOKUP(RANK(AK105,$AK$10:$AK$109),Sheet1!$A$381:$B$480,2,FALSE)</f>
        <v>1st</v>
      </c>
      <c r="AN105" s="134"/>
      <c r="AO105" s="134"/>
      <c r="AP105" s="137">
        <f t="shared" si="330"/>
        <v>0</v>
      </c>
      <c r="AQ105" s="137">
        <f t="shared" si="331"/>
        <v>0</v>
      </c>
      <c r="AR105" s="135" t="str">
        <f t="shared" si="332"/>
        <v>F</v>
      </c>
      <c r="AS105" s="135" t="str">
        <f>VLOOKUP(RANK(AQ105,$AQ$10:$AQ$109),Sheet1!$A$381:$B$480,2,FALSE)</f>
        <v>1st</v>
      </c>
      <c r="AT105" s="144">
        <v>25</v>
      </c>
      <c r="AU105" s="144">
        <v>25</v>
      </c>
      <c r="AV105" s="137">
        <f t="shared" si="333"/>
        <v>50</v>
      </c>
      <c r="AW105" s="137">
        <f t="shared" si="334"/>
        <v>50</v>
      </c>
      <c r="AX105" s="135" t="str">
        <f t="shared" si="335"/>
        <v>C</v>
      </c>
      <c r="AY105" s="141" t="str">
        <f>VLOOKUP(RANK(AW105,$AW$10:$AW$109),Sheet1!$A$381:$B$480,2,FALSE)</f>
        <v>58th</v>
      </c>
      <c r="AZ105" s="144">
        <v>31</v>
      </c>
      <c r="BA105" s="144">
        <v>11</v>
      </c>
      <c r="BB105" s="147">
        <f t="shared" si="336"/>
        <v>42</v>
      </c>
      <c r="BC105" s="137">
        <f t="shared" si="337"/>
        <v>42</v>
      </c>
      <c r="BD105" s="135" t="str">
        <f t="shared" si="338"/>
        <v>D</v>
      </c>
      <c r="BE105" s="135" t="str">
        <f>VLOOKUP(RANK(BC105,$BC$10:$BC$109),Sheet1!$A$381:$B$480,2,FALSE)</f>
        <v>84th</v>
      </c>
      <c r="BF105" s="144">
        <v>11</v>
      </c>
      <c r="BG105" s="144">
        <v>12</v>
      </c>
      <c r="BH105" s="137">
        <f t="shared" si="339"/>
        <v>23</v>
      </c>
      <c r="BI105" s="137">
        <f t="shared" si="340"/>
        <v>23</v>
      </c>
      <c r="BJ105" s="135" t="str">
        <f t="shared" si="341"/>
        <v>F</v>
      </c>
      <c r="BK105" s="141" t="str">
        <f>VLOOKUP(RANK(BI105,$BI$10:$BI$109),Sheet1!$A$381:$B$480,2,FALSE)</f>
        <v>89th</v>
      </c>
      <c r="BL105" s="149">
        <v>26</v>
      </c>
      <c r="BM105" s="149">
        <v>27</v>
      </c>
      <c r="BN105" s="147">
        <f t="shared" si="342"/>
        <v>53</v>
      </c>
      <c r="BO105" s="137">
        <f t="shared" si="343"/>
        <v>53</v>
      </c>
      <c r="BP105" s="135" t="str">
        <f t="shared" si="344"/>
        <v>C</v>
      </c>
      <c r="BQ105" s="141" t="str">
        <f>VLOOKUP(RANK(BO105,$BO$10:$BO$109),Sheet1!$A$381:$B$480,2,FALSE)</f>
        <v>36th</v>
      </c>
      <c r="BR105" s="149">
        <v>29</v>
      </c>
      <c r="BS105" s="149">
        <v>4</v>
      </c>
      <c r="BT105" s="147">
        <f t="shared" si="345"/>
        <v>33</v>
      </c>
      <c r="BU105" s="137">
        <f t="shared" si="346"/>
        <v>33</v>
      </c>
      <c r="BV105" s="135" t="str">
        <f t="shared" si="347"/>
        <v>F</v>
      </c>
      <c r="BW105" s="135" t="str">
        <f>VLOOKUP(RANK(BU105,$BU$10:$BU$109),Sheet1!$A$381:$B$480,2,FALSE)</f>
        <v>84th</v>
      </c>
      <c r="BX105" s="149">
        <v>28</v>
      </c>
      <c r="BY105" s="149">
        <v>10</v>
      </c>
      <c r="BZ105" s="137">
        <f t="shared" si="348"/>
        <v>38</v>
      </c>
      <c r="CA105" s="137">
        <f t="shared" si="349"/>
        <v>38</v>
      </c>
      <c r="CB105" s="135" t="str">
        <f t="shared" si="350"/>
        <v>E</v>
      </c>
      <c r="CC105" s="135" t="str">
        <f>VLOOKUP(RANK(CA105,$CA$10:$CA$109),Sheet1!$A$381:$B$480,2,FALSE)</f>
        <v>61st</v>
      </c>
      <c r="CD105" s="149">
        <v>23</v>
      </c>
      <c r="CE105" s="149">
        <v>20</v>
      </c>
      <c r="CF105" s="137">
        <f t="shared" si="351"/>
        <v>43</v>
      </c>
      <c r="CG105" s="137">
        <f t="shared" si="352"/>
        <v>43</v>
      </c>
      <c r="CH105" s="135" t="str">
        <f t="shared" si="353"/>
        <v>D</v>
      </c>
      <c r="CI105" s="135" t="str">
        <f>VLOOKUP(RANK(CG105,$CG$10:$CG$109),Sheet1!$A$381:$B$480,2,FALSE)</f>
        <v>86th</v>
      </c>
      <c r="CJ105" s="137"/>
      <c r="CK105" s="137"/>
      <c r="CL105" s="137">
        <f t="shared" si="354"/>
        <v>0</v>
      </c>
      <c r="CM105" s="137">
        <f t="shared" si="355"/>
        <v>0</v>
      </c>
      <c r="CN105" s="135" t="str">
        <f t="shared" si="356"/>
        <v>F</v>
      </c>
      <c r="CO105" s="135" t="str">
        <f>VLOOKUP(RANK(CM105,$CM$10:$CM$109),Sheet1!$A$381:$B$480,2,FALSE)</f>
        <v>1st</v>
      </c>
      <c r="CP105" s="137"/>
      <c r="CQ105" s="137"/>
      <c r="CR105" s="137">
        <f t="shared" si="357"/>
        <v>0</v>
      </c>
      <c r="CS105" s="137">
        <f t="shared" si="358"/>
        <v>0</v>
      </c>
      <c r="CT105" s="135" t="str">
        <f t="shared" si="359"/>
        <v>F</v>
      </c>
      <c r="CU105" s="135" t="str">
        <f>VLOOKUP(RANK(CS105,$CS$10:$CS$109),Sheet1!$A$381:$B$480,2,FALSE)</f>
        <v>1st</v>
      </c>
      <c r="CV105" s="151"/>
      <c r="CW105" s="135"/>
      <c r="CX105" s="151">
        <f t="shared" si="508"/>
        <v>0</v>
      </c>
      <c r="CY105" s="151">
        <f t="shared" si="509"/>
        <v>0</v>
      </c>
      <c r="CZ105" s="135" t="str">
        <f t="shared" si="360"/>
        <v>F</v>
      </c>
      <c r="DA105" s="135" t="str">
        <f>VLOOKUP(RANK(CY105,$CY$10:$CY$109),Sheet1!$A$381:$B$480,2,FALSE)</f>
        <v>1st</v>
      </c>
      <c r="DB105" s="135"/>
      <c r="DC105" s="151">
        <f t="shared" si="510"/>
        <v>490</v>
      </c>
      <c r="DD105" s="151">
        <f t="shared" si="511"/>
        <v>28.823529411764699</v>
      </c>
      <c r="DE105" s="135" t="str">
        <f>VLOOKUP(RANK(DD105,$DD$10:$DD$109),Sheet1!$A$381:$B$480,2,FALSE)</f>
        <v>96th</v>
      </c>
      <c r="DF105" s="137"/>
      <c r="DG105" s="160">
        <f t="shared" si="361"/>
        <v>518.82352941176498</v>
      </c>
      <c r="DH105" s="119"/>
      <c r="DI105" s="162">
        <v>19</v>
      </c>
      <c r="DJ105" s="162">
        <v>28</v>
      </c>
      <c r="DK105" s="137">
        <f t="shared" si="362"/>
        <v>47</v>
      </c>
      <c r="DL105" s="137" t="str">
        <f t="shared" si="363"/>
        <v>69</v>
      </c>
      <c r="DM105" s="137">
        <f t="shared" si="364"/>
        <v>116</v>
      </c>
      <c r="DN105" s="137">
        <f t="shared" si="365"/>
        <v>58</v>
      </c>
      <c r="DO105" s="135" t="str">
        <f t="shared" si="366"/>
        <v>C</v>
      </c>
      <c r="DP105" s="135" t="str">
        <f>VLOOKUP(RANK(DN105,$DN$10:$DN$109),Sheet1!$A$381:$B$480,2,FALSE)</f>
        <v>78th</v>
      </c>
      <c r="DQ105" s="166">
        <v>25</v>
      </c>
      <c r="DR105" s="166">
        <v>14</v>
      </c>
      <c r="DS105" s="137">
        <f t="shared" si="367"/>
        <v>39</v>
      </c>
      <c r="DT105" s="137" t="str">
        <f t="shared" si="368"/>
        <v>31</v>
      </c>
      <c r="DU105" s="137">
        <f t="shared" si="369"/>
        <v>70</v>
      </c>
      <c r="DV105" s="137">
        <f t="shared" si="370"/>
        <v>35</v>
      </c>
      <c r="DW105" s="135" t="str">
        <f t="shared" si="371"/>
        <v>E</v>
      </c>
      <c r="DX105" s="135" t="str">
        <f>VLOOKUP(RANK(DV105,$DV$10:$DV$109),Sheet1!$A$381:$B$480,2,FALSE)</f>
        <v>91st</v>
      </c>
      <c r="DY105" s="168">
        <v>23</v>
      </c>
      <c r="DZ105" s="168">
        <v>16</v>
      </c>
      <c r="EA105" s="137">
        <f t="shared" si="372"/>
        <v>39</v>
      </c>
      <c r="EB105" s="137" t="str">
        <f t="shared" si="373"/>
        <v>43</v>
      </c>
      <c r="EC105" s="137">
        <f t="shared" si="374"/>
        <v>82</v>
      </c>
      <c r="ED105" s="137">
        <f t="shared" si="375"/>
        <v>41</v>
      </c>
      <c r="EE105" s="135" t="str">
        <f t="shared" si="376"/>
        <v>D</v>
      </c>
      <c r="EF105" s="135" t="str">
        <f>VLOOKUP(RANK(ED105,$ED$10:$ED$109),Sheet1!$A$381:$B$480,2,FALSE)</f>
        <v>65th</v>
      </c>
      <c r="EG105" s="162">
        <v>18</v>
      </c>
      <c r="EH105" s="162">
        <v>23</v>
      </c>
      <c r="EI105" s="137">
        <f t="shared" si="377"/>
        <v>41</v>
      </c>
      <c r="EJ105" s="137" t="str">
        <f t="shared" si="378"/>
        <v>32</v>
      </c>
      <c r="EK105" s="137">
        <f t="shared" si="379"/>
        <v>73</v>
      </c>
      <c r="EL105" s="137">
        <f t="shared" si="380"/>
        <v>36.5</v>
      </c>
      <c r="EM105" s="135" t="str">
        <f t="shared" si="381"/>
        <v>E</v>
      </c>
      <c r="EN105" s="135" t="str">
        <f>VLOOKUP(RANK(EL105,$EL$10:$EL$109),Sheet1!$A$381:$B$480,2,FALSE)</f>
        <v>90th</v>
      </c>
      <c r="EO105" s="162">
        <v>26</v>
      </c>
      <c r="EP105" s="162">
        <v>11</v>
      </c>
      <c r="EQ105" s="137">
        <f t="shared" si="382"/>
        <v>37</v>
      </c>
      <c r="ER105" s="137" t="str">
        <f t="shared" si="383"/>
        <v>33</v>
      </c>
      <c r="ES105" s="137">
        <f t="shared" si="384"/>
        <v>70</v>
      </c>
      <c r="ET105" s="137">
        <f t="shared" si="385"/>
        <v>35</v>
      </c>
      <c r="EU105" s="135" t="str">
        <f t="shared" si="386"/>
        <v>E</v>
      </c>
      <c r="EV105" s="135" t="str">
        <f>VLOOKUP(RANK(ET105,$ET$10:$ET$109),Sheet1!$A$381:$B$480,2,FALSE)</f>
        <v>86th</v>
      </c>
      <c r="EW105" s="137"/>
      <c r="EX105" s="137"/>
      <c r="EY105" s="137">
        <f t="shared" si="387"/>
        <v>0</v>
      </c>
      <c r="EZ105" s="137" t="str">
        <f t="shared" si="388"/>
        <v>0</v>
      </c>
      <c r="FA105" s="137">
        <f t="shared" si="389"/>
        <v>0</v>
      </c>
      <c r="FB105" s="137">
        <f t="shared" si="390"/>
        <v>0</v>
      </c>
      <c r="FC105" s="135" t="str">
        <f t="shared" si="391"/>
        <v>F</v>
      </c>
      <c r="FD105" s="135" t="str">
        <f>VLOOKUP(RANK(FB105,$FB$10:$FB$109),Sheet1!$A$381:$B$480,2,FALSE)</f>
        <v>1st</v>
      </c>
      <c r="FE105" s="137"/>
      <c r="FF105" s="137"/>
      <c r="FG105" s="137">
        <f t="shared" si="392"/>
        <v>0</v>
      </c>
      <c r="FH105" s="137" t="str">
        <f t="shared" si="393"/>
        <v>0</v>
      </c>
      <c r="FI105" s="137">
        <f t="shared" si="394"/>
        <v>0</v>
      </c>
      <c r="FJ105" s="137">
        <f t="shared" si="395"/>
        <v>0</v>
      </c>
      <c r="FK105" s="135" t="str">
        <f t="shared" si="396"/>
        <v>F</v>
      </c>
      <c r="FL105" s="135" t="str">
        <f>VLOOKUP(RANK(FJ105,$FJ$10:$FJ$109),Sheet1!$A$381:$B$480,2,FALSE)</f>
        <v>1st</v>
      </c>
      <c r="FM105" s="166">
        <v>27</v>
      </c>
      <c r="FN105" s="166">
        <v>23</v>
      </c>
      <c r="FO105" s="137">
        <f t="shared" si="397"/>
        <v>50</v>
      </c>
      <c r="FP105" s="137" t="str">
        <f t="shared" si="398"/>
        <v>50</v>
      </c>
      <c r="FQ105" s="137">
        <f t="shared" si="399"/>
        <v>100</v>
      </c>
      <c r="FR105" s="137">
        <f t="shared" si="400"/>
        <v>50</v>
      </c>
      <c r="FS105" s="135" t="str">
        <f t="shared" si="401"/>
        <v>C</v>
      </c>
      <c r="FT105" s="135" t="str">
        <f>VLOOKUP(RANK(FR105,$FR$10:$FR$109),Sheet1!$A$381:$B$480,2,FALSE)</f>
        <v>77th</v>
      </c>
      <c r="FU105" s="149">
        <v>29</v>
      </c>
      <c r="FV105" s="149">
        <v>23</v>
      </c>
      <c r="FW105" s="137">
        <f t="shared" si="402"/>
        <v>52</v>
      </c>
      <c r="FX105" s="137" t="str">
        <f t="shared" si="403"/>
        <v>42</v>
      </c>
      <c r="FY105" s="137">
        <f t="shared" si="512"/>
        <v>52</v>
      </c>
      <c r="FZ105" s="137">
        <f t="shared" si="404"/>
        <v>26</v>
      </c>
      <c r="GA105" s="135" t="str">
        <f t="shared" si="405"/>
        <v>F</v>
      </c>
      <c r="GB105" s="135" t="str">
        <f>VLOOKUP(RANK(FZ105,$FZ$10:$FZ$109),Sheet1!$A$381:$B$480,2,FALSE)</f>
        <v>48th</v>
      </c>
      <c r="GC105" s="166">
        <v>13</v>
      </c>
      <c r="GD105" s="166">
        <v>22</v>
      </c>
      <c r="GE105" s="137">
        <f t="shared" si="406"/>
        <v>35</v>
      </c>
      <c r="GF105" s="137" t="str">
        <f t="shared" si="407"/>
        <v>23</v>
      </c>
      <c r="GG105" s="135">
        <f t="shared" si="513"/>
        <v>58</v>
      </c>
      <c r="GH105" s="137">
        <f t="shared" si="514"/>
        <v>29</v>
      </c>
      <c r="GI105" s="135" t="str">
        <f t="shared" si="408"/>
        <v>F</v>
      </c>
      <c r="GJ105" s="135" t="str">
        <f>VLOOKUP(RANK(GH105,$GH$10:$GH$109),Sheet1!$A$381:$B$480,2,FALSE)</f>
        <v>83rd</v>
      </c>
      <c r="GK105" s="166">
        <v>26</v>
      </c>
      <c r="GL105" s="166">
        <v>16</v>
      </c>
      <c r="GM105" s="137">
        <f t="shared" si="409"/>
        <v>42</v>
      </c>
      <c r="GN105" s="137" t="str">
        <f t="shared" si="410"/>
        <v>53</v>
      </c>
      <c r="GO105" s="135">
        <f t="shared" si="515"/>
        <v>95</v>
      </c>
      <c r="GP105" s="137">
        <f t="shared" si="411"/>
        <v>47.5</v>
      </c>
      <c r="GQ105" s="135" t="str">
        <f t="shared" si="412"/>
        <v>D</v>
      </c>
      <c r="GR105" s="135" t="str">
        <f>VLOOKUP(RANK(GP105,$GP$10:$GP$109),Sheet1!$A$381:$B$480,2,FALSE)</f>
        <v>61st</v>
      </c>
      <c r="GS105" s="166">
        <v>16</v>
      </c>
      <c r="GT105" s="166">
        <v>15</v>
      </c>
      <c r="GU105" s="137">
        <f t="shared" si="413"/>
        <v>31</v>
      </c>
      <c r="GV105" s="137" t="str">
        <f t="shared" si="414"/>
        <v>33</v>
      </c>
      <c r="GW105" s="137">
        <f t="shared" si="415"/>
        <v>64</v>
      </c>
      <c r="GX105" s="137">
        <f t="shared" si="416"/>
        <v>32</v>
      </c>
      <c r="GY105" s="135" t="str">
        <f t="shared" si="417"/>
        <v>F</v>
      </c>
      <c r="GZ105" s="135" t="str">
        <f>VLOOKUP(RANK(GX105,$GX$10:$GX$109),Sheet1!$A$381:$B$480,2,FALSE)</f>
        <v>92nd</v>
      </c>
      <c r="HA105" s="166">
        <v>29</v>
      </c>
      <c r="HB105" s="166">
        <v>17</v>
      </c>
      <c r="HC105" s="137">
        <f t="shared" si="418"/>
        <v>46</v>
      </c>
      <c r="HD105" s="137" t="str">
        <f t="shared" si="419"/>
        <v>38</v>
      </c>
      <c r="HE105" s="137">
        <f t="shared" si="420"/>
        <v>84</v>
      </c>
      <c r="HF105" s="137">
        <f t="shared" si="421"/>
        <v>42</v>
      </c>
      <c r="HG105" s="135" t="str">
        <f t="shared" si="422"/>
        <v>D</v>
      </c>
      <c r="HH105" s="135" t="str">
        <f>VLOOKUP(RANK(HF105,$HF$10:$HF$109),Sheet1!$A$381:$B$480,2,FALSE)</f>
        <v>42nd</v>
      </c>
      <c r="HI105" s="149">
        <v>23</v>
      </c>
      <c r="HJ105" s="149">
        <v>41</v>
      </c>
      <c r="HK105" s="137">
        <f t="shared" si="423"/>
        <v>64</v>
      </c>
      <c r="HL105" s="137" t="str">
        <f t="shared" si="424"/>
        <v>43</v>
      </c>
      <c r="HM105" s="137">
        <f t="shared" si="425"/>
        <v>107</v>
      </c>
      <c r="HN105" s="137">
        <f t="shared" si="426"/>
        <v>53.5</v>
      </c>
      <c r="HO105" s="135" t="str">
        <f t="shared" si="427"/>
        <v>C</v>
      </c>
      <c r="HP105" s="135" t="str">
        <f>VLOOKUP(RANK(HN105,$HN$10:$HN$109),Sheet1!$A$381:$B$480,2,FALSE)</f>
        <v>91st</v>
      </c>
      <c r="HQ105" s="137"/>
      <c r="HR105" s="137"/>
      <c r="HS105" s="137">
        <f t="shared" si="428"/>
        <v>0</v>
      </c>
      <c r="HT105" s="137" t="str">
        <f t="shared" si="429"/>
        <v>0</v>
      </c>
      <c r="HU105" s="137">
        <f t="shared" si="430"/>
        <v>0</v>
      </c>
      <c r="HV105" s="137">
        <f t="shared" si="431"/>
        <v>0</v>
      </c>
      <c r="HW105" s="135" t="str">
        <f t="shared" si="432"/>
        <v>F</v>
      </c>
      <c r="HX105" s="135" t="str">
        <f>VLOOKUP(RANK(HV105,$HV$10:$HV$109),Sheet1!$A$381:$B$480,2,FALSE)</f>
        <v>1st</v>
      </c>
      <c r="HY105" s="137"/>
      <c r="HZ105" s="137"/>
      <c r="IA105" s="137">
        <f t="shared" si="433"/>
        <v>0</v>
      </c>
      <c r="IB105" s="137" t="str">
        <f t="shared" si="434"/>
        <v>0</v>
      </c>
      <c r="IC105" s="137">
        <f t="shared" si="435"/>
        <v>0</v>
      </c>
      <c r="ID105" s="137">
        <f t="shared" si="436"/>
        <v>0</v>
      </c>
      <c r="IE105" s="135" t="str">
        <f t="shared" si="437"/>
        <v>F</v>
      </c>
      <c r="IF105" s="135" t="str">
        <f>VLOOKUP(RANK(ID105,$ID$10:$ID$109),Sheet1!$A$381:$B$480,2,FALSE)</f>
        <v>1st</v>
      </c>
      <c r="IG105" s="135"/>
      <c r="IH105" s="135"/>
      <c r="II105" s="135">
        <f t="shared" si="516"/>
        <v>0</v>
      </c>
      <c r="IJ105" s="135" t="str">
        <f t="shared" si="517"/>
        <v>0</v>
      </c>
      <c r="IK105" s="135">
        <f t="shared" si="518"/>
        <v>0</v>
      </c>
      <c r="IL105" s="135">
        <f t="shared" si="519"/>
        <v>0</v>
      </c>
      <c r="IM105" s="135" t="str">
        <f t="shared" si="438"/>
        <v>F</v>
      </c>
      <c r="IN105" s="135" t="str">
        <f>VLOOKUP(RANK(IL105,$IL$10:$IL$109),Sheet1!$A$381:$B$480,2,FALSE)</f>
        <v>1st</v>
      </c>
      <c r="IO105" s="135">
        <f t="shared" si="520"/>
        <v>485.5</v>
      </c>
      <c r="IP105" s="177">
        <f t="shared" si="521"/>
        <v>28.5588235294118</v>
      </c>
      <c r="IQ105" s="135" t="str">
        <f>VLOOKUP(RANK(IP105,$IP$10:$IP$109),Sheet1!$A$381:$B$480,2,FALSE)</f>
        <v>89th</v>
      </c>
      <c r="IR105" s="178"/>
      <c r="IS105" s="137"/>
      <c r="IT105" s="137"/>
      <c r="IU105" s="137"/>
      <c r="IV105" s="137"/>
      <c r="IW105" s="181"/>
      <c r="IX105" s="184"/>
      <c r="IY105" s="186"/>
      <c r="IZ105" s="186">
        <f t="shared" si="439"/>
        <v>0</v>
      </c>
      <c r="JA105" s="186" t="str">
        <f t="shared" si="440"/>
        <v>69</v>
      </c>
      <c r="JB105" s="186" t="str">
        <f t="shared" si="441"/>
        <v>47</v>
      </c>
      <c r="JC105" s="186">
        <f t="shared" si="522"/>
        <v>116</v>
      </c>
      <c r="JD105" s="186">
        <f t="shared" si="523"/>
        <v>38.6666666666667</v>
      </c>
      <c r="JE105" s="135" t="str">
        <f t="shared" si="442"/>
        <v>E</v>
      </c>
      <c r="JF105" s="151" t="str">
        <f>VLOOKUP(RANK(JD105,$JD$10:$JD$109),Sheet1!$A$381:$B$480,2,FALSE)</f>
        <v>78th</v>
      </c>
      <c r="JG105" s="186"/>
      <c r="JH105" s="186"/>
      <c r="JI105" s="186">
        <f t="shared" si="443"/>
        <v>0</v>
      </c>
      <c r="JJ105" s="186" t="str">
        <f t="shared" si="444"/>
        <v>31</v>
      </c>
      <c r="JK105" s="186" t="str">
        <f t="shared" si="445"/>
        <v>39</v>
      </c>
      <c r="JL105" s="186">
        <f t="shared" si="524"/>
        <v>70</v>
      </c>
      <c r="JM105" s="186">
        <f t="shared" si="525"/>
        <v>23.3333333333333</v>
      </c>
      <c r="JN105" s="135" t="str">
        <f t="shared" si="446"/>
        <v>F</v>
      </c>
      <c r="JO105" s="151" t="str">
        <f>VLOOKUP(RANK(JM105,$JM$10:$JM$109),Sheet1!$A$381:$B$480,2,FALSE)</f>
        <v>91st</v>
      </c>
      <c r="JP105" s="186"/>
      <c r="JQ105" s="186"/>
      <c r="JR105" s="186">
        <f t="shared" si="447"/>
        <v>0</v>
      </c>
      <c r="JS105" s="186" t="str">
        <f t="shared" si="448"/>
        <v>43</v>
      </c>
      <c r="JT105" s="186" t="str">
        <f t="shared" si="449"/>
        <v>39</v>
      </c>
      <c r="JU105" s="186">
        <f t="shared" si="526"/>
        <v>82</v>
      </c>
      <c r="JV105" s="186">
        <f t="shared" si="527"/>
        <v>27.3333333333333</v>
      </c>
      <c r="JW105" s="135" t="str">
        <f t="shared" si="450"/>
        <v>F</v>
      </c>
      <c r="JX105" s="151" t="str">
        <f>VLOOKUP(RANK(JV105,$JV$10:$JV$109),Sheet1!$A$381:$B$480,2,FALSE)</f>
        <v>65th</v>
      </c>
      <c r="JY105" s="186"/>
      <c r="JZ105" s="186"/>
      <c r="KA105" s="186">
        <f t="shared" si="451"/>
        <v>0</v>
      </c>
      <c r="KB105" s="186" t="str">
        <f t="shared" si="452"/>
        <v>32</v>
      </c>
      <c r="KC105" s="186" t="str">
        <f t="shared" si="453"/>
        <v>41</v>
      </c>
      <c r="KD105" s="186">
        <f t="shared" si="528"/>
        <v>73</v>
      </c>
      <c r="KE105" s="186">
        <f t="shared" si="529"/>
        <v>24.3333333333333</v>
      </c>
      <c r="KF105" s="135" t="str">
        <f t="shared" si="454"/>
        <v>F</v>
      </c>
      <c r="KG105" s="151" t="str">
        <f>VLOOKUP(RANK(KE105,$KE$10:$KE$109),Sheet1!$A$381:$B$480,2,FALSE)</f>
        <v>90th</v>
      </c>
      <c r="KH105" s="186"/>
      <c r="KI105" s="186"/>
      <c r="KJ105" s="186">
        <f t="shared" si="455"/>
        <v>0</v>
      </c>
      <c r="KK105" s="186" t="str">
        <f t="shared" si="456"/>
        <v>33</v>
      </c>
      <c r="KL105" s="186" t="str">
        <f t="shared" si="457"/>
        <v>37</v>
      </c>
      <c r="KM105" s="186">
        <f t="shared" si="530"/>
        <v>70</v>
      </c>
      <c r="KN105" s="186">
        <f t="shared" si="531"/>
        <v>23.3333333333333</v>
      </c>
      <c r="KO105" s="135" t="str">
        <f t="shared" si="458"/>
        <v>F</v>
      </c>
      <c r="KP105" s="151" t="str">
        <f>VLOOKUP(RANK(KN105,$KN$10:$KN$109),Sheet1!$A$381:$B$480,2,FALSE)</f>
        <v>86th</v>
      </c>
      <c r="KQ105" s="186"/>
      <c r="KR105" s="186"/>
      <c r="KS105" s="186">
        <f t="shared" si="459"/>
        <v>0</v>
      </c>
      <c r="KT105" s="186" t="str">
        <f t="shared" si="460"/>
        <v>0</v>
      </c>
      <c r="KU105" s="186" t="str">
        <f t="shared" si="461"/>
        <v>0</v>
      </c>
      <c r="KV105" s="186">
        <f t="shared" si="532"/>
        <v>0</v>
      </c>
      <c r="KW105" s="186">
        <f t="shared" si="533"/>
        <v>0</v>
      </c>
      <c r="KX105" s="135" t="str">
        <f t="shared" si="462"/>
        <v>F</v>
      </c>
      <c r="KY105" s="151" t="str">
        <f>VLOOKUP(RANK(KW105,$KW$10:$KW$109),Sheet1!$A$381:$B$480,2,FALSE)</f>
        <v>1st</v>
      </c>
      <c r="KZ105" s="186"/>
      <c r="LA105" s="186"/>
      <c r="LB105" s="186">
        <f t="shared" si="463"/>
        <v>0</v>
      </c>
      <c r="LC105" s="186" t="str">
        <f t="shared" si="464"/>
        <v>0</v>
      </c>
      <c r="LD105" s="186" t="str">
        <f t="shared" si="465"/>
        <v>0</v>
      </c>
      <c r="LE105" s="186">
        <f t="shared" si="534"/>
        <v>0</v>
      </c>
      <c r="LF105" s="186">
        <f t="shared" si="535"/>
        <v>0</v>
      </c>
      <c r="LG105" s="135" t="str">
        <f t="shared" si="466"/>
        <v>F</v>
      </c>
      <c r="LH105" s="151" t="str">
        <f>VLOOKUP(RANK(LF105,$LF$10:$LF$109),Sheet1!$A$381:$B$480,2,FALSE)</f>
        <v>1st</v>
      </c>
      <c r="LI105" s="186"/>
      <c r="LJ105" s="186"/>
      <c r="LK105" s="186">
        <f t="shared" si="467"/>
        <v>0</v>
      </c>
      <c r="LL105" s="186" t="str">
        <f t="shared" si="468"/>
        <v>50</v>
      </c>
      <c r="LM105" s="186" t="str">
        <f t="shared" si="469"/>
        <v>50</v>
      </c>
      <c r="LN105" s="186">
        <f t="shared" si="536"/>
        <v>100</v>
      </c>
      <c r="LO105" s="186">
        <f t="shared" si="537"/>
        <v>33.3333333333333</v>
      </c>
      <c r="LP105" s="135" t="str">
        <f t="shared" si="470"/>
        <v>F</v>
      </c>
      <c r="LQ105" s="151" t="str">
        <f>VLOOKUP(RANK(LO105,$LO$10:$LO$109),Sheet1!$A$381:$B$480,2,FALSE)</f>
        <v>77th</v>
      </c>
      <c r="LR105" s="186"/>
      <c r="LS105" s="186"/>
      <c r="LT105" s="186">
        <f t="shared" si="471"/>
        <v>0</v>
      </c>
      <c r="LU105" s="186" t="str">
        <f t="shared" si="472"/>
        <v>42</v>
      </c>
      <c r="LV105" s="186" t="str">
        <f t="shared" si="473"/>
        <v>52</v>
      </c>
      <c r="LW105" s="186">
        <f t="shared" si="538"/>
        <v>94</v>
      </c>
      <c r="LX105" s="186">
        <f t="shared" si="539"/>
        <v>31.3333333333333</v>
      </c>
      <c r="LY105" s="135" t="str">
        <f t="shared" si="474"/>
        <v>F</v>
      </c>
      <c r="LZ105" s="151" t="str">
        <f>VLOOKUP(RANK(LX105,$LX$10:$LX$109),Sheet1!$A$381:$B$480,2,FALSE)</f>
        <v>70th</v>
      </c>
      <c r="MA105" s="186"/>
      <c r="MB105" s="186"/>
      <c r="MC105" s="186">
        <f t="shared" si="475"/>
        <v>0</v>
      </c>
      <c r="MD105" s="186" t="str">
        <f t="shared" si="476"/>
        <v>23</v>
      </c>
      <c r="ME105" s="186" t="str">
        <f t="shared" si="477"/>
        <v>35</v>
      </c>
      <c r="MF105" s="183">
        <f t="shared" si="540"/>
        <v>58</v>
      </c>
      <c r="MG105" s="151">
        <f t="shared" si="541"/>
        <v>19.3333333333333</v>
      </c>
      <c r="MH105" s="135" t="str">
        <f t="shared" si="478"/>
        <v>F</v>
      </c>
      <c r="MI105" s="151" t="str">
        <f>VLOOKUP(RANK(MG105,$MG$10:$MG$109),Sheet1!$A$381:$B$480,2,FALSE)</f>
        <v>83rd</v>
      </c>
      <c r="MJ105" s="186"/>
      <c r="MK105" s="186"/>
      <c r="ML105" s="186">
        <f t="shared" si="479"/>
        <v>0</v>
      </c>
      <c r="MM105" s="186" t="str">
        <f t="shared" si="480"/>
        <v>53</v>
      </c>
      <c r="MN105" s="186" t="str">
        <f t="shared" si="481"/>
        <v>42</v>
      </c>
      <c r="MO105" s="186">
        <f t="shared" si="542"/>
        <v>95</v>
      </c>
      <c r="MP105" s="186">
        <f t="shared" si="543"/>
        <v>31.6666666666667</v>
      </c>
      <c r="MQ105" s="135" t="str">
        <f t="shared" si="482"/>
        <v>F</v>
      </c>
      <c r="MR105" s="151" t="str">
        <f>VLOOKUP(RANK(MP105,$MP$10:$MP$109),Sheet1!$A$381:$B$480,2,FALSE)</f>
        <v>61st</v>
      </c>
      <c r="MS105" s="186"/>
      <c r="MT105" s="186"/>
      <c r="MU105" s="186">
        <f t="shared" si="483"/>
        <v>0</v>
      </c>
      <c r="MV105" s="186" t="str">
        <f t="shared" si="484"/>
        <v>33</v>
      </c>
      <c r="MW105" s="186" t="str">
        <f t="shared" si="485"/>
        <v>31</v>
      </c>
      <c r="MX105" s="186">
        <f t="shared" si="544"/>
        <v>64</v>
      </c>
      <c r="MY105" s="186">
        <f t="shared" si="545"/>
        <v>21.3333333333333</v>
      </c>
      <c r="MZ105" s="135" t="str">
        <f t="shared" si="486"/>
        <v>F</v>
      </c>
      <c r="NA105" s="151" t="str">
        <f>VLOOKUP(RANK(MY105,$MY$10:$MY$109),Sheet1!$A$381:$B$480,2,FALSE)</f>
        <v>92nd</v>
      </c>
      <c r="NB105" s="186"/>
      <c r="NC105" s="186"/>
      <c r="ND105" s="186">
        <f t="shared" si="487"/>
        <v>0</v>
      </c>
      <c r="NE105" s="186" t="str">
        <f t="shared" si="488"/>
        <v>38</v>
      </c>
      <c r="NF105" s="186" t="str">
        <f t="shared" si="489"/>
        <v>46</v>
      </c>
      <c r="NG105" s="186">
        <f t="shared" si="546"/>
        <v>84</v>
      </c>
      <c r="NH105" s="186">
        <f t="shared" si="547"/>
        <v>28</v>
      </c>
      <c r="NI105" s="135" t="str">
        <f t="shared" si="490"/>
        <v>F</v>
      </c>
      <c r="NJ105" s="151" t="str">
        <f>VLOOKUP(RANK(NH105,$NH$10:$NH$109),Sheet1!$A$381:$B$480,2,FALSE)</f>
        <v>42nd</v>
      </c>
      <c r="NK105" s="186"/>
      <c r="NL105" s="186"/>
      <c r="NM105" s="186">
        <f t="shared" si="491"/>
        <v>0</v>
      </c>
      <c r="NN105" s="186" t="str">
        <f t="shared" si="492"/>
        <v>43</v>
      </c>
      <c r="NO105" s="186" t="str">
        <f t="shared" si="493"/>
        <v>64</v>
      </c>
      <c r="NP105" s="186">
        <f t="shared" si="548"/>
        <v>107</v>
      </c>
      <c r="NQ105" s="186">
        <f t="shared" si="494"/>
        <v>35.6666666666667</v>
      </c>
      <c r="NR105" s="135" t="str">
        <f t="shared" si="495"/>
        <v>E</v>
      </c>
      <c r="NS105" s="151" t="str">
        <f>VLOOKUP(RANK(NQ105,$NQ$10:$NQ$109),Sheet1!$A$381:$B$480,2,FALSE)</f>
        <v>91st</v>
      </c>
      <c r="NT105" s="186"/>
      <c r="NU105" s="186"/>
      <c r="NV105" s="186">
        <f t="shared" si="496"/>
        <v>0</v>
      </c>
      <c r="NW105" s="186" t="str">
        <f t="shared" si="497"/>
        <v>0</v>
      </c>
      <c r="NX105" s="186" t="str">
        <f t="shared" si="498"/>
        <v>0</v>
      </c>
      <c r="NY105" s="186">
        <f t="shared" si="549"/>
        <v>0</v>
      </c>
      <c r="NZ105" s="186">
        <f t="shared" si="499"/>
        <v>0</v>
      </c>
      <c r="OA105" s="135" t="str">
        <f t="shared" si="500"/>
        <v>F</v>
      </c>
      <c r="OB105" s="151" t="str">
        <f>VLOOKUP(RANK(NZ105,$NZ$10:$NZ$109),Sheet1!$A$381:$B$480,2,FALSE)</f>
        <v>1st</v>
      </c>
      <c r="OC105" s="186"/>
      <c r="OD105" s="186"/>
      <c r="OE105" s="186">
        <f t="shared" si="501"/>
        <v>0</v>
      </c>
      <c r="OF105" s="186" t="str">
        <f t="shared" si="502"/>
        <v>0</v>
      </c>
      <c r="OG105" s="186" t="str">
        <f t="shared" si="503"/>
        <v>0</v>
      </c>
      <c r="OH105" s="186">
        <f t="shared" si="550"/>
        <v>0</v>
      </c>
      <c r="OI105" s="186">
        <f t="shared" si="504"/>
        <v>0</v>
      </c>
      <c r="OJ105" s="135" t="str">
        <f t="shared" si="505"/>
        <v>F</v>
      </c>
      <c r="OK105" s="151" t="str">
        <f>VLOOKUP(RANK(OI105,$OI$10:$OI$109),Sheet1!$A$381:$B$480,2,FALSE)</f>
        <v>1st</v>
      </c>
      <c r="OL105" s="151"/>
      <c r="OM105" s="151"/>
      <c r="ON105" s="151">
        <f t="shared" si="551"/>
        <v>0</v>
      </c>
      <c r="OO105" s="151" t="str">
        <f t="shared" si="552"/>
        <v>0</v>
      </c>
      <c r="OP105" s="151" t="str">
        <f t="shared" si="553"/>
        <v>0</v>
      </c>
      <c r="OQ105" s="151">
        <f t="shared" si="554"/>
        <v>0</v>
      </c>
      <c r="OR105" s="151">
        <f t="shared" si="555"/>
        <v>0</v>
      </c>
      <c r="OS105" s="135" t="str">
        <f t="shared" si="506"/>
        <v>F</v>
      </c>
      <c r="OT105" s="151" t="str">
        <f>VLOOKUP(RANK(OR105,$OI$10:$OI$109),Sheet1!$A$381:$B$480,2,FALSE)</f>
        <v>1st</v>
      </c>
      <c r="OU105" s="151">
        <f t="shared" si="556"/>
        <v>337.66666666666703</v>
      </c>
      <c r="OV105" s="151">
        <f t="shared" si="557"/>
        <v>19.862745098039198</v>
      </c>
      <c r="OW105" s="151" t="str">
        <f>VLOOKUP(RANK(OV105,$OV$10:$OV$109),Sheet1!$A$381:$B$480,2,FALSE)</f>
        <v>89th</v>
      </c>
      <c r="OX105" s="151"/>
      <c r="OY105" s="186"/>
      <c r="OZ105" s="186"/>
      <c r="PA105" s="186"/>
      <c r="PB105" s="186"/>
    </row>
    <row r="106" spans="1:418" s="118" customFormat="1" ht="18.75">
      <c r="A106" s="131">
        <v>97</v>
      </c>
      <c r="B106" s="132" t="s">
        <v>196</v>
      </c>
      <c r="C106" s="133" t="s">
        <v>97</v>
      </c>
      <c r="D106" s="134">
        <v>26</v>
      </c>
      <c r="E106" s="134">
        <v>39</v>
      </c>
      <c r="F106" s="137">
        <f t="shared" si="315"/>
        <v>65</v>
      </c>
      <c r="G106" s="137">
        <f t="shared" si="316"/>
        <v>65</v>
      </c>
      <c r="H106" s="135" t="str">
        <f t="shared" si="507"/>
        <v>B</v>
      </c>
      <c r="I106" s="135" t="str">
        <f>VLOOKUP(RANK(G106,$G$10:$G$109),Sheet1!$A$381:$B$480,2,FALSE)</f>
        <v>56th</v>
      </c>
      <c r="J106" s="134">
        <v>29</v>
      </c>
      <c r="K106" s="134">
        <v>26</v>
      </c>
      <c r="L106" s="137">
        <f t="shared" si="317"/>
        <v>55</v>
      </c>
      <c r="M106" s="137">
        <f t="shared" si="318"/>
        <v>55</v>
      </c>
      <c r="N106" s="135" t="str">
        <f t="shared" si="319"/>
        <v>C</v>
      </c>
      <c r="O106" s="141" t="str">
        <f>VLOOKUP(RANK(M106,$M$10:$M$109),Sheet1!$A$381:$B$480,2,FALSE)</f>
        <v>36th</v>
      </c>
      <c r="P106" s="144">
        <v>28</v>
      </c>
      <c r="Q106" s="144">
        <v>10</v>
      </c>
      <c r="R106" s="147">
        <f t="shared" si="320"/>
        <v>38</v>
      </c>
      <c r="S106" s="137">
        <f t="shared" si="321"/>
        <v>38</v>
      </c>
      <c r="T106" s="135" t="str">
        <f t="shared" si="322"/>
        <v>E</v>
      </c>
      <c r="U106" s="135" t="str">
        <f>VLOOKUP(RANK(S106,$S$10:$S$109),Sheet1!$A$381:$B$480,2,FALSE)</f>
        <v>67th</v>
      </c>
      <c r="V106" s="134">
        <v>31</v>
      </c>
      <c r="W106" s="134">
        <v>20</v>
      </c>
      <c r="X106" s="137">
        <f t="shared" si="559"/>
        <v>51</v>
      </c>
      <c r="Y106" s="137">
        <f t="shared" si="558"/>
        <v>51</v>
      </c>
      <c r="Z106" s="135" t="str">
        <f t="shared" si="323"/>
        <v>C</v>
      </c>
      <c r="AA106" s="135" t="str">
        <f>VLOOKUP(RANK(Y106,$Y$10:$Y$109),Sheet1!$A$381:$B$480,2,FALSE)</f>
        <v>54th</v>
      </c>
      <c r="AB106" s="134">
        <v>28</v>
      </c>
      <c r="AC106" s="134">
        <v>10</v>
      </c>
      <c r="AD106" s="137">
        <f t="shared" si="324"/>
        <v>38</v>
      </c>
      <c r="AE106" s="137">
        <f t="shared" si="325"/>
        <v>38</v>
      </c>
      <c r="AF106" s="135" t="str">
        <f t="shared" si="326"/>
        <v>E</v>
      </c>
      <c r="AG106" s="135" t="str">
        <f>VLOOKUP(RANK(AE106,$AE$10:$AE$109),Sheet1!$A$381:$B$480,2,FALSE)</f>
        <v>81st</v>
      </c>
      <c r="AH106" s="137"/>
      <c r="AI106" s="137"/>
      <c r="AJ106" s="137">
        <f t="shared" si="327"/>
        <v>0</v>
      </c>
      <c r="AK106" s="137">
        <f t="shared" si="328"/>
        <v>0</v>
      </c>
      <c r="AL106" s="135" t="str">
        <f t="shared" si="329"/>
        <v>F</v>
      </c>
      <c r="AM106" s="135" t="str">
        <f>VLOOKUP(RANK(AK106,$AK$10:$AK$109),Sheet1!$A$381:$B$480,2,FALSE)</f>
        <v>1st</v>
      </c>
      <c r="AN106" s="134"/>
      <c r="AO106" s="134"/>
      <c r="AP106" s="137">
        <f t="shared" si="330"/>
        <v>0</v>
      </c>
      <c r="AQ106" s="137">
        <f t="shared" si="331"/>
        <v>0</v>
      </c>
      <c r="AR106" s="135" t="str">
        <f t="shared" si="332"/>
        <v>F</v>
      </c>
      <c r="AS106" s="135" t="str">
        <f>VLOOKUP(RANK(AQ106,$AQ$10:$AQ$109),Sheet1!$A$381:$B$480,2,FALSE)</f>
        <v>1st</v>
      </c>
      <c r="AT106" s="144">
        <v>24</v>
      </c>
      <c r="AU106" s="144">
        <v>27</v>
      </c>
      <c r="AV106" s="137">
        <f t="shared" si="333"/>
        <v>51</v>
      </c>
      <c r="AW106" s="137">
        <f t="shared" si="334"/>
        <v>51</v>
      </c>
      <c r="AX106" s="135" t="str">
        <f t="shared" si="335"/>
        <v>C</v>
      </c>
      <c r="AY106" s="141" t="str">
        <f>VLOOKUP(RANK(AW106,$AW$10:$AW$109),Sheet1!$A$381:$B$480,2,FALSE)</f>
        <v>45th</v>
      </c>
      <c r="AZ106" s="144">
        <v>30</v>
      </c>
      <c r="BA106" s="144">
        <v>10</v>
      </c>
      <c r="BB106" s="147">
        <f t="shared" si="336"/>
        <v>40</v>
      </c>
      <c r="BC106" s="137">
        <f t="shared" si="337"/>
        <v>40</v>
      </c>
      <c r="BD106" s="135" t="str">
        <f t="shared" si="338"/>
        <v>D</v>
      </c>
      <c r="BE106" s="135" t="str">
        <f>VLOOKUP(RANK(BC106,$BC$10:$BC$109),Sheet1!$A$381:$B$480,2,FALSE)</f>
        <v>85th</v>
      </c>
      <c r="BF106" s="144">
        <v>12</v>
      </c>
      <c r="BG106" s="144">
        <v>12</v>
      </c>
      <c r="BH106" s="137">
        <f t="shared" si="339"/>
        <v>24</v>
      </c>
      <c r="BI106" s="137">
        <f t="shared" si="340"/>
        <v>24</v>
      </c>
      <c r="BJ106" s="135" t="str">
        <f t="shared" si="341"/>
        <v>F</v>
      </c>
      <c r="BK106" s="141" t="str">
        <f>VLOOKUP(RANK(BI106,$BI$10:$BI$109),Sheet1!$A$381:$B$480,2,FALSE)</f>
        <v>83rd</v>
      </c>
      <c r="BL106" s="149">
        <v>25</v>
      </c>
      <c r="BM106" s="149">
        <v>29</v>
      </c>
      <c r="BN106" s="147">
        <f t="shared" si="342"/>
        <v>54</v>
      </c>
      <c r="BO106" s="137">
        <f t="shared" si="343"/>
        <v>54</v>
      </c>
      <c r="BP106" s="135" t="str">
        <f t="shared" si="344"/>
        <v>C</v>
      </c>
      <c r="BQ106" s="141" t="str">
        <f>VLOOKUP(RANK(BO106,$BO$10:$BO$109),Sheet1!$A$381:$B$480,2,FALSE)</f>
        <v>23rd</v>
      </c>
      <c r="BR106" s="149">
        <v>28</v>
      </c>
      <c r="BS106" s="149">
        <v>11</v>
      </c>
      <c r="BT106" s="147">
        <f t="shared" si="345"/>
        <v>39</v>
      </c>
      <c r="BU106" s="137">
        <f t="shared" si="346"/>
        <v>39</v>
      </c>
      <c r="BV106" s="135" t="str">
        <f t="shared" si="347"/>
        <v>E</v>
      </c>
      <c r="BW106" s="135" t="str">
        <f>VLOOKUP(RANK(BU106,$BU$10:$BU$109),Sheet1!$A$381:$B$480,2,FALSE)</f>
        <v>65th</v>
      </c>
      <c r="BX106" s="149">
        <v>30</v>
      </c>
      <c r="BY106" s="149">
        <v>10</v>
      </c>
      <c r="BZ106" s="137">
        <f t="shared" si="348"/>
        <v>40</v>
      </c>
      <c r="CA106" s="137">
        <f t="shared" si="349"/>
        <v>40</v>
      </c>
      <c r="CB106" s="135" t="str">
        <f t="shared" si="350"/>
        <v>D</v>
      </c>
      <c r="CC106" s="135" t="str">
        <f>VLOOKUP(RANK(CA106,$CA$10:$CA$109),Sheet1!$A$381:$B$480,2,FALSE)</f>
        <v>43rd</v>
      </c>
      <c r="CD106" s="149">
        <v>25</v>
      </c>
      <c r="CE106" s="149">
        <v>30</v>
      </c>
      <c r="CF106" s="137">
        <f t="shared" si="351"/>
        <v>55</v>
      </c>
      <c r="CG106" s="137">
        <f t="shared" si="352"/>
        <v>55</v>
      </c>
      <c r="CH106" s="135" t="str">
        <f t="shared" si="353"/>
        <v>C</v>
      </c>
      <c r="CI106" s="135" t="str">
        <f>VLOOKUP(RANK(CG106,$CG$10:$CG$109),Sheet1!$A$381:$B$480,2,FALSE)</f>
        <v>46th</v>
      </c>
      <c r="CJ106" s="137"/>
      <c r="CK106" s="137"/>
      <c r="CL106" s="137">
        <f t="shared" si="354"/>
        <v>0</v>
      </c>
      <c r="CM106" s="137">
        <f t="shared" si="355"/>
        <v>0</v>
      </c>
      <c r="CN106" s="135" t="str">
        <f t="shared" si="356"/>
        <v>F</v>
      </c>
      <c r="CO106" s="135" t="str">
        <f>VLOOKUP(RANK(CM106,$CM$10:$CM$109),Sheet1!$A$381:$B$480,2,FALSE)</f>
        <v>1st</v>
      </c>
      <c r="CP106" s="137"/>
      <c r="CQ106" s="137"/>
      <c r="CR106" s="137">
        <f t="shared" si="357"/>
        <v>0</v>
      </c>
      <c r="CS106" s="137">
        <f t="shared" si="358"/>
        <v>0</v>
      </c>
      <c r="CT106" s="135" t="str">
        <f t="shared" si="359"/>
        <v>F</v>
      </c>
      <c r="CU106" s="135" t="str">
        <f>VLOOKUP(RANK(CS106,$CS$10:$CS$109),Sheet1!$A$381:$B$480,2,FALSE)</f>
        <v>1st</v>
      </c>
      <c r="CV106" s="151"/>
      <c r="CW106" s="135"/>
      <c r="CX106" s="151">
        <f t="shared" si="508"/>
        <v>0</v>
      </c>
      <c r="CY106" s="151">
        <f t="shared" si="509"/>
        <v>0</v>
      </c>
      <c r="CZ106" s="135" t="str">
        <f t="shared" si="360"/>
        <v>F</v>
      </c>
      <c r="DA106" s="135" t="str">
        <f>VLOOKUP(RANK(CY106,$CY$10:$CY$109),Sheet1!$A$381:$B$480,2,FALSE)</f>
        <v>1st</v>
      </c>
      <c r="DB106" s="135"/>
      <c r="DC106" s="151">
        <f t="shared" si="510"/>
        <v>550</v>
      </c>
      <c r="DD106" s="151">
        <f t="shared" si="511"/>
        <v>32.352941176470601</v>
      </c>
      <c r="DE106" s="135" t="str">
        <f>VLOOKUP(RANK(DD106,$DD$10:$DD$109),Sheet1!$A$381:$B$480,2,FALSE)</f>
        <v>78th</v>
      </c>
      <c r="DF106" s="137"/>
      <c r="DG106" s="160">
        <f t="shared" si="361"/>
        <v>582.35294117647095</v>
      </c>
      <c r="DH106" s="119"/>
      <c r="DI106" s="162">
        <v>25</v>
      </c>
      <c r="DJ106" s="162">
        <v>48</v>
      </c>
      <c r="DK106" s="137">
        <f t="shared" si="362"/>
        <v>73</v>
      </c>
      <c r="DL106" s="137" t="str">
        <f t="shared" si="363"/>
        <v>65</v>
      </c>
      <c r="DM106" s="137">
        <f t="shared" si="364"/>
        <v>138</v>
      </c>
      <c r="DN106" s="137">
        <f t="shared" si="365"/>
        <v>69</v>
      </c>
      <c r="DO106" s="135" t="str">
        <f t="shared" si="366"/>
        <v>B</v>
      </c>
      <c r="DP106" s="135" t="str">
        <f>VLOOKUP(RANK(DN106,$DN$10:$DN$109),Sheet1!$A$381:$B$480,2,FALSE)</f>
        <v>44th</v>
      </c>
      <c r="DQ106" s="166">
        <v>29</v>
      </c>
      <c r="DR106" s="166">
        <v>15</v>
      </c>
      <c r="DS106" s="137">
        <f t="shared" si="367"/>
        <v>44</v>
      </c>
      <c r="DT106" s="137" t="str">
        <f t="shared" si="368"/>
        <v>55</v>
      </c>
      <c r="DU106" s="137">
        <f t="shared" si="369"/>
        <v>99</v>
      </c>
      <c r="DV106" s="137">
        <f t="shared" si="370"/>
        <v>49.5</v>
      </c>
      <c r="DW106" s="135" t="str">
        <f t="shared" si="371"/>
        <v>D</v>
      </c>
      <c r="DX106" s="135" t="str">
        <f>VLOOKUP(RANK(DV106,$DV$10:$DV$109),Sheet1!$A$381:$B$480,2,FALSE)</f>
        <v>45th</v>
      </c>
      <c r="DY106" s="168">
        <v>20</v>
      </c>
      <c r="DZ106" s="168">
        <v>14</v>
      </c>
      <c r="EA106" s="137">
        <f t="shared" si="372"/>
        <v>34</v>
      </c>
      <c r="EB106" s="137" t="str">
        <f t="shared" si="373"/>
        <v>38</v>
      </c>
      <c r="EC106" s="137">
        <f t="shared" si="374"/>
        <v>72</v>
      </c>
      <c r="ED106" s="137">
        <f t="shared" si="375"/>
        <v>36</v>
      </c>
      <c r="EE106" s="135" t="str">
        <f t="shared" si="376"/>
        <v>E</v>
      </c>
      <c r="EF106" s="135" t="str">
        <f>VLOOKUP(RANK(ED106,$ED$10:$ED$109),Sheet1!$A$381:$B$480,2,FALSE)</f>
        <v>81st</v>
      </c>
      <c r="EG106" s="162">
        <v>32</v>
      </c>
      <c r="EH106" s="162">
        <v>26</v>
      </c>
      <c r="EI106" s="137">
        <f t="shared" si="377"/>
        <v>58</v>
      </c>
      <c r="EJ106" s="137" t="str">
        <f t="shared" si="378"/>
        <v>51</v>
      </c>
      <c r="EK106" s="137">
        <f t="shared" si="379"/>
        <v>109</v>
      </c>
      <c r="EL106" s="137">
        <f t="shared" si="380"/>
        <v>54.5</v>
      </c>
      <c r="EM106" s="135" t="str">
        <f t="shared" si="381"/>
        <v>C</v>
      </c>
      <c r="EN106" s="135" t="str">
        <f>VLOOKUP(RANK(EL106,$EL$10:$EL$109),Sheet1!$A$381:$B$480,2,FALSE)</f>
        <v>48th</v>
      </c>
      <c r="EO106" s="162">
        <v>24</v>
      </c>
      <c r="EP106" s="162">
        <v>10</v>
      </c>
      <c r="EQ106" s="137">
        <f t="shared" si="382"/>
        <v>34</v>
      </c>
      <c r="ER106" s="137" t="str">
        <f t="shared" si="383"/>
        <v>38</v>
      </c>
      <c r="ES106" s="137">
        <f t="shared" si="384"/>
        <v>72</v>
      </c>
      <c r="ET106" s="137">
        <f t="shared" si="385"/>
        <v>36</v>
      </c>
      <c r="EU106" s="135" t="str">
        <f t="shared" si="386"/>
        <v>E</v>
      </c>
      <c r="EV106" s="135" t="str">
        <f>VLOOKUP(RANK(ET106,$ET$10:$ET$109),Sheet1!$A$381:$B$480,2,FALSE)</f>
        <v>82nd</v>
      </c>
      <c r="EW106" s="137"/>
      <c r="EX106" s="137"/>
      <c r="EY106" s="137">
        <f t="shared" si="387"/>
        <v>0</v>
      </c>
      <c r="EZ106" s="137" t="str">
        <f t="shared" si="388"/>
        <v>0</v>
      </c>
      <c r="FA106" s="137">
        <f t="shared" si="389"/>
        <v>0</v>
      </c>
      <c r="FB106" s="137">
        <f t="shared" si="390"/>
        <v>0</v>
      </c>
      <c r="FC106" s="135" t="str">
        <f t="shared" si="391"/>
        <v>F</v>
      </c>
      <c r="FD106" s="135" t="str">
        <f>VLOOKUP(RANK(FB106,$FB$10:$FB$109),Sheet1!$A$381:$B$480,2,FALSE)</f>
        <v>1st</v>
      </c>
      <c r="FE106" s="137"/>
      <c r="FF106" s="137"/>
      <c r="FG106" s="137">
        <f t="shared" si="392"/>
        <v>0</v>
      </c>
      <c r="FH106" s="137" t="str">
        <f t="shared" si="393"/>
        <v>0</v>
      </c>
      <c r="FI106" s="137">
        <f t="shared" si="394"/>
        <v>0</v>
      </c>
      <c r="FJ106" s="137">
        <f t="shared" si="395"/>
        <v>0</v>
      </c>
      <c r="FK106" s="135" t="str">
        <f t="shared" si="396"/>
        <v>F</v>
      </c>
      <c r="FL106" s="135" t="str">
        <f>VLOOKUP(RANK(FJ106,$FJ$10:$FJ$109),Sheet1!$A$381:$B$480,2,FALSE)</f>
        <v>1st</v>
      </c>
      <c r="FM106" s="166">
        <v>27</v>
      </c>
      <c r="FN106" s="166">
        <v>26</v>
      </c>
      <c r="FO106" s="137">
        <f t="shared" si="397"/>
        <v>53</v>
      </c>
      <c r="FP106" s="137" t="str">
        <f t="shared" si="398"/>
        <v>51</v>
      </c>
      <c r="FQ106" s="137">
        <f t="shared" si="399"/>
        <v>104</v>
      </c>
      <c r="FR106" s="137">
        <f t="shared" si="400"/>
        <v>52</v>
      </c>
      <c r="FS106" s="135" t="str">
        <f t="shared" si="401"/>
        <v>C</v>
      </c>
      <c r="FT106" s="135" t="str">
        <f>VLOOKUP(RANK(FR106,$FR$10:$FR$109),Sheet1!$A$381:$B$480,2,FALSE)</f>
        <v>45th</v>
      </c>
      <c r="FU106" s="149">
        <v>26</v>
      </c>
      <c r="FV106" s="149">
        <v>24</v>
      </c>
      <c r="FW106" s="137">
        <f t="shared" si="402"/>
        <v>50</v>
      </c>
      <c r="FX106" s="137" t="str">
        <f t="shared" si="403"/>
        <v>40</v>
      </c>
      <c r="FY106" s="137">
        <f t="shared" si="512"/>
        <v>50</v>
      </c>
      <c r="FZ106" s="137">
        <f t="shared" si="404"/>
        <v>25</v>
      </c>
      <c r="GA106" s="135" t="str">
        <f t="shared" si="405"/>
        <v>F</v>
      </c>
      <c r="GB106" s="135" t="str">
        <f>VLOOKUP(RANK(FZ106,$FZ$10:$FZ$109),Sheet1!$A$381:$B$480,2,FALSE)</f>
        <v>53rd</v>
      </c>
      <c r="GC106" s="166">
        <v>7</v>
      </c>
      <c r="GD106" s="166">
        <v>25</v>
      </c>
      <c r="GE106" s="137">
        <f t="shared" si="406"/>
        <v>32</v>
      </c>
      <c r="GF106" s="137" t="str">
        <f t="shared" si="407"/>
        <v>24</v>
      </c>
      <c r="GG106" s="135">
        <f t="shared" si="513"/>
        <v>56</v>
      </c>
      <c r="GH106" s="137">
        <f t="shared" si="514"/>
        <v>28</v>
      </c>
      <c r="GI106" s="135" t="str">
        <f t="shared" si="408"/>
        <v>F</v>
      </c>
      <c r="GJ106" s="135" t="str">
        <f>VLOOKUP(RANK(GH106,$GH$10:$GH$109),Sheet1!$A$381:$B$480,2,FALSE)</f>
        <v>89th</v>
      </c>
      <c r="GK106" s="166">
        <v>26</v>
      </c>
      <c r="GL106" s="166">
        <v>12</v>
      </c>
      <c r="GM106" s="137">
        <f t="shared" si="409"/>
        <v>38</v>
      </c>
      <c r="GN106" s="137" t="str">
        <f t="shared" si="410"/>
        <v>54</v>
      </c>
      <c r="GO106" s="135">
        <f t="shared" si="515"/>
        <v>92</v>
      </c>
      <c r="GP106" s="137">
        <f t="shared" si="411"/>
        <v>46</v>
      </c>
      <c r="GQ106" s="135" t="str">
        <f t="shared" si="412"/>
        <v>D</v>
      </c>
      <c r="GR106" s="135" t="str">
        <f>VLOOKUP(RANK(GP106,$GP$10:$GP$109),Sheet1!$A$381:$B$480,2,FALSE)</f>
        <v>82nd</v>
      </c>
      <c r="GS106" s="166">
        <v>30</v>
      </c>
      <c r="GT106" s="166">
        <v>33</v>
      </c>
      <c r="GU106" s="137">
        <f t="shared" si="413"/>
        <v>63</v>
      </c>
      <c r="GV106" s="137" t="str">
        <f t="shared" si="414"/>
        <v>39</v>
      </c>
      <c r="GW106" s="137">
        <f t="shared" si="415"/>
        <v>102</v>
      </c>
      <c r="GX106" s="137">
        <f t="shared" si="416"/>
        <v>51</v>
      </c>
      <c r="GY106" s="135" t="str">
        <f t="shared" si="417"/>
        <v>C</v>
      </c>
      <c r="GZ106" s="135" t="str">
        <f>VLOOKUP(RANK(GX106,$GX$10:$GX$109),Sheet1!$A$381:$B$480,2,FALSE)</f>
        <v>46th</v>
      </c>
      <c r="HA106" s="166">
        <v>30</v>
      </c>
      <c r="HB106" s="166">
        <v>11</v>
      </c>
      <c r="HC106" s="137">
        <f t="shared" si="418"/>
        <v>41</v>
      </c>
      <c r="HD106" s="137" t="str">
        <f t="shared" si="419"/>
        <v>40</v>
      </c>
      <c r="HE106" s="137">
        <f t="shared" si="420"/>
        <v>81</v>
      </c>
      <c r="HF106" s="137">
        <f t="shared" si="421"/>
        <v>40.5</v>
      </c>
      <c r="HG106" s="135" t="str">
        <f t="shared" si="422"/>
        <v>D</v>
      </c>
      <c r="HH106" s="135" t="str">
        <f>VLOOKUP(RANK(HF106,$HF$10:$HF$109),Sheet1!$A$381:$B$480,2,FALSE)</f>
        <v>57th</v>
      </c>
      <c r="HI106" s="149">
        <v>26</v>
      </c>
      <c r="HJ106" s="149">
        <v>46</v>
      </c>
      <c r="HK106" s="137">
        <f t="shared" si="423"/>
        <v>72</v>
      </c>
      <c r="HL106" s="137" t="str">
        <f t="shared" si="424"/>
        <v>55</v>
      </c>
      <c r="HM106" s="137">
        <f t="shared" si="425"/>
        <v>127</v>
      </c>
      <c r="HN106" s="137">
        <f t="shared" si="426"/>
        <v>63.5</v>
      </c>
      <c r="HO106" s="135" t="str">
        <f t="shared" si="427"/>
        <v>B</v>
      </c>
      <c r="HP106" s="135" t="str">
        <f>VLOOKUP(RANK(HN106,$HN$10:$HN$109),Sheet1!$A$381:$B$480,2,FALSE)</f>
        <v>53rd</v>
      </c>
      <c r="HQ106" s="137"/>
      <c r="HR106" s="137"/>
      <c r="HS106" s="137">
        <f t="shared" si="428"/>
        <v>0</v>
      </c>
      <c r="HT106" s="137" t="str">
        <f t="shared" si="429"/>
        <v>0</v>
      </c>
      <c r="HU106" s="137">
        <f t="shared" si="430"/>
        <v>0</v>
      </c>
      <c r="HV106" s="137">
        <f t="shared" si="431"/>
        <v>0</v>
      </c>
      <c r="HW106" s="135" t="str">
        <f t="shared" si="432"/>
        <v>F</v>
      </c>
      <c r="HX106" s="135" t="str">
        <f>VLOOKUP(RANK(HV106,$HV$10:$HV$109),Sheet1!$A$381:$B$480,2,FALSE)</f>
        <v>1st</v>
      </c>
      <c r="HY106" s="137"/>
      <c r="HZ106" s="137"/>
      <c r="IA106" s="137">
        <f t="shared" si="433"/>
        <v>0</v>
      </c>
      <c r="IB106" s="137" t="str">
        <f t="shared" si="434"/>
        <v>0</v>
      </c>
      <c r="IC106" s="137">
        <f t="shared" si="435"/>
        <v>0</v>
      </c>
      <c r="ID106" s="137">
        <f t="shared" si="436"/>
        <v>0</v>
      </c>
      <c r="IE106" s="135" t="str">
        <f t="shared" si="437"/>
        <v>F</v>
      </c>
      <c r="IF106" s="135" t="str">
        <f>VLOOKUP(RANK(ID106,$ID$10:$ID$109),Sheet1!$A$381:$B$480,2,FALSE)</f>
        <v>1st</v>
      </c>
      <c r="IG106" s="135"/>
      <c r="IH106" s="135"/>
      <c r="II106" s="135">
        <f t="shared" si="516"/>
        <v>0</v>
      </c>
      <c r="IJ106" s="135" t="str">
        <f t="shared" si="517"/>
        <v>0</v>
      </c>
      <c r="IK106" s="135">
        <f t="shared" si="518"/>
        <v>0</v>
      </c>
      <c r="IL106" s="135">
        <f t="shared" si="519"/>
        <v>0</v>
      </c>
      <c r="IM106" s="135" t="str">
        <f t="shared" si="438"/>
        <v>F</v>
      </c>
      <c r="IN106" s="135" t="str">
        <f>VLOOKUP(RANK(IL106,$IL$10:$IL$109),Sheet1!$A$381:$B$480,2,FALSE)</f>
        <v>1st</v>
      </c>
      <c r="IO106" s="135">
        <f t="shared" si="520"/>
        <v>551</v>
      </c>
      <c r="IP106" s="177">
        <f t="shared" si="521"/>
        <v>32.411764705882398</v>
      </c>
      <c r="IQ106" s="135" t="str">
        <f>VLOOKUP(RANK(IP106,$IP$10:$IP$109),Sheet1!$A$381:$B$480,2,FALSE)</f>
        <v>61st</v>
      </c>
      <c r="IR106" s="178"/>
      <c r="IS106" s="137"/>
      <c r="IT106" s="137"/>
      <c r="IU106" s="137"/>
      <c r="IV106" s="137"/>
      <c r="IW106" s="181"/>
      <c r="IX106" s="184"/>
      <c r="IY106" s="186"/>
      <c r="IZ106" s="186">
        <f t="shared" si="439"/>
        <v>0</v>
      </c>
      <c r="JA106" s="186" t="str">
        <f t="shared" si="440"/>
        <v>65</v>
      </c>
      <c r="JB106" s="186" t="str">
        <f t="shared" si="441"/>
        <v>73</v>
      </c>
      <c r="JC106" s="186">
        <f t="shared" si="522"/>
        <v>138</v>
      </c>
      <c r="JD106" s="186">
        <f t="shared" si="523"/>
        <v>46</v>
      </c>
      <c r="JE106" s="135" t="str">
        <f t="shared" si="442"/>
        <v>D</v>
      </c>
      <c r="JF106" s="151" t="str">
        <f>VLOOKUP(RANK(JD106,$JD$10:$JD$109),Sheet1!$A$381:$B$480,2,FALSE)</f>
        <v>44th</v>
      </c>
      <c r="JG106" s="186"/>
      <c r="JH106" s="186"/>
      <c r="JI106" s="186">
        <f t="shared" si="443"/>
        <v>0</v>
      </c>
      <c r="JJ106" s="186" t="str">
        <f t="shared" si="444"/>
        <v>55</v>
      </c>
      <c r="JK106" s="186" t="str">
        <f t="shared" si="445"/>
        <v>44</v>
      </c>
      <c r="JL106" s="186">
        <f t="shared" si="524"/>
        <v>99</v>
      </c>
      <c r="JM106" s="186">
        <f t="shared" si="525"/>
        <v>33</v>
      </c>
      <c r="JN106" s="135" t="str">
        <f t="shared" si="446"/>
        <v>F</v>
      </c>
      <c r="JO106" s="151" t="str">
        <f>VLOOKUP(RANK(JM106,$JM$10:$JM$109),Sheet1!$A$381:$B$480,2,FALSE)</f>
        <v>45th</v>
      </c>
      <c r="JP106" s="186"/>
      <c r="JQ106" s="186"/>
      <c r="JR106" s="186">
        <f t="shared" si="447"/>
        <v>0</v>
      </c>
      <c r="JS106" s="186" t="str">
        <f t="shared" si="448"/>
        <v>38</v>
      </c>
      <c r="JT106" s="186" t="str">
        <f t="shared" si="449"/>
        <v>34</v>
      </c>
      <c r="JU106" s="186">
        <f t="shared" si="526"/>
        <v>72</v>
      </c>
      <c r="JV106" s="186">
        <f t="shared" si="527"/>
        <v>24</v>
      </c>
      <c r="JW106" s="135" t="str">
        <f t="shared" si="450"/>
        <v>F</v>
      </c>
      <c r="JX106" s="151" t="str">
        <f>VLOOKUP(RANK(JV106,$JV$10:$JV$109),Sheet1!$A$381:$B$480,2,FALSE)</f>
        <v>81st</v>
      </c>
      <c r="JY106" s="186"/>
      <c r="JZ106" s="186"/>
      <c r="KA106" s="186">
        <f t="shared" si="451"/>
        <v>0</v>
      </c>
      <c r="KB106" s="186" t="str">
        <f t="shared" si="452"/>
        <v>51</v>
      </c>
      <c r="KC106" s="186" t="str">
        <f t="shared" si="453"/>
        <v>58</v>
      </c>
      <c r="KD106" s="186">
        <f t="shared" si="528"/>
        <v>109</v>
      </c>
      <c r="KE106" s="186">
        <f t="shared" si="529"/>
        <v>36.3333333333333</v>
      </c>
      <c r="KF106" s="135" t="str">
        <f t="shared" si="454"/>
        <v>E</v>
      </c>
      <c r="KG106" s="151" t="str">
        <f>VLOOKUP(RANK(KE106,$KE$10:$KE$109),Sheet1!$A$381:$B$480,2,FALSE)</f>
        <v>48th</v>
      </c>
      <c r="KH106" s="186"/>
      <c r="KI106" s="186"/>
      <c r="KJ106" s="186">
        <f t="shared" si="455"/>
        <v>0</v>
      </c>
      <c r="KK106" s="186" t="str">
        <f t="shared" si="456"/>
        <v>38</v>
      </c>
      <c r="KL106" s="186" t="str">
        <f t="shared" si="457"/>
        <v>34</v>
      </c>
      <c r="KM106" s="186">
        <f t="shared" si="530"/>
        <v>72</v>
      </c>
      <c r="KN106" s="186">
        <f t="shared" si="531"/>
        <v>24</v>
      </c>
      <c r="KO106" s="135" t="str">
        <f t="shared" si="458"/>
        <v>F</v>
      </c>
      <c r="KP106" s="151" t="str">
        <f>VLOOKUP(RANK(KN106,$KN$10:$KN$109),Sheet1!$A$381:$B$480,2,FALSE)</f>
        <v>82nd</v>
      </c>
      <c r="KQ106" s="186"/>
      <c r="KR106" s="186"/>
      <c r="KS106" s="186">
        <f t="shared" si="459"/>
        <v>0</v>
      </c>
      <c r="KT106" s="186" t="str">
        <f t="shared" si="460"/>
        <v>0</v>
      </c>
      <c r="KU106" s="186" t="str">
        <f t="shared" si="461"/>
        <v>0</v>
      </c>
      <c r="KV106" s="186">
        <f t="shared" si="532"/>
        <v>0</v>
      </c>
      <c r="KW106" s="186">
        <f t="shared" si="533"/>
        <v>0</v>
      </c>
      <c r="KX106" s="135" t="str">
        <f t="shared" si="462"/>
        <v>F</v>
      </c>
      <c r="KY106" s="151" t="str">
        <f>VLOOKUP(RANK(KW106,$KW$10:$KW$109),Sheet1!$A$381:$B$480,2,FALSE)</f>
        <v>1st</v>
      </c>
      <c r="KZ106" s="186"/>
      <c r="LA106" s="186"/>
      <c r="LB106" s="186">
        <f t="shared" si="463"/>
        <v>0</v>
      </c>
      <c r="LC106" s="186" t="str">
        <f t="shared" si="464"/>
        <v>0</v>
      </c>
      <c r="LD106" s="186" t="str">
        <f t="shared" si="465"/>
        <v>0</v>
      </c>
      <c r="LE106" s="186">
        <f t="shared" si="534"/>
        <v>0</v>
      </c>
      <c r="LF106" s="186">
        <f t="shared" si="535"/>
        <v>0</v>
      </c>
      <c r="LG106" s="135" t="str">
        <f t="shared" si="466"/>
        <v>F</v>
      </c>
      <c r="LH106" s="151" t="str">
        <f>VLOOKUP(RANK(LF106,$LF$10:$LF$109),Sheet1!$A$381:$B$480,2,FALSE)</f>
        <v>1st</v>
      </c>
      <c r="LI106" s="186"/>
      <c r="LJ106" s="186"/>
      <c r="LK106" s="186">
        <f t="shared" si="467"/>
        <v>0</v>
      </c>
      <c r="LL106" s="186" t="str">
        <f t="shared" si="468"/>
        <v>51</v>
      </c>
      <c r="LM106" s="186" t="str">
        <f t="shared" si="469"/>
        <v>53</v>
      </c>
      <c r="LN106" s="186">
        <f t="shared" si="536"/>
        <v>104</v>
      </c>
      <c r="LO106" s="186">
        <f t="shared" si="537"/>
        <v>34.6666666666667</v>
      </c>
      <c r="LP106" s="135" t="str">
        <f t="shared" si="470"/>
        <v>F</v>
      </c>
      <c r="LQ106" s="151" t="str">
        <f>VLOOKUP(RANK(LO106,$LO$10:$LO$109),Sheet1!$A$381:$B$480,2,FALSE)</f>
        <v>45th</v>
      </c>
      <c r="LR106" s="186"/>
      <c r="LS106" s="186"/>
      <c r="LT106" s="186">
        <f t="shared" si="471"/>
        <v>0</v>
      </c>
      <c r="LU106" s="186" t="str">
        <f t="shared" si="472"/>
        <v>40</v>
      </c>
      <c r="LV106" s="186" t="str">
        <f t="shared" si="473"/>
        <v>50</v>
      </c>
      <c r="LW106" s="186">
        <f t="shared" si="538"/>
        <v>90</v>
      </c>
      <c r="LX106" s="186">
        <f t="shared" si="539"/>
        <v>30</v>
      </c>
      <c r="LY106" s="135" t="str">
        <f t="shared" si="474"/>
        <v>F</v>
      </c>
      <c r="LZ106" s="151" t="str">
        <f>VLOOKUP(RANK(LX106,$LX$10:$LX$109),Sheet1!$A$381:$B$480,2,FALSE)</f>
        <v>79th</v>
      </c>
      <c r="MA106" s="186"/>
      <c r="MB106" s="186"/>
      <c r="MC106" s="186">
        <f t="shared" si="475"/>
        <v>0</v>
      </c>
      <c r="MD106" s="186" t="str">
        <f t="shared" si="476"/>
        <v>24</v>
      </c>
      <c r="ME106" s="186" t="str">
        <f t="shared" si="477"/>
        <v>32</v>
      </c>
      <c r="MF106" s="183">
        <f t="shared" si="540"/>
        <v>56</v>
      </c>
      <c r="MG106" s="151">
        <f t="shared" si="541"/>
        <v>18.6666666666667</v>
      </c>
      <c r="MH106" s="135" t="str">
        <f t="shared" si="478"/>
        <v>F</v>
      </c>
      <c r="MI106" s="151" t="str">
        <f>VLOOKUP(RANK(MG106,$MG$10:$MG$109),Sheet1!$A$381:$B$480,2,FALSE)</f>
        <v>89th</v>
      </c>
      <c r="MJ106" s="186"/>
      <c r="MK106" s="186"/>
      <c r="ML106" s="186">
        <f t="shared" si="479"/>
        <v>0</v>
      </c>
      <c r="MM106" s="186" t="str">
        <f t="shared" si="480"/>
        <v>54</v>
      </c>
      <c r="MN106" s="186" t="str">
        <f t="shared" si="481"/>
        <v>38</v>
      </c>
      <c r="MO106" s="186">
        <f t="shared" si="542"/>
        <v>92</v>
      </c>
      <c r="MP106" s="186">
        <f t="shared" si="543"/>
        <v>30.6666666666667</v>
      </c>
      <c r="MQ106" s="135" t="str">
        <f t="shared" si="482"/>
        <v>F</v>
      </c>
      <c r="MR106" s="151" t="str">
        <f>VLOOKUP(RANK(MP106,$MP$10:$MP$109),Sheet1!$A$381:$B$480,2,FALSE)</f>
        <v>82nd</v>
      </c>
      <c r="MS106" s="186"/>
      <c r="MT106" s="186"/>
      <c r="MU106" s="186">
        <f t="shared" si="483"/>
        <v>0</v>
      </c>
      <c r="MV106" s="186" t="str">
        <f t="shared" si="484"/>
        <v>39</v>
      </c>
      <c r="MW106" s="186" t="str">
        <f t="shared" si="485"/>
        <v>63</v>
      </c>
      <c r="MX106" s="186">
        <f t="shared" si="544"/>
        <v>102</v>
      </c>
      <c r="MY106" s="186">
        <f t="shared" si="545"/>
        <v>34</v>
      </c>
      <c r="MZ106" s="135" t="str">
        <f t="shared" si="486"/>
        <v>F</v>
      </c>
      <c r="NA106" s="151" t="str">
        <f>VLOOKUP(RANK(MY106,$MY$10:$MY$109),Sheet1!$A$381:$B$480,2,FALSE)</f>
        <v>46th</v>
      </c>
      <c r="NB106" s="186"/>
      <c r="NC106" s="186"/>
      <c r="ND106" s="186">
        <f t="shared" si="487"/>
        <v>0</v>
      </c>
      <c r="NE106" s="186" t="str">
        <f t="shared" si="488"/>
        <v>40</v>
      </c>
      <c r="NF106" s="186" t="str">
        <f t="shared" si="489"/>
        <v>41</v>
      </c>
      <c r="NG106" s="186">
        <f t="shared" si="546"/>
        <v>81</v>
      </c>
      <c r="NH106" s="186">
        <f t="shared" si="547"/>
        <v>27</v>
      </c>
      <c r="NI106" s="135" t="str">
        <f t="shared" si="490"/>
        <v>F</v>
      </c>
      <c r="NJ106" s="151" t="str">
        <f>VLOOKUP(RANK(NH106,$NH$10:$NH$109),Sheet1!$A$381:$B$480,2,FALSE)</f>
        <v>57th</v>
      </c>
      <c r="NK106" s="186"/>
      <c r="NL106" s="186"/>
      <c r="NM106" s="186">
        <f t="shared" si="491"/>
        <v>0</v>
      </c>
      <c r="NN106" s="186" t="str">
        <f t="shared" si="492"/>
        <v>55</v>
      </c>
      <c r="NO106" s="186" t="str">
        <f t="shared" si="493"/>
        <v>72</v>
      </c>
      <c r="NP106" s="186">
        <f t="shared" si="548"/>
        <v>127</v>
      </c>
      <c r="NQ106" s="186">
        <f t="shared" si="494"/>
        <v>42.3333333333333</v>
      </c>
      <c r="NR106" s="135" t="str">
        <f t="shared" si="495"/>
        <v>D</v>
      </c>
      <c r="NS106" s="151" t="str">
        <f>VLOOKUP(RANK(NQ106,$NQ$10:$NQ$109),Sheet1!$A$381:$B$480,2,FALSE)</f>
        <v>53rd</v>
      </c>
      <c r="NT106" s="186"/>
      <c r="NU106" s="186"/>
      <c r="NV106" s="186">
        <f t="shared" si="496"/>
        <v>0</v>
      </c>
      <c r="NW106" s="186" t="str">
        <f t="shared" si="497"/>
        <v>0</v>
      </c>
      <c r="NX106" s="186" t="str">
        <f t="shared" si="498"/>
        <v>0</v>
      </c>
      <c r="NY106" s="186">
        <f t="shared" si="549"/>
        <v>0</v>
      </c>
      <c r="NZ106" s="186">
        <f t="shared" si="499"/>
        <v>0</v>
      </c>
      <c r="OA106" s="135" t="str">
        <f t="shared" si="500"/>
        <v>F</v>
      </c>
      <c r="OB106" s="151" t="str">
        <f>VLOOKUP(RANK(NZ106,$NZ$10:$NZ$109),Sheet1!$A$381:$B$480,2,FALSE)</f>
        <v>1st</v>
      </c>
      <c r="OC106" s="186"/>
      <c r="OD106" s="186"/>
      <c r="OE106" s="186">
        <f t="shared" si="501"/>
        <v>0</v>
      </c>
      <c r="OF106" s="186" t="str">
        <f t="shared" si="502"/>
        <v>0</v>
      </c>
      <c r="OG106" s="186" t="str">
        <f t="shared" si="503"/>
        <v>0</v>
      </c>
      <c r="OH106" s="186">
        <f t="shared" si="550"/>
        <v>0</v>
      </c>
      <c r="OI106" s="186">
        <f t="shared" si="504"/>
        <v>0</v>
      </c>
      <c r="OJ106" s="135" t="str">
        <f t="shared" si="505"/>
        <v>F</v>
      </c>
      <c r="OK106" s="151" t="str">
        <f>VLOOKUP(RANK(OI106,$OI$10:$OI$109),Sheet1!$A$381:$B$480,2,FALSE)</f>
        <v>1st</v>
      </c>
      <c r="OL106" s="151"/>
      <c r="OM106" s="151"/>
      <c r="ON106" s="151">
        <f t="shared" si="551"/>
        <v>0</v>
      </c>
      <c r="OO106" s="151" t="str">
        <f t="shared" si="552"/>
        <v>0</v>
      </c>
      <c r="OP106" s="151" t="str">
        <f t="shared" si="553"/>
        <v>0</v>
      </c>
      <c r="OQ106" s="151">
        <f t="shared" si="554"/>
        <v>0</v>
      </c>
      <c r="OR106" s="151">
        <f t="shared" si="555"/>
        <v>0</v>
      </c>
      <c r="OS106" s="135" t="str">
        <f t="shared" si="506"/>
        <v>F</v>
      </c>
      <c r="OT106" s="151" t="str">
        <f>VLOOKUP(RANK(OR106,$OI$10:$OI$109),Sheet1!$A$381:$B$480,2,FALSE)</f>
        <v>1st</v>
      </c>
      <c r="OU106" s="151">
        <f t="shared" si="556"/>
        <v>380.66666666666703</v>
      </c>
      <c r="OV106" s="151">
        <f t="shared" si="557"/>
        <v>22.3921568627451</v>
      </c>
      <c r="OW106" s="151" t="str">
        <f>VLOOKUP(RANK(OV106,$OV$10:$OV$109),Sheet1!$A$381:$B$480,2,FALSE)</f>
        <v>66th</v>
      </c>
      <c r="OX106" s="151"/>
      <c r="OY106" s="186"/>
      <c r="OZ106" s="186"/>
      <c r="PA106" s="186"/>
      <c r="PB106" s="186"/>
    </row>
    <row r="107" spans="1:418" s="118" customFormat="1" ht="18.75">
      <c r="A107" s="131">
        <v>98</v>
      </c>
      <c r="B107" s="132" t="s">
        <v>197</v>
      </c>
      <c r="C107" s="133" t="s">
        <v>97</v>
      </c>
      <c r="D107" s="134">
        <v>28</v>
      </c>
      <c r="E107" s="134">
        <v>40</v>
      </c>
      <c r="F107" s="137">
        <f t="shared" si="315"/>
        <v>68</v>
      </c>
      <c r="G107" s="137">
        <f t="shared" si="316"/>
        <v>68</v>
      </c>
      <c r="H107" s="135" t="str">
        <f t="shared" si="507"/>
        <v>B</v>
      </c>
      <c r="I107" s="135" t="str">
        <f>VLOOKUP(RANK(G107,$G$10:$G$109),Sheet1!$A$381:$B$480,2,FALSE)</f>
        <v>50th</v>
      </c>
      <c r="J107" s="134">
        <v>36</v>
      </c>
      <c r="K107" s="134">
        <v>15</v>
      </c>
      <c r="L107" s="137">
        <f t="shared" si="317"/>
        <v>51</v>
      </c>
      <c r="M107" s="137">
        <f t="shared" si="318"/>
        <v>51</v>
      </c>
      <c r="N107" s="135" t="str">
        <f t="shared" si="319"/>
        <v>C</v>
      </c>
      <c r="O107" s="141" t="str">
        <f>VLOOKUP(RANK(M107,$M$10:$M$109),Sheet1!$A$381:$B$480,2,FALSE)</f>
        <v>56th</v>
      </c>
      <c r="P107" s="144">
        <v>30</v>
      </c>
      <c r="Q107" s="144">
        <v>20</v>
      </c>
      <c r="R107" s="147">
        <f t="shared" si="320"/>
        <v>50</v>
      </c>
      <c r="S107" s="137">
        <f t="shared" si="321"/>
        <v>50</v>
      </c>
      <c r="T107" s="135" t="str">
        <f t="shared" si="322"/>
        <v>C</v>
      </c>
      <c r="U107" s="135" t="str">
        <f>VLOOKUP(RANK(S107,$S$10:$S$109),Sheet1!$A$381:$B$480,2,FALSE)</f>
        <v>29th</v>
      </c>
      <c r="V107" s="134">
        <v>36</v>
      </c>
      <c r="W107" s="134">
        <v>40</v>
      </c>
      <c r="X107" s="137">
        <f t="shared" si="559"/>
        <v>76</v>
      </c>
      <c r="Y107" s="137">
        <f t="shared" si="558"/>
        <v>76</v>
      </c>
      <c r="Z107" s="135" t="str">
        <f t="shared" si="323"/>
        <v>A</v>
      </c>
      <c r="AA107" s="135" t="str">
        <f>VLOOKUP(RANK(Y107,$Y$10:$Y$109),Sheet1!$A$381:$B$480,2,FALSE)</f>
        <v>13th</v>
      </c>
      <c r="AB107" s="134">
        <v>31</v>
      </c>
      <c r="AC107" s="134">
        <v>48</v>
      </c>
      <c r="AD107" s="137">
        <f t="shared" si="324"/>
        <v>79</v>
      </c>
      <c r="AE107" s="137">
        <f t="shared" si="325"/>
        <v>79</v>
      </c>
      <c r="AF107" s="135" t="str">
        <f t="shared" si="326"/>
        <v>A</v>
      </c>
      <c r="AG107" s="135" t="str">
        <f>VLOOKUP(RANK(AE107,$AE$10:$AE$109),Sheet1!$A$381:$B$480,2,FALSE)</f>
        <v>16th</v>
      </c>
      <c r="AH107" s="137"/>
      <c r="AI107" s="137"/>
      <c r="AJ107" s="137">
        <f t="shared" si="327"/>
        <v>0</v>
      </c>
      <c r="AK107" s="137">
        <f t="shared" si="328"/>
        <v>0</v>
      </c>
      <c r="AL107" s="135" t="str">
        <f t="shared" si="329"/>
        <v>F</v>
      </c>
      <c r="AM107" s="135" t="str">
        <f>VLOOKUP(RANK(AK107,$AK$10:$AK$109),Sheet1!$A$381:$B$480,2,FALSE)</f>
        <v>1st</v>
      </c>
      <c r="AN107" s="134"/>
      <c r="AO107" s="134"/>
      <c r="AP107" s="137">
        <f t="shared" si="330"/>
        <v>0</v>
      </c>
      <c r="AQ107" s="137">
        <f t="shared" si="331"/>
        <v>0</v>
      </c>
      <c r="AR107" s="135" t="str">
        <f t="shared" si="332"/>
        <v>F</v>
      </c>
      <c r="AS107" s="135" t="str">
        <f>VLOOKUP(RANK(AQ107,$AQ$10:$AQ$109),Sheet1!$A$381:$B$480,2,FALSE)</f>
        <v>1st</v>
      </c>
      <c r="AT107" s="144">
        <v>24</v>
      </c>
      <c r="AU107" s="144">
        <v>28</v>
      </c>
      <c r="AV107" s="137">
        <f t="shared" si="333"/>
        <v>52</v>
      </c>
      <c r="AW107" s="137">
        <f t="shared" si="334"/>
        <v>52</v>
      </c>
      <c r="AX107" s="135" t="str">
        <f t="shared" si="335"/>
        <v>C</v>
      </c>
      <c r="AY107" s="141" t="str">
        <f>VLOOKUP(RANK(AW107,$AW$10:$AW$109),Sheet1!$A$381:$B$480,2,FALSE)</f>
        <v>34th</v>
      </c>
      <c r="AZ107" s="144">
        <v>30</v>
      </c>
      <c r="BA107" s="144">
        <v>10</v>
      </c>
      <c r="BB107" s="147">
        <f t="shared" si="336"/>
        <v>40</v>
      </c>
      <c r="BC107" s="137">
        <f t="shared" si="337"/>
        <v>40</v>
      </c>
      <c r="BD107" s="135" t="str">
        <f t="shared" si="338"/>
        <v>D</v>
      </c>
      <c r="BE107" s="135" t="str">
        <f>VLOOKUP(RANK(BC107,$BC$10:$BC$109),Sheet1!$A$381:$B$480,2,FALSE)</f>
        <v>85th</v>
      </c>
      <c r="BF107" s="144">
        <v>22</v>
      </c>
      <c r="BG107" s="144">
        <v>20</v>
      </c>
      <c r="BH107" s="137">
        <f t="shared" si="339"/>
        <v>42</v>
      </c>
      <c r="BI107" s="137">
        <f t="shared" si="340"/>
        <v>42</v>
      </c>
      <c r="BJ107" s="135" t="str">
        <f t="shared" si="341"/>
        <v>D</v>
      </c>
      <c r="BK107" s="141" t="str">
        <f>VLOOKUP(RANK(BI107,$BI$10:$BI$109),Sheet1!$A$381:$B$480,2,FALSE)</f>
        <v>28th</v>
      </c>
      <c r="BL107" s="149">
        <v>26</v>
      </c>
      <c r="BM107" s="149">
        <v>26</v>
      </c>
      <c r="BN107" s="147">
        <f t="shared" si="342"/>
        <v>52</v>
      </c>
      <c r="BO107" s="137">
        <f t="shared" si="343"/>
        <v>52</v>
      </c>
      <c r="BP107" s="135" t="str">
        <f t="shared" si="344"/>
        <v>C</v>
      </c>
      <c r="BQ107" s="141" t="str">
        <f>VLOOKUP(RANK(BO107,$BO$10:$BO$109),Sheet1!$A$381:$B$480,2,FALSE)</f>
        <v>56th</v>
      </c>
      <c r="BR107" s="149">
        <v>27</v>
      </c>
      <c r="BS107" s="149">
        <v>32</v>
      </c>
      <c r="BT107" s="147">
        <f t="shared" si="345"/>
        <v>59</v>
      </c>
      <c r="BU107" s="137">
        <f t="shared" si="346"/>
        <v>59</v>
      </c>
      <c r="BV107" s="135" t="str">
        <f t="shared" si="347"/>
        <v>C</v>
      </c>
      <c r="BW107" s="135" t="str">
        <f>VLOOKUP(RANK(BU107,$BU$10:$BU$109),Sheet1!$A$381:$B$480,2,FALSE)</f>
        <v>25th</v>
      </c>
      <c r="BX107" s="149">
        <v>31</v>
      </c>
      <c r="BY107" s="149">
        <v>10</v>
      </c>
      <c r="BZ107" s="137">
        <f t="shared" si="348"/>
        <v>41</v>
      </c>
      <c r="CA107" s="137">
        <f t="shared" si="349"/>
        <v>41</v>
      </c>
      <c r="CB107" s="135" t="str">
        <f t="shared" si="350"/>
        <v>D</v>
      </c>
      <c r="CC107" s="135" t="str">
        <f>VLOOKUP(RANK(CA107,$CA$10:$CA$109),Sheet1!$A$381:$B$480,2,FALSE)</f>
        <v>41st</v>
      </c>
      <c r="CD107" s="149">
        <v>25</v>
      </c>
      <c r="CE107" s="149">
        <v>30</v>
      </c>
      <c r="CF107" s="137">
        <f t="shared" si="351"/>
        <v>55</v>
      </c>
      <c r="CG107" s="137">
        <f t="shared" si="352"/>
        <v>55</v>
      </c>
      <c r="CH107" s="135" t="str">
        <f t="shared" si="353"/>
        <v>C</v>
      </c>
      <c r="CI107" s="135" t="str">
        <f>VLOOKUP(RANK(CG107,$CG$10:$CG$109),Sheet1!$A$381:$B$480,2,FALSE)</f>
        <v>46th</v>
      </c>
      <c r="CJ107" s="137"/>
      <c r="CK107" s="137"/>
      <c r="CL107" s="137">
        <f t="shared" si="354"/>
        <v>0</v>
      </c>
      <c r="CM107" s="137">
        <f t="shared" si="355"/>
        <v>0</v>
      </c>
      <c r="CN107" s="135" t="str">
        <f t="shared" si="356"/>
        <v>F</v>
      </c>
      <c r="CO107" s="135" t="str">
        <f>VLOOKUP(RANK(CM107,$CM$10:$CM$109),Sheet1!$A$381:$B$480,2,FALSE)</f>
        <v>1st</v>
      </c>
      <c r="CP107" s="137"/>
      <c r="CQ107" s="137"/>
      <c r="CR107" s="137">
        <f t="shared" si="357"/>
        <v>0</v>
      </c>
      <c r="CS107" s="137">
        <f t="shared" si="358"/>
        <v>0</v>
      </c>
      <c r="CT107" s="135" t="str">
        <f t="shared" si="359"/>
        <v>F</v>
      </c>
      <c r="CU107" s="135" t="str">
        <f>VLOOKUP(RANK(CS107,$CS$10:$CS$109),Sheet1!$A$381:$B$480,2,FALSE)</f>
        <v>1st</v>
      </c>
      <c r="CV107" s="151"/>
      <c r="CW107" s="135"/>
      <c r="CX107" s="151">
        <f t="shared" si="508"/>
        <v>0</v>
      </c>
      <c r="CY107" s="151">
        <f t="shared" si="509"/>
        <v>0</v>
      </c>
      <c r="CZ107" s="135" t="str">
        <f t="shared" si="360"/>
        <v>F</v>
      </c>
      <c r="DA107" s="135" t="str">
        <f>VLOOKUP(RANK(CY107,$CY$10:$CY$109),Sheet1!$A$381:$B$480,2,FALSE)</f>
        <v>1st</v>
      </c>
      <c r="DB107" s="135"/>
      <c r="DC107" s="151">
        <f t="shared" si="510"/>
        <v>665</v>
      </c>
      <c r="DD107" s="151">
        <f t="shared" si="511"/>
        <v>39.117647058823501</v>
      </c>
      <c r="DE107" s="135" t="str">
        <f>VLOOKUP(RANK(DD107,$DD$10:$DD$109),Sheet1!$A$381:$B$480,2,FALSE)</f>
        <v>32nd</v>
      </c>
      <c r="DF107" s="137"/>
      <c r="DG107" s="160">
        <f t="shared" si="361"/>
        <v>704.11764705882399</v>
      </c>
      <c r="DH107" s="119"/>
      <c r="DI107" s="162">
        <v>24</v>
      </c>
      <c r="DJ107" s="162">
        <v>56</v>
      </c>
      <c r="DK107" s="137">
        <f t="shared" si="362"/>
        <v>80</v>
      </c>
      <c r="DL107" s="137" t="str">
        <f t="shared" si="363"/>
        <v>68</v>
      </c>
      <c r="DM107" s="137">
        <f t="shared" si="364"/>
        <v>148</v>
      </c>
      <c r="DN107" s="137">
        <f t="shared" si="365"/>
        <v>74</v>
      </c>
      <c r="DO107" s="135" t="str">
        <f t="shared" si="366"/>
        <v>B</v>
      </c>
      <c r="DP107" s="135" t="str">
        <f>VLOOKUP(RANK(DN107,$DN$10:$DN$109),Sheet1!$A$381:$B$480,2,FALSE)</f>
        <v>20th</v>
      </c>
      <c r="DQ107" s="166">
        <v>28</v>
      </c>
      <c r="DR107" s="166">
        <v>24</v>
      </c>
      <c r="DS107" s="137">
        <f t="shared" si="367"/>
        <v>52</v>
      </c>
      <c r="DT107" s="137" t="str">
        <f t="shared" si="368"/>
        <v>51</v>
      </c>
      <c r="DU107" s="137">
        <f t="shared" si="369"/>
        <v>103</v>
      </c>
      <c r="DV107" s="137">
        <f t="shared" si="370"/>
        <v>51.5</v>
      </c>
      <c r="DW107" s="135" t="str">
        <f t="shared" si="371"/>
        <v>C</v>
      </c>
      <c r="DX107" s="135" t="str">
        <f>VLOOKUP(RANK(DV107,$DV$10:$DV$109),Sheet1!$A$381:$B$480,2,FALSE)</f>
        <v>38th</v>
      </c>
      <c r="DY107" s="168">
        <v>29</v>
      </c>
      <c r="DZ107" s="168">
        <v>21</v>
      </c>
      <c r="EA107" s="137">
        <f t="shared" si="372"/>
        <v>50</v>
      </c>
      <c r="EB107" s="137" t="str">
        <f t="shared" si="373"/>
        <v>50</v>
      </c>
      <c r="EC107" s="137">
        <f t="shared" si="374"/>
        <v>100</v>
      </c>
      <c r="ED107" s="137">
        <f t="shared" si="375"/>
        <v>50</v>
      </c>
      <c r="EE107" s="135" t="str">
        <f t="shared" si="376"/>
        <v>C</v>
      </c>
      <c r="EF107" s="135" t="str">
        <f>VLOOKUP(RANK(ED107,$ED$10:$ED$109),Sheet1!$A$381:$B$480,2,FALSE)</f>
        <v>36th</v>
      </c>
      <c r="EG107" s="162">
        <v>27</v>
      </c>
      <c r="EH107" s="162">
        <v>28</v>
      </c>
      <c r="EI107" s="137">
        <f t="shared" si="377"/>
        <v>55</v>
      </c>
      <c r="EJ107" s="137" t="str">
        <f t="shared" si="378"/>
        <v>76</v>
      </c>
      <c r="EK107" s="137">
        <f t="shared" si="379"/>
        <v>131</v>
      </c>
      <c r="EL107" s="137">
        <f t="shared" si="380"/>
        <v>65.5</v>
      </c>
      <c r="EM107" s="135" t="str">
        <f t="shared" si="381"/>
        <v>B</v>
      </c>
      <c r="EN107" s="135" t="str">
        <f>VLOOKUP(RANK(EL107,$EL$10:$EL$109),Sheet1!$A$381:$B$480,2,FALSE)</f>
        <v>25th</v>
      </c>
      <c r="EO107" s="162">
        <v>30</v>
      </c>
      <c r="EP107" s="162">
        <v>27</v>
      </c>
      <c r="EQ107" s="137">
        <f t="shared" si="382"/>
        <v>57</v>
      </c>
      <c r="ER107" s="137" t="str">
        <f t="shared" si="383"/>
        <v>79</v>
      </c>
      <c r="ES107" s="137">
        <f t="shared" si="384"/>
        <v>136</v>
      </c>
      <c r="ET107" s="137">
        <f t="shared" si="385"/>
        <v>68</v>
      </c>
      <c r="EU107" s="135" t="str">
        <f t="shared" si="386"/>
        <v>B</v>
      </c>
      <c r="EV107" s="135" t="str">
        <f>VLOOKUP(RANK(ET107,$ET$10:$ET$109),Sheet1!$A$381:$B$480,2,FALSE)</f>
        <v>22nd</v>
      </c>
      <c r="EW107" s="137"/>
      <c r="EX107" s="137"/>
      <c r="EY107" s="137">
        <f t="shared" si="387"/>
        <v>0</v>
      </c>
      <c r="EZ107" s="137" t="str">
        <f t="shared" si="388"/>
        <v>0</v>
      </c>
      <c r="FA107" s="137">
        <f t="shared" si="389"/>
        <v>0</v>
      </c>
      <c r="FB107" s="137">
        <f t="shared" si="390"/>
        <v>0</v>
      </c>
      <c r="FC107" s="135" t="str">
        <f t="shared" si="391"/>
        <v>F</v>
      </c>
      <c r="FD107" s="135" t="str">
        <f>VLOOKUP(RANK(FB107,$FB$10:$FB$109),Sheet1!$A$381:$B$480,2,FALSE)</f>
        <v>1st</v>
      </c>
      <c r="FE107" s="137"/>
      <c r="FF107" s="137"/>
      <c r="FG107" s="137">
        <f t="shared" si="392"/>
        <v>0</v>
      </c>
      <c r="FH107" s="137" t="str">
        <f t="shared" si="393"/>
        <v>0</v>
      </c>
      <c r="FI107" s="137">
        <f t="shared" si="394"/>
        <v>0</v>
      </c>
      <c r="FJ107" s="137">
        <f t="shared" si="395"/>
        <v>0</v>
      </c>
      <c r="FK107" s="135" t="str">
        <f t="shared" si="396"/>
        <v>F</v>
      </c>
      <c r="FL107" s="135" t="str">
        <f>VLOOKUP(RANK(FJ107,$FJ$10:$FJ$109),Sheet1!$A$381:$B$480,2,FALSE)</f>
        <v>1st</v>
      </c>
      <c r="FM107" s="166">
        <v>24</v>
      </c>
      <c r="FN107" s="166">
        <v>26</v>
      </c>
      <c r="FO107" s="137">
        <f t="shared" si="397"/>
        <v>50</v>
      </c>
      <c r="FP107" s="137" t="str">
        <f t="shared" si="398"/>
        <v>52</v>
      </c>
      <c r="FQ107" s="137">
        <f t="shared" si="399"/>
        <v>102</v>
      </c>
      <c r="FR107" s="137">
        <f t="shared" si="400"/>
        <v>51</v>
      </c>
      <c r="FS107" s="135" t="str">
        <f t="shared" si="401"/>
        <v>C</v>
      </c>
      <c r="FT107" s="135" t="str">
        <f>VLOOKUP(RANK(FR107,$FR$10:$FR$109),Sheet1!$A$381:$B$480,2,FALSE)</f>
        <v>56th</v>
      </c>
      <c r="FU107" s="149">
        <v>35</v>
      </c>
      <c r="FV107" s="149">
        <v>20</v>
      </c>
      <c r="FW107" s="137">
        <f t="shared" si="402"/>
        <v>55</v>
      </c>
      <c r="FX107" s="137" t="str">
        <f t="shared" si="403"/>
        <v>40</v>
      </c>
      <c r="FY107" s="137">
        <f t="shared" si="512"/>
        <v>55</v>
      </c>
      <c r="FZ107" s="137">
        <f t="shared" si="404"/>
        <v>27.5</v>
      </c>
      <c r="GA107" s="135" t="str">
        <f t="shared" si="405"/>
        <v>F</v>
      </c>
      <c r="GB107" s="135" t="str">
        <f>VLOOKUP(RANK(FZ107,$FZ$10:$FZ$109),Sheet1!$A$381:$B$480,2,FALSE)</f>
        <v>39th</v>
      </c>
      <c r="GC107" s="166">
        <v>9</v>
      </c>
      <c r="GD107" s="166">
        <v>22</v>
      </c>
      <c r="GE107" s="137">
        <f t="shared" si="406"/>
        <v>31</v>
      </c>
      <c r="GF107" s="137" t="str">
        <f t="shared" si="407"/>
        <v>42</v>
      </c>
      <c r="GG107" s="135">
        <f t="shared" si="513"/>
        <v>73</v>
      </c>
      <c r="GH107" s="137">
        <f t="shared" si="514"/>
        <v>36.5</v>
      </c>
      <c r="GI107" s="135" t="str">
        <f t="shared" si="408"/>
        <v>E</v>
      </c>
      <c r="GJ107" s="135" t="str">
        <f>VLOOKUP(RANK(GH107,$GH$10:$GH$109),Sheet1!$A$381:$B$480,2,FALSE)</f>
        <v>55th</v>
      </c>
      <c r="GK107" s="166">
        <v>28</v>
      </c>
      <c r="GL107" s="166">
        <v>14</v>
      </c>
      <c r="GM107" s="137">
        <f t="shared" si="409"/>
        <v>42</v>
      </c>
      <c r="GN107" s="137" t="str">
        <f t="shared" si="410"/>
        <v>52</v>
      </c>
      <c r="GO107" s="135">
        <f t="shared" si="515"/>
        <v>94</v>
      </c>
      <c r="GP107" s="137">
        <f t="shared" si="411"/>
        <v>47</v>
      </c>
      <c r="GQ107" s="135" t="str">
        <f t="shared" si="412"/>
        <v>D</v>
      </c>
      <c r="GR107" s="135" t="str">
        <f>VLOOKUP(RANK(GP107,$GP$10:$GP$109),Sheet1!$A$381:$B$480,2,FALSE)</f>
        <v>70th</v>
      </c>
      <c r="GS107" s="166">
        <v>32</v>
      </c>
      <c r="GT107" s="166">
        <v>30</v>
      </c>
      <c r="GU107" s="137">
        <f t="shared" si="413"/>
        <v>62</v>
      </c>
      <c r="GV107" s="137" t="str">
        <f t="shared" si="414"/>
        <v>59</v>
      </c>
      <c r="GW107" s="137">
        <f t="shared" si="415"/>
        <v>121</v>
      </c>
      <c r="GX107" s="137">
        <f t="shared" si="416"/>
        <v>60.5</v>
      </c>
      <c r="GY107" s="135" t="str">
        <f t="shared" si="417"/>
        <v>B</v>
      </c>
      <c r="GZ107" s="135" t="str">
        <f>VLOOKUP(RANK(GX107,$GX$10:$GX$109),Sheet1!$A$381:$B$480,2,FALSE)</f>
        <v>23rd</v>
      </c>
      <c r="HA107" s="166">
        <v>30</v>
      </c>
      <c r="HB107" s="166">
        <v>18</v>
      </c>
      <c r="HC107" s="137">
        <f t="shared" si="418"/>
        <v>48</v>
      </c>
      <c r="HD107" s="137" t="str">
        <f t="shared" si="419"/>
        <v>41</v>
      </c>
      <c r="HE107" s="137">
        <f t="shared" si="420"/>
        <v>89</v>
      </c>
      <c r="HF107" s="137">
        <f t="shared" si="421"/>
        <v>44.5</v>
      </c>
      <c r="HG107" s="135" t="str">
        <f t="shared" si="422"/>
        <v>D</v>
      </c>
      <c r="HH107" s="135" t="str">
        <f>VLOOKUP(RANK(HF107,$HF$10:$HF$109),Sheet1!$A$381:$B$480,2,FALSE)</f>
        <v>26th</v>
      </c>
      <c r="HI107" s="149">
        <v>26</v>
      </c>
      <c r="HJ107" s="149">
        <v>50</v>
      </c>
      <c r="HK107" s="137">
        <f t="shared" si="423"/>
        <v>76</v>
      </c>
      <c r="HL107" s="137" t="str">
        <f t="shared" si="424"/>
        <v>55</v>
      </c>
      <c r="HM107" s="137">
        <f t="shared" si="425"/>
        <v>131</v>
      </c>
      <c r="HN107" s="137">
        <f t="shared" si="426"/>
        <v>65.5</v>
      </c>
      <c r="HO107" s="135" t="str">
        <f t="shared" si="427"/>
        <v>B</v>
      </c>
      <c r="HP107" s="135" t="str">
        <f>VLOOKUP(RANK(HN107,$HN$10:$HN$109),Sheet1!$A$381:$B$480,2,FALSE)</f>
        <v>45th</v>
      </c>
      <c r="HQ107" s="137"/>
      <c r="HR107" s="137"/>
      <c r="HS107" s="137">
        <f t="shared" si="428"/>
        <v>0</v>
      </c>
      <c r="HT107" s="137" t="str">
        <f t="shared" si="429"/>
        <v>0</v>
      </c>
      <c r="HU107" s="137">
        <f t="shared" si="430"/>
        <v>0</v>
      </c>
      <c r="HV107" s="137">
        <f t="shared" si="431"/>
        <v>0</v>
      </c>
      <c r="HW107" s="135" t="str">
        <f t="shared" si="432"/>
        <v>F</v>
      </c>
      <c r="HX107" s="135" t="str">
        <f>VLOOKUP(RANK(HV107,$HV$10:$HV$109),Sheet1!$A$381:$B$480,2,FALSE)</f>
        <v>1st</v>
      </c>
      <c r="HY107" s="137"/>
      <c r="HZ107" s="137"/>
      <c r="IA107" s="137">
        <f t="shared" si="433"/>
        <v>0</v>
      </c>
      <c r="IB107" s="137" t="str">
        <f t="shared" si="434"/>
        <v>0</v>
      </c>
      <c r="IC107" s="137">
        <f t="shared" si="435"/>
        <v>0</v>
      </c>
      <c r="ID107" s="137">
        <f t="shared" si="436"/>
        <v>0</v>
      </c>
      <c r="IE107" s="135" t="str">
        <f t="shared" si="437"/>
        <v>F</v>
      </c>
      <c r="IF107" s="135" t="str">
        <f>VLOOKUP(RANK(ID107,$ID$10:$ID$109),Sheet1!$A$381:$B$480,2,FALSE)</f>
        <v>1st</v>
      </c>
      <c r="IG107" s="135"/>
      <c r="IH107" s="135"/>
      <c r="II107" s="135">
        <f t="shared" si="516"/>
        <v>0</v>
      </c>
      <c r="IJ107" s="135" t="str">
        <f t="shared" si="517"/>
        <v>0</v>
      </c>
      <c r="IK107" s="135">
        <f t="shared" si="518"/>
        <v>0</v>
      </c>
      <c r="IL107" s="135">
        <f t="shared" si="519"/>
        <v>0</v>
      </c>
      <c r="IM107" s="135" t="str">
        <f t="shared" si="438"/>
        <v>F</v>
      </c>
      <c r="IN107" s="135" t="str">
        <f>VLOOKUP(RANK(IL107,$IL$10:$IL$109),Sheet1!$A$381:$B$480,2,FALSE)</f>
        <v>1st</v>
      </c>
      <c r="IO107" s="135">
        <f t="shared" si="520"/>
        <v>641.5</v>
      </c>
      <c r="IP107" s="177">
        <f t="shared" si="521"/>
        <v>37.735294117647101</v>
      </c>
      <c r="IQ107" s="135" t="str">
        <f>VLOOKUP(RANK(IP107,$IP$10:$IP$109),Sheet1!$A$381:$B$480,2,FALSE)</f>
        <v>33rd</v>
      </c>
      <c r="IR107" s="178"/>
      <c r="IS107" s="137"/>
      <c r="IT107" s="137"/>
      <c r="IU107" s="137"/>
      <c r="IV107" s="137"/>
      <c r="IW107" s="181"/>
      <c r="IX107" s="184"/>
      <c r="IY107" s="186"/>
      <c r="IZ107" s="186">
        <f t="shared" si="439"/>
        <v>0</v>
      </c>
      <c r="JA107" s="186" t="str">
        <f t="shared" si="440"/>
        <v>68</v>
      </c>
      <c r="JB107" s="186" t="str">
        <f t="shared" si="441"/>
        <v>80</v>
      </c>
      <c r="JC107" s="186">
        <f t="shared" si="522"/>
        <v>148</v>
      </c>
      <c r="JD107" s="186">
        <f t="shared" si="523"/>
        <v>49.3333333333333</v>
      </c>
      <c r="JE107" s="135" t="str">
        <f t="shared" si="442"/>
        <v>D</v>
      </c>
      <c r="JF107" s="151" t="str">
        <f>VLOOKUP(RANK(JD107,$JD$10:$JD$109),Sheet1!$A$381:$B$480,2,FALSE)</f>
        <v>20th</v>
      </c>
      <c r="JG107" s="186"/>
      <c r="JH107" s="186"/>
      <c r="JI107" s="186">
        <f t="shared" si="443"/>
        <v>0</v>
      </c>
      <c r="JJ107" s="186" t="str">
        <f t="shared" si="444"/>
        <v>51</v>
      </c>
      <c r="JK107" s="186" t="str">
        <f t="shared" si="445"/>
        <v>52</v>
      </c>
      <c r="JL107" s="186">
        <f t="shared" si="524"/>
        <v>103</v>
      </c>
      <c r="JM107" s="186">
        <f t="shared" si="525"/>
        <v>34.3333333333333</v>
      </c>
      <c r="JN107" s="135" t="str">
        <f t="shared" si="446"/>
        <v>F</v>
      </c>
      <c r="JO107" s="151" t="str">
        <f>VLOOKUP(RANK(JM107,$JM$10:$JM$109),Sheet1!$A$381:$B$480,2,FALSE)</f>
        <v>38th</v>
      </c>
      <c r="JP107" s="186"/>
      <c r="JQ107" s="186"/>
      <c r="JR107" s="186">
        <f t="shared" si="447"/>
        <v>0</v>
      </c>
      <c r="JS107" s="186" t="str">
        <f t="shared" si="448"/>
        <v>50</v>
      </c>
      <c r="JT107" s="186" t="str">
        <f t="shared" si="449"/>
        <v>50</v>
      </c>
      <c r="JU107" s="186">
        <f t="shared" si="526"/>
        <v>100</v>
      </c>
      <c r="JV107" s="186">
        <f t="shared" si="527"/>
        <v>33.3333333333333</v>
      </c>
      <c r="JW107" s="135" t="str">
        <f t="shared" si="450"/>
        <v>F</v>
      </c>
      <c r="JX107" s="151" t="str">
        <f>VLOOKUP(RANK(JV107,$JV$10:$JV$109),Sheet1!$A$381:$B$480,2,FALSE)</f>
        <v>36th</v>
      </c>
      <c r="JY107" s="186"/>
      <c r="JZ107" s="186"/>
      <c r="KA107" s="186">
        <f t="shared" si="451"/>
        <v>0</v>
      </c>
      <c r="KB107" s="186" t="str">
        <f t="shared" si="452"/>
        <v>76</v>
      </c>
      <c r="KC107" s="186" t="str">
        <f t="shared" si="453"/>
        <v>55</v>
      </c>
      <c r="KD107" s="186">
        <f t="shared" si="528"/>
        <v>131</v>
      </c>
      <c r="KE107" s="186">
        <f t="shared" si="529"/>
        <v>43.6666666666667</v>
      </c>
      <c r="KF107" s="135" t="str">
        <f t="shared" si="454"/>
        <v>D</v>
      </c>
      <c r="KG107" s="151" t="str">
        <f>VLOOKUP(RANK(KE107,$KE$10:$KE$109),Sheet1!$A$381:$B$480,2,FALSE)</f>
        <v>25th</v>
      </c>
      <c r="KH107" s="186"/>
      <c r="KI107" s="186"/>
      <c r="KJ107" s="186">
        <f t="shared" si="455"/>
        <v>0</v>
      </c>
      <c r="KK107" s="186" t="str">
        <f t="shared" si="456"/>
        <v>79</v>
      </c>
      <c r="KL107" s="186" t="str">
        <f t="shared" si="457"/>
        <v>57</v>
      </c>
      <c r="KM107" s="186">
        <f t="shared" si="530"/>
        <v>136</v>
      </c>
      <c r="KN107" s="186">
        <f t="shared" si="531"/>
        <v>45.3333333333333</v>
      </c>
      <c r="KO107" s="135" t="str">
        <f t="shared" si="458"/>
        <v>D</v>
      </c>
      <c r="KP107" s="151" t="str">
        <f>VLOOKUP(RANK(KN107,$KN$10:$KN$109),Sheet1!$A$381:$B$480,2,FALSE)</f>
        <v>22nd</v>
      </c>
      <c r="KQ107" s="186"/>
      <c r="KR107" s="186"/>
      <c r="KS107" s="186">
        <f t="shared" si="459"/>
        <v>0</v>
      </c>
      <c r="KT107" s="186" t="str">
        <f t="shared" si="460"/>
        <v>0</v>
      </c>
      <c r="KU107" s="186" t="str">
        <f t="shared" si="461"/>
        <v>0</v>
      </c>
      <c r="KV107" s="186">
        <f t="shared" si="532"/>
        <v>0</v>
      </c>
      <c r="KW107" s="186">
        <f t="shared" si="533"/>
        <v>0</v>
      </c>
      <c r="KX107" s="135" t="str">
        <f t="shared" si="462"/>
        <v>F</v>
      </c>
      <c r="KY107" s="151" t="str">
        <f>VLOOKUP(RANK(KW107,$KW$10:$KW$109),Sheet1!$A$381:$B$480,2,FALSE)</f>
        <v>1st</v>
      </c>
      <c r="KZ107" s="186"/>
      <c r="LA107" s="186"/>
      <c r="LB107" s="186">
        <f t="shared" si="463"/>
        <v>0</v>
      </c>
      <c r="LC107" s="186" t="str">
        <f t="shared" si="464"/>
        <v>0</v>
      </c>
      <c r="LD107" s="186" t="str">
        <f t="shared" si="465"/>
        <v>0</v>
      </c>
      <c r="LE107" s="186">
        <f t="shared" si="534"/>
        <v>0</v>
      </c>
      <c r="LF107" s="186">
        <f t="shared" si="535"/>
        <v>0</v>
      </c>
      <c r="LG107" s="135" t="str">
        <f t="shared" si="466"/>
        <v>F</v>
      </c>
      <c r="LH107" s="151" t="str">
        <f>VLOOKUP(RANK(LF107,$LF$10:$LF$109),Sheet1!$A$381:$B$480,2,FALSE)</f>
        <v>1st</v>
      </c>
      <c r="LI107" s="186"/>
      <c r="LJ107" s="186"/>
      <c r="LK107" s="186">
        <f t="shared" si="467"/>
        <v>0</v>
      </c>
      <c r="LL107" s="186" t="str">
        <f t="shared" si="468"/>
        <v>52</v>
      </c>
      <c r="LM107" s="186" t="str">
        <f t="shared" si="469"/>
        <v>50</v>
      </c>
      <c r="LN107" s="186">
        <f t="shared" si="536"/>
        <v>102</v>
      </c>
      <c r="LO107" s="186">
        <f t="shared" si="537"/>
        <v>34</v>
      </c>
      <c r="LP107" s="135" t="str">
        <f t="shared" si="470"/>
        <v>F</v>
      </c>
      <c r="LQ107" s="151" t="str">
        <f>VLOOKUP(RANK(LO107,$LO$10:$LO$109),Sheet1!$A$381:$B$480,2,FALSE)</f>
        <v>56th</v>
      </c>
      <c r="LR107" s="186"/>
      <c r="LS107" s="186"/>
      <c r="LT107" s="186">
        <f t="shared" si="471"/>
        <v>0</v>
      </c>
      <c r="LU107" s="186" t="str">
        <f t="shared" si="472"/>
        <v>40</v>
      </c>
      <c r="LV107" s="186" t="str">
        <f t="shared" si="473"/>
        <v>55</v>
      </c>
      <c r="LW107" s="186">
        <f t="shared" si="538"/>
        <v>95</v>
      </c>
      <c r="LX107" s="186">
        <f t="shared" si="539"/>
        <v>31.6666666666667</v>
      </c>
      <c r="LY107" s="135" t="str">
        <f t="shared" si="474"/>
        <v>F</v>
      </c>
      <c r="LZ107" s="151" t="str">
        <f>VLOOKUP(RANK(LX107,$LX$10:$LX$109),Sheet1!$A$381:$B$480,2,FALSE)</f>
        <v>68th</v>
      </c>
      <c r="MA107" s="186"/>
      <c r="MB107" s="186"/>
      <c r="MC107" s="186">
        <f t="shared" si="475"/>
        <v>0</v>
      </c>
      <c r="MD107" s="186" t="str">
        <f t="shared" si="476"/>
        <v>42</v>
      </c>
      <c r="ME107" s="186" t="str">
        <f t="shared" si="477"/>
        <v>31</v>
      </c>
      <c r="MF107" s="183">
        <f t="shared" si="540"/>
        <v>73</v>
      </c>
      <c r="MG107" s="151">
        <f t="shared" si="541"/>
        <v>24.3333333333333</v>
      </c>
      <c r="MH107" s="135" t="str">
        <f t="shared" si="478"/>
        <v>F</v>
      </c>
      <c r="MI107" s="151" t="str">
        <f>VLOOKUP(RANK(MG107,$MG$10:$MG$109),Sheet1!$A$381:$B$480,2,FALSE)</f>
        <v>55th</v>
      </c>
      <c r="MJ107" s="186"/>
      <c r="MK107" s="186"/>
      <c r="ML107" s="186">
        <f t="shared" si="479"/>
        <v>0</v>
      </c>
      <c r="MM107" s="186" t="str">
        <f t="shared" si="480"/>
        <v>52</v>
      </c>
      <c r="MN107" s="186" t="str">
        <f t="shared" si="481"/>
        <v>42</v>
      </c>
      <c r="MO107" s="186">
        <f t="shared" si="542"/>
        <v>94</v>
      </c>
      <c r="MP107" s="186">
        <f t="shared" si="543"/>
        <v>31.3333333333333</v>
      </c>
      <c r="MQ107" s="135" t="str">
        <f t="shared" si="482"/>
        <v>F</v>
      </c>
      <c r="MR107" s="151" t="str">
        <f>VLOOKUP(RANK(MP107,$MP$10:$MP$109),Sheet1!$A$381:$B$480,2,FALSE)</f>
        <v>70th</v>
      </c>
      <c r="MS107" s="186"/>
      <c r="MT107" s="186"/>
      <c r="MU107" s="186">
        <f t="shared" si="483"/>
        <v>0</v>
      </c>
      <c r="MV107" s="186" t="str">
        <f t="shared" si="484"/>
        <v>59</v>
      </c>
      <c r="MW107" s="186" t="str">
        <f t="shared" si="485"/>
        <v>62</v>
      </c>
      <c r="MX107" s="186">
        <f t="shared" si="544"/>
        <v>121</v>
      </c>
      <c r="MY107" s="186">
        <f t="shared" si="545"/>
        <v>40.3333333333333</v>
      </c>
      <c r="MZ107" s="135" t="str">
        <f t="shared" si="486"/>
        <v>D</v>
      </c>
      <c r="NA107" s="151" t="str">
        <f>VLOOKUP(RANK(MY107,$MY$10:$MY$109),Sheet1!$A$381:$B$480,2,FALSE)</f>
        <v>23rd</v>
      </c>
      <c r="NB107" s="186"/>
      <c r="NC107" s="186"/>
      <c r="ND107" s="186">
        <f t="shared" si="487"/>
        <v>0</v>
      </c>
      <c r="NE107" s="186" t="str">
        <f t="shared" si="488"/>
        <v>41</v>
      </c>
      <c r="NF107" s="186" t="str">
        <f t="shared" si="489"/>
        <v>48</v>
      </c>
      <c r="NG107" s="186">
        <f t="shared" si="546"/>
        <v>89</v>
      </c>
      <c r="NH107" s="186">
        <f t="shared" si="547"/>
        <v>29.6666666666667</v>
      </c>
      <c r="NI107" s="135" t="str">
        <f t="shared" si="490"/>
        <v>F</v>
      </c>
      <c r="NJ107" s="151" t="str">
        <f>VLOOKUP(RANK(NH107,$NH$10:$NH$109),Sheet1!$A$381:$B$480,2,FALSE)</f>
        <v>26th</v>
      </c>
      <c r="NK107" s="186"/>
      <c r="NL107" s="186"/>
      <c r="NM107" s="186">
        <f t="shared" si="491"/>
        <v>0</v>
      </c>
      <c r="NN107" s="186" t="str">
        <f t="shared" si="492"/>
        <v>55</v>
      </c>
      <c r="NO107" s="186" t="str">
        <f t="shared" si="493"/>
        <v>76</v>
      </c>
      <c r="NP107" s="186">
        <f t="shared" si="548"/>
        <v>131</v>
      </c>
      <c r="NQ107" s="186">
        <f t="shared" si="494"/>
        <v>43.6666666666667</v>
      </c>
      <c r="NR107" s="135" t="str">
        <f t="shared" si="495"/>
        <v>D</v>
      </c>
      <c r="NS107" s="151" t="str">
        <f>VLOOKUP(RANK(NQ107,$NQ$10:$NQ$109),Sheet1!$A$381:$B$480,2,FALSE)</f>
        <v>45th</v>
      </c>
      <c r="NT107" s="186"/>
      <c r="NU107" s="186"/>
      <c r="NV107" s="186">
        <f t="shared" si="496"/>
        <v>0</v>
      </c>
      <c r="NW107" s="186" t="str">
        <f t="shared" si="497"/>
        <v>0</v>
      </c>
      <c r="NX107" s="186" t="str">
        <f t="shared" si="498"/>
        <v>0</v>
      </c>
      <c r="NY107" s="186">
        <f t="shared" si="549"/>
        <v>0</v>
      </c>
      <c r="NZ107" s="186">
        <f t="shared" si="499"/>
        <v>0</v>
      </c>
      <c r="OA107" s="135" t="str">
        <f t="shared" si="500"/>
        <v>F</v>
      </c>
      <c r="OB107" s="151" t="str">
        <f>VLOOKUP(RANK(NZ107,$NZ$10:$NZ$109),Sheet1!$A$381:$B$480,2,FALSE)</f>
        <v>1st</v>
      </c>
      <c r="OC107" s="186"/>
      <c r="OD107" s="186"/>
      <c r="OE107" s="186">
        <f t="shared" si="501"/>
        <v>0</v>
      </c>
      <c r="OF107" s="186" t="str">
        <f t="shared" si="502"/>
        <v>0</v>
      </c>
      <c r="OG107" s="186" t="str">
        <f t="shared" si="503"/>
        <v>0</v>
      </c>
      <c r="OH107" s="186">
        <f t="shared" si="550"/>
        <v>0</v>
      </c>
      <c r="OI107" s="186">
        <f t="shared" si="504"/>
        <v>0</v>
      </c>
      <c r="OJ107" s="135" t="str">
        <f t="shared" si="505"/>
        <v>F</v>
      </c>
      <c r="OK107" s="151" t="str">
        <f>VLOOKUP(RANK(OI107,$OI$10:$OI$109),Sheet1!$A$381:$B$480,2,FALSE)</f>
        <v>1st</v>
      </c>
      <c r="OL107" s="151"/>
      <c r="OM107" s="151"/>
      <c r="ON107" s="151">
        <f t="shared" si="551"/>
        <v>0</v>
      </c>
      <c r="OO107" s="151" t="str">
        <f t="shared" si="552"/>
        <v>0</v>
      </c>
      <c r="OP107" s="151" t="str">
        <f t="shared" si="553"/>
        <v>0</v>
      </c>
      <c r="OQ107" s="151">
        <f t="shared" si="554"/>
        <v>0</v>
      </c>
      <c r="OR107" s="151">
        <f t="shared" si="555"/>
        <v>0</v>
      </c>
      <c r="OS107" s="135" t="str">
        <f t="shared" si="506"/>
        <v>F</v>
      </c>
      <c r="OT107" s="151" t="str">
        <f>VLOOKUP(RANK(OR107,$OI$10:$OI$109),Sheet1!$A$381:$B$480,2,FALSE)</f>
        <v>1st</v>
      </c>
      <c r="OU107" s="151">
        <f t="shared" si="556"/>
        <v>441</v>
      </c>
      <c r="OV107" s="151">
        <f t="shared" si="557"/>
        <v>25.9411764705882</v>
      </c>
      <c r="OW107" s="151" t="str">
        <f>VLOOKUP(RANK(OV107,$OV$10:$OV$109),Sheet1!$A$381:$B$480,2,FALSE)</f>
        <v>34th</v>
      </c>
      <c r="OX107" s="151"/>
      <c r="OY107" s="186"/>
      <c r="OZ107" s="186"/>
      <c r="PA107" s="186"/>
      <c r="PB107" s="186"/>
    </row>
    <row r="108" spans="1:418" s="118" customFormat="1" ht="18.75">
      <c r="A108" s="131">
        <v>99</v>
      </c>
      <c r="B108" s="132" t="s">
        <v>198</v>
      </c>
      <c r="C108" s="133" t="s">
        <v>97</v>
      </c>
      <c r="D108" s="134">
        <v>28</v>
      </c>
      <c r="E108" s="134">
        <v>50</v>
      </c>
      <c r="F108" s="201">
        <f t="shared" si="315"/>
        <v>78</v>
      </c>
      <c r="G108" s="201">
        <f t="shared" si="316"/>
        <v>78</v>
      </c>
      <c r="H108" s="202" t="str">
        <f t="shared" si="507"/>
        <v>A</v>
      </c>
      <c r="I108" s="202" t="str">
        <f>VLOOKUP(RANK(G108,$G$10:$G$109),Sheet1!$A$381:$B$480,2,FALSE)</f>
        <v>14th</v>
      </c>
      <c r="J108" s="134">
        <v>20</v>
      </c>
      <c r="K108" s="134">
        <v>21</v>
      </c>
      <c r="L108" s="201">
        <f t="shared" si="317"/>
        <v>41</v>
      </c>
      <c r="M108" s="201">
        <f t="shared" si="318"/>
        <v>41</v>
      </c>
      <c r="N108" s="202" t="str">
        <f t="shared" si="319"/>
        <v>D</v>
      </c>
      <c r="O108" s="206" t="str">
        <f>VLOOKUP(RANK(M108,$M$10:$M$109),Sheet1!$A$381:$B$480,2,FALSE)</f>
        <v>84th</v>
      </c>
      <c r="P108" s="144">
        <v>25</v>
      </c>
      <c r="Q108" s="144">
        <v>5</v>
      </c>
      <c r="R108" s="208">
        <f t="shared" si="320"/>
        <v>30</v>
      </c>
      <c r="S108" s="201">
        <f t="shared" si="321"/>
        <v>30</v>
      </c>
      <c r="T108" s="202" t="str">
        <f t="shared" si="322"/>
        <v>F</v>
      </c>
      <c r="U108" s="202" t="str">
        <f>VLOOKUP(RANK(S108,$S$10:$S$109),Sheet1!$A$381:$B$480,2,FALSE)</f>
        <v>80th</v>
      </c>
      <c r="V108" s="134">
        <v>17</v>
      </c>
      <c r="W108" s="134">
        <v>30</v>
      </c>
      <c r="X108" s="201">
        <f t="shared" si="559"/>
        <v>47</v>
      </c>
      <c r="Y108" s="201">
        <f t="shared" si="558"/>
        <v>47</v>
      </c>
      <c r="Z108" s="202" t="str">
        <f t="shared" si="323"/>
        <v>D</v>
      </c>
      <c r="AA108" s="202" t="str">
        <f>VLOOKUP(RANK(Y108,$Y$10:$Y$109),Sheet1!$A$381:$B$480,2,FALSE)</f>
        <v>77th</v>
      </c>
      <c r="AB108" s="134">
        <v>29</v>
      </c>
      <c r="AC108" s="134">
        <v>1</v>
      </c>
      <c r="AD108" s="201">
        <f t="shared" si="324"/>
        <v>30</v>
      </c>
      <c r="AE108" s="201">
        <f t="shared" si="325"/>
        <v>30</v>
      </c>
      <c r="AF108" s="202" t="str">
        <f t="shared" si="326"/>
        <v>F</v>
      </c>
      <c r="AG108" s="202" t="str">
        <f>VLOOKUP(RANK(AE108,$AE$10:$AE$109),Sheet1!$A$381:$B$480,2,FALSE)</f>
        <v>94th</v>
      </c>
      <c r="AH108" s="201"/>
      <c r="AI108" s="201"/>
      <c r="AJ108" s="201">
        <f t="shared" si="327"/>
        <v>0</v>
      </c>
      <c r="AK108" s="201">
        <f t="shared" si="328"/>
        <v>0</v>
      </c>
      <c r="AL108" s="202" t="str">
        <f t="shared" si="329"/>
        <v>F</v>
      </c>
      <c r="AM108" s="202" t="str">
        <f>VLOOKUP(RANK(AK108,$AK$10:$AK$109),Sheet1!$A$381:$B$480,2,FALSE)</f>
        <v>1st</v>
      </c>
      <c r="AN108" s="134"/>
      <c r="AO108" s="134"/>
      <c r="AP108" s="201">
        <f t="shared" si="330"/>
        <v>0</v>
      </c>
      <c r="AQ108" s="201">
        <f t="shared" si="331"/>
        <v>0</v>
      </c>
      <c r="AR108" s="202" t="str">
        <f t="shared" si="332"/>
        <v>F</v>
      </c>
      <c r="AS108" s="202" t="str">
        <f>VLOOKUP(RANK(AQ108,$AQ$10:$AQ$109),Sheet1!$A$381:$B$480,2,FALSE)</f>
        <v>1st</v>
      </c>
      <c r="AT108" s="144">
        <v>24</v>
      </c>
      <c r="AU108" s="144">
        <v>29</v>
      </c>
      <c r="AV108" s="201">
        <f t="shared" si="333"/>
        <v>53</v>
      </c>
      <c r="AW108" s="201">
        <f t="shared" si="334"/>
        <v>53</v>
      </c>
      <c r="AX108" s="202" t="str">
        <f t="shared" si="335"/>
        <v>C</v>
      </c>
      <c r="AY108" s="206" t="str">
        <f>VLOOKUP(RANK(AW108,$AW$10:$AW$109),Sheet1!$A$381:$B$480,2,FALSE)</f>
        <v>28th</v>
      </c>
      <c r="AZ108" s="144">
        <v>30</v>
      </c>
      <c r="BA108" s="144">
        <v>10</v>
      </c>
      <c r="BB108" s="208">
        <f t="shared" si="336"/>
        <v>40</v>
      </c>
      <c r="BC108" s="201">
        <f t="shared" si="337"/>
        <v>40</v>
      </c>
      <c r="BD108" s="202" t="str">
        <f t="shared" si="338"/>
        <v>D</v>
      </c>
      <c r="BE108" s="202" t="str">
        <f>VLOOKUP(RANK(BC108,$BC$10:$BC$109),Sheet1!$A$381:$B$480,2,FALSE)</f>
        <v>85th</v>
      </c>
      <c r="BF108" s="144">
        <v>10</v>
      </c>
      <c r="BG108" s="144">
        <v>12</v>
      </c>
      <c r="BH108" s="201">
        <f t="shared" si="339"/>
        <v>22</v>
      </c>
      <c r="BI108" s="201">
        <f t="shared" si="340"/>
        <v>22</v>
      </c>
      <c r="BJ108" s="202" t="str">
        <f t="shared" si="341"/>
        <v>F</v>
      </c>
      <c r="BK108" s="206" t="str">
        <f>VLOOKUP(RANK(BI108,$BI$10:$BI$109),Sheet1!$A$381:$B$480,2,FALSE)</f>
        <v>95th</v>
      </c>
      <c r="BL108" s="149">
        <v>24</v>
      </c>
      <c r="BM108" s="149">
        <v>27</v>
      </c>
      <c r="BN108" s="208">
        <f t="shared" si="342"/>
        <v>51</v>
      </c>
      <c r="BO108" s="201">
        <f t="shared" si="343"/>
        <v>51</v>
      </c>
      <c r="BP108" s="202" t="str">
        <f t="shared" si="344"/>
        <v>C</v>
      </c>
      <c r="BQ108" s="206" t="str">
        <f>VLOOKUP(RANK(BO108,$BO$10:$BO$109),Sheet1!$A$381:$B$480,2,FALSE)</f>
        <v>69th</v>
      </c>
      <c r="BR108" s="149">
        <v>29</v>
      </c>
      <c r="BS108" s="149">
        <v>2</v>
      </c>
      <c r="BT108" s="208">
        <f t="shared" si="345"/>
        <v>31</v>
      </c>
      <c r="BU108" s="201">
        <f t="shared" si="346"/>
        <v>31</v>
      </c>
      <c r="BV108" s="202" t="str">
        <f t="shared" si="347"/>
        <v>F</v>
      </c>
      <c r="BW108" s="202" t="str">
        <f>VLOOKUP(RANK(BU108,$BU$10:$BU$109),Sheet1!$A$381:$B$480,2,FALSE)</f>
        <v>92nd</v>
      </c>
      <c r="BX108" s="149">
        <v>27</v>
      </c>
      <c r="BY108" s="149">
        <v>10</v>
      </c>
      <c r="BZ108" s="201">
        <f t="shared" si="348"/>
        <v>37</v>
      </c>
      <c r="CA108" s="201">
        <f t="shared" si="349"/>
        <v>37</v>
      </c>
      <c r="CB108" s="202" t="str">
        <f t="shared" si="350"/>
        <v>E</v>
      </c>
      <c r="CC108" s="202" t="str">
        <f>VLOOKUP(RANK(CA108,$CA$10:$CA$109),Sheet1!$A$381:$B$480,2,FALSE)</f>
        <v>70th</v>
      </c>
      <c r="CD108" s="149">
        <v>25</v>
      </c>
      <c r="CE108" s="149">
        <v>30</v>
      </c>
      <c r="CF108" s="201">
        <f t="shared" si="351"/>
        <v>55</v>
      </c>
      <c r="CG108" s="201">
        <f t="shared" si="352"/>
        <v>55</v>
      </c>
      <c r="CH108" s="202" t="str">
        <f t="shared" si="353"/>
        <v>C</v>
      </c>
      <c r="CI108" s="202" t="str">
        <f>VLOOKUP(RANK(CG108,$CG$10:$CG$109),Sheet1!$A$381:$B$480,2,FALSE)</f>
        <v>46th</v>
      </c>
      <c r="CJ108" s="201"/>
      <c r="CK108" s="201"/>
      <c r="CL108" s="201">
        <f t="shared" si="354"/>
        <v>0</v>
      </c>
      <c r="CM108" s="201">
        <f t="shared" si="355"/>
        <v>0</v>
      </c>
      <c r="CN108" s="202" t="str">
        <f t="shared" si="356"/>
        <v>F</v>
      </c>
      <c r="CO108" s="202" t="str">
        <f>VLOOKUP(RANK(CM108,$CM$10:$CM$109),Sheet1!$A$381:$B$480,2,FALSE)</f>
        <v>1st</v>
      </c>
      <c r="CP108" s="201"/>
      <c r="CQ108" s="201"/>
      <c r="CR108" s="201">
        <f t="shared" si="357"/>
        <v>0</v>
      </c>
      <c r="CS108" s="201">
        <f t="shared" si="358"/>
        <v>0</v>
      </c>
      <c r="CT108" s="202" t="str">
        <f t="shared" si="359"/>
        <v>F</v>
      </c>
      <c r="CU108" s="202" t="str">
        <f>VLOOKUP(RANK(CS108,$CS$10:$CS$109),Sheet1!$A$381:$B$480,2,FALSE)</f>
        <v>1st</v>
      </c>
      <c r="CV108" s="209"/>
      <c r="CW108" s="202"/>
      <c r="CX108" s="209">
        <f t="shared" si="508"/>
        <v>0</v>
      </c>
      <c r="CY108" s="209">
        <f t="shared" si="509"/>
        <v>0</v>
      </c>
      <c r="CZ108" s="202" t="str">
        <f t="shared" si="360"/>
        <v>F</v>
      </c>
      <c r="DA108" s="202" t="str">
        <f>VLOOKUP(RANK(CY108,$CY$10:$CY$109),Sheet1!$A$381:$B$480,2,FALSE)</f>
        <v>1st</v>
      </c>
      <c r="DB108" s="202"/>
      <c r="DC108" s="209">
        <f t="shared" si="510"/>
        <v>515</v>
      </c>
      <c r="DD108" s="209">
        <f t="shared" si="511"/>
        <v>30.294117647058801</v>
      </c>
      <c r="DE108" s="202" t="str">
        <f>VLOOKUP(RANK(DD108,$DD$10:$DD$109),Sheet1!$A$381:$B$480,2,FALSE)</f>
        <v>92nd</v>
      </c>
      <c r="DF108" s="201"/>
      <c r="DG108" s="210">
        <f t="shared" si="361"/>
        <v>545.29411764705901</v>
      </c>
      <c r="DH108" s="119"/>
      <c r="DI108" s="162">
        <v>16</v>
      </c>
      <c r="DJ108" s="162">
        <v>46</v>
      </c>
      <c r="DK108" s="201">
        <f t="shared" si="362"/>
        <v>62</v>
      </c>
      <c r="DL108" s="201" t="str">
        <f t="shared" si="363"/>
        <v>78</v>
      </c>
      <c r="DM108" s="201">
        <f t="shared" si="364"/>
        <v>140</v>
      </c>
      <c r="DN108" s="201">
        <f t="shared" si="365"/>
        <v>70</v>
      </c>
      <c r="DO108" s="202" t="str">
        <f t="shared" si="366"/>
        <v>B</v>
      </c>
      <c r="DP108" s="202" t="str">
        <f>VLOOKUP(RANK(DN108,$DN$10:$DN$109),Sheet1!$A$381:$B$480,2,FALSE)</f>
        <v>40th</v>
      </c>
      <c r="DQ108" s="166">
        <v>23</v>
      </c>
      <c r="DR108" s="166">
        <v>27</v>
      </c>
      <c r="DS108" s="201">
        <f t="shared" si="367"/>
        <v>50</v>
      </c>
      <c r="DT108" s="201" t="str">
        <f t="shared" si="368"/>
        <v>41</v>
      </c>
      <c r="DU108" s="201">
        <f t="shared" si="369"/>
        <v>91</v>
      </c>
      <c r="DV108" s="201">
        <f t="shared" si="370"/>
        <v>45.5</v>
      </c>
      <c r="DW108" s="202" t="str">
        <f t="shared" si="371"/>
        <v>D</v>
      </c>
      <c r="DX108" s="202" t="str">
        <f>VLOOKUP(RANK(DV108,$DV$10:$DV$109),Sheet1!$A$381:$B$480,2,FALSE)</f>
        <v>68th</v>
      </c>
      <c r="DY108" s="168">
        <v>20</v>
      </c>
      <c r="DZ108" s="168">
        <v>12</v>
      </c>
      <c r="EA108" s="201">
        <f t="shared" si="372"/>
        <v>32</v>
      </c>
      <c r="EB108" s="201" t="str">
        <f t="shared" si="373"/>
        <v>30</v>
      </c>
      <c r="EC108" s="201">
        <f t="shared" si="374"/>
        <v>62</v>
      </c>
      <c r="ED108" s="201">
        <f t="shared" si="375"/>
        <v>31</v>
      </c>
      <c r="EE108" s="202" t="str">
        <f t="shared" si="376"/>
        <v>F</v>
      </c>
      <c r="EF108" s="202" t="str">
        <f>VLOOKUP(RANK(ED108,$ED$10:$ED$109),Sheet1!$A$381:$B$480,2,FALSE)</f>
        <v>93rd</v>
      </c>
      <c r="EG108" s="162">
        <v>13</v>
      </c>
      <c r="EH108" s="162">
        <v>18</v>
      </c>
      <c r="EI108" s="201">
        <f t="shared" si="377"/>
        <v>31</v>
      </c>
      <c r="EJ108" s="201" t="str">
        <f t="shared" si="378"/>
        <v>47</v>
      </c>
      <c r="EK108" s="201">
        <f t="shared" si="379"/>
        <v>78</v>
      </c>
      <c r="EL108" s="201">
        <f t="shared" si="380"/>
        <v>39</v>
      </c>
      <c r="EM108" s="202" t="str">
        <f t="shared" si="381"/>
        <v>E</v>
      </c>
      <c r="EN108" s="202" t="str">
        <f>VLOOKUP(RANK(EL108,$EL$10:$EL$109),Sheet1!$A$381:$B$480,2,FALSE)</f>
        <v>86th</v>
      </c>
      <c r="EO108" s="162">
        <v>30</v>
      </c>
      <c r="EP108" s="162">
        <v>8</v>
      </c>
      <c r="EQ108" s="201">
        <f t="shared" si="382"/>
        <v>38</v>
      </c>
      <c r="ER108" s="201" t="str">
        <f t="shared" si="383"/>
        <v>30</v>
      </c>
      <c r="ES108" s="201">
        <f t="shared" si="384"/>
        <v>68</v>
      </c>
      <c r="ET108" s="201">
        <f t="shared" si="385"/>
        <v>34</v>
      </c>
      <c r="EU108" s="202" t="str">
        <f t="shared" si="386"/>
        <v>F</v>
      </c>
      <c r="EV108" s="202" t="str">
        <f>VLOOKUP(RANK(ET108,$ET$10:$ET$109),Sheet1!$A$381:$B$480,2,FALSE)</f>
        <v>90th</v>
      </c>
      <c r="EW108" s="201"/>
      <c r="EX108" s="201"/>
      <c r="EY108" s="201">
        <f t="shared" si="387"/>
        <v>0</v>
      </c>
      <c r="EZ108" s="201" t="str">
        <f t="shared" si="388"/>
        <v>0</v>
      </c>
      <c r="FA108" s="201">
        <f t="shared" si="389"/>
        <v>0</v>
      </c>
      <c r="FB108" s="201">
        <f t="shared" si="390"/>
        <v>0</v>
      </c>
      <c r="FC108" s="202" t="str">
        <f t="shared" si="391"/>
        <v>F</v>
      </c>
      <c r="FD108" s="202" t="str">
        <f>VLOOKUP(RANK(FB108,$FB$10:$FB$109),Sheet1!$A$381:$B$480,2,FALSE)</f>
        <v>1st</v>
      </c>
      <c r="FE108" s="201"/>
      <c r="FF108" s="201"/>
      <c r="FG108" s="201">
        <f t="shared" si="392"/>
        <v>0</v>
      </c>
      <c r="FH108" s="201" t="str">
        <f t="shared" si="393"/>
        <v>0</v>
      </c>
      <c r="FI108" s="201">
        <f t="shared" si="394"/>
        <v>0</v>
      </c>
      <c r="FJ108" s="201">
        <f t="shared" si="395"/>
        <v>0</v>
      </c>
      <c r="FK108" s="202" t="str">
        <f t="shared" si="396"/>
        <v>F</v>
      </c>
      <c r="FL108" s="202" t="str">
        <f>VLOOKUP(RANK(FJ108,$FJ$10:$FJ$109),Sheet1!$A$381:$B$480,2,FALSE)</f>
        <v>1st</v>
      </c>
      <c r="FM108" s="166">
        <v>28</v>
      </c>
      <c r="FN108" s="166">
        <v>22</v>
      </c>
      <c r="FO108" s="201">
        <f t="shared" si="397"/>
        <v>50</v>
      </c>
      <c r="FP108" s="201" t="str">
        <f t="shared" si="398"/>
        <v>53</v>
      </c>
      <c r="FQ108" s="201">
        <f t="shared" si="399"/>
        <v>103</v>
      </c>
      <c r="FR108" s="201">
        <f t="shared" si="400"/>
        <v>51.5</v>
      </c>
      <c r="FS108" s="202" t="str">
        <f t="shared" si="401"/>
        <v>C</v>
      </c>
      <c r="FT108" s="202" t="str">
        <f>VLOOKUP(RANK(FR108,$FR$10:$FR$109),Sheet1!$A$381:$B$480,2,FALSE)</f>
        <v>50th</v>
      </c>
      <c r="FU108" s="149">
        <v>18</v>
      </c>
      <c r="FV108" s="149">
        <v>20</v>
      </c>
      <c r="FW108" s="201">
        <f t="shared" si="402"/>
        <v>38</v>
      </c>
      <c r="FX108" s="201" t="str">
        <f t="shared" si="403"/>
        <v>40</v>
      </c>
      <c r="FY108" s="201">
        <f t="shared" si="512"/>
        <v>38</v>
      </c>
      <c r="FZ108" s="201">
        <f t="shared" si="404"/>
        <v>19</v>
      </c>
      <c r="GA108" s="202" t="str">
        <f t="shared" si="405"/>
        <v>F</v>
      </c>
      <c r="GB108" s="202" t="str">
        <f>VLOOKUP(RANK(FZ108,$FZ$10:$FZ$109),Sheet1!$A$381:$B$480,2,FALSE)</f>
        <v>80th</v>
      </c>
      <c r="GC108" s="166">
        <v>20</v>
      </c>
      <c r="GD108" s="166">
        <v>28</v>
      </c>
      <c r="GE108" s="201">
        <f t="shared" si="406"/>
        <v>48</v>
      </c>
      <c r="GF108" s="201" t="str">
        <f t="shared" si="407"/>
        <v>22</v>
      </c>
      <c r="GG108" s="202">
        <f t="shared" si="513"/>
        <v>70</v>
      </c>
      <c r="GH108" s="201">
        <f t="shared" si="514"/>
        <v>35</v>
      </c>
      <c r="GI108" s="202" t="str">
        <f t="shared" si="408"/>
        <v>E</v>
      </c>
      <c r="GJ108" s="202" t="str">
        <f>VLOOKUP(RANK(GH108,$GH$10:$GH$109),Sheet1!$A$381:$B$480,2,FALSE)</f>
        <v>59th</v>
      </c>
      <c r="GK108" s="166">
        <v>27</v>
      </c>
      <c r="GL108" s="166">
        <v>15</v>
      </c>
      <c r="GM108" s="201">
        <f t="shared" si="409"/>
        <v>42</v>
      </c>
      <c r="GN108" s="201" t="str">
        <f t="shared" si="410"/>
        <v>51</v>
      </c>
      <c r="GO108" s="202">
        <f t="shared" si="515"/>
        <v>93</v>
      </c>
      <c r="GP108" s="201">
        <f t="shared" si="411"/>
        <v>46.5</v>
      </c>
      <c r="GQ108" s="202" t="str">
        <f t="shared" si="412"/>
        <v>D</v>
      </c>
      <c r="GR108" s="202" t="str">
        <f>VLOOKUP(RANK(GP108,$GP$10:$GP$109),Sheet1!$A$381:$B$480,2,FALSE)</f>
        <v>74th</v>
      </c>
      <c r="GS108" s="166">
        <v>28</v>
      </c>
      <c r="GT108" s="166">
        <v>15</v>
      </c>
      <c r="GU108" s="201">
        <f t="shared" si="413"/>
        <v>43</v>
      </c>
      <c r="GV108" s="201" t="str">
        <f t="shared" si="414"/>
        <v>31</v>
      </c>
      <c r="GW108" s="201">
        <f t="shared" si="415"/>
        <v>74</v>
      </c>
      <c r="GX108" s="201">
        <f t="shared" si="416"/>
        <v>37</v>
      </c>
      <c r="GY108" s="202" t="str">
        <f t="shared" si="417"/>
        <v>E</v>
      </c>
      <c r="GZ108" s="202" t="str">
        <f>VLOOKUP(RANK(GX108,$GX$10:$GX$109),Sheet1!$A$381:$B$480,2,FALSE)</f>
        <v>80th</v>
      </c>
      <c r="HA108" s="166">
        <v>32</v>
      </c>
      <c r="HB108" s="166">
        <v>10</v>
      </c>
      <c r="HC108" s="201">
        <f t="shared" si="418"/>
        <v>42</v>
      </c>
      <c r="HD108" s="201" t="str">
        <f t="shared" si="419"/>
        <v>37</v>
      </c>
      <c r="HE108" s="201">
        <f t="shared" si="420"/>
        <v>79</v>
      </c>
      <c r="HF108" s="201">
        <f t="shared" si="421"/>
        <v>39.5</v>
      </c>
      <c r="HG108" s="202" t="str">
        <f t="shared" si="422"/>
        <v>E</v>
      </c>
      <c r="HH108" s="202" t="str">
        <f>VLOOKUP(RANK(HF108,$HF$10:$HF$109),Sheet1!$A$381:$B$480,2,FALSE)</f>
        <v>67th</v>
      </c>
      <c r="HI108" s="149">
        <v>27</v>
      </c>
      <c r="HJ108" s="149">
        <v>49</v>
      </c>
      <c r="HK108" s="201">
        <f t="shared" si="423"/>
        <v>76</v>
      </c>
      <c r="HL108" s="201" t="str">
        <f t="shared" si="424"/>
        <v>55</v>
      </c>
      <c r="HM108" s="201">
        <f t="shared" si="425"/>
        <v>131</v>
      </c>
      <c r="HN108" s="201">
        <f t="shared" si="426"/>
        <v>65.5</v>
      </c>
      <c r="HO108" s="202" t="str">
        <f t="shared" si="427"/>
        <v>B</v>
      </c>
      <c r="HP108" s="202" t="str">
        <f>VLOOKUP(RANK(HN108,$HN$10:$HN$109),Sheet1!$A$381:$B$480,2,FALSE)</f>
        <v>45th</v>
      </c>
      <c r="HQ108" s="201"/>
      <c r="HR108" s="201"/>
      <c r="HS108" s="201">
        <f t="shared" si="428"/>
        <v>0</v>
      </c>
      <c r="HT108" s="201" t="str">
        <f t="shared" si="429"/>
        <v>0</v>
      </c>
      <c r="HU108" s="201">
        <f t="shared" si="430"/>
        <v>0</v>
      </c>
      <c r="HV108" s="201">
        <f t="shared" si="431"/>
        <v>0</v>
      </c>
      <c r="HW108" s="202" t="str">
        <f t="shared" si="432"/>
        <v>F</v>
      </c>
      <c r="HX108" s="202" t="str">
        <f>VLOOKUP(RANK(HV108,$HV$10:$HV$109),Sheet1!$A$381:$B$480,2,FALSE)</f>
        <v>1st</v>
      </c>
      <c r="HY108" s="201"/>
      <c r="HZ108" s="201"/>
      <c r="IA108" s="201">
        <f t="shared" si="433"/>
        <v>0</v>
      </c>
      <c r="IB108" s="201" t="str">
        <f t="shared" si="434"/>
        <v>0</v>
      </c>
      <c r="IC108" s="201">
        <f t="shared" si="435"/>
        <v>0</v>
      </c>
      <c r="ID108" s="201">
        <f t="shared" si="436"/>
        <v>0</v>
      </c>
      <c r="IE108" s="202" t="str">
        <f t="shared" si="437"/>
        <v>F</v>
      </c>
      <c r="IF108" s="202" t="str">
        <f>VLOOKUP(RANK(ID108,$ID$10:$ID$109),Sheet1!$A$381:$B$480,2,FALSE)</f>
        <v>1st</v>
      </c>
      <c r="IG108" s="202"/>
      <c r="IH108" s="202"/>
      <c r="II108" s="202">
        <f t="shared" si="516"/>
        <v>0</v>
      </c>
      <c r="IJ108" s="202" t="str">
        <f t="shared" si="517"/>
        <v>0</v>
      </c>
      <c r="IK108" s="202">
        <f t="shared" si="518"/>
        <v>0</v>
      </c>
      <c r="IL108" s="202">
        <f t="shared" si="519"/>
        <v>0</v>
      </c>
      <c r="IM108" s="202" t="str">
        <f t="shared" si="438"/>
        <v>F</v>
      </c>
      <c r="IN108" s="202" t="str">
        <f>VLOOKUP(RANK(IL108,$IL$10:$IL$109),Sheet1!$A$381:$B$480,2,FALSE)</f>
        <v>1st</v>
      </c>
      <c r="IO108" s="202">
        <f t="shared" si="520"/>
        <v>513.5</v>
      </c>
      <c r="IP108" s="213">
        <f t="shared" si="521"/>
        <v>30.205882352941199</v>
      </c>
      <c r="IQ108" s="202" t="str">
        <f>VLOOKUP(RANK(IP108,$IP$10:$IP$109),Sheet1!$A$381:$B$480,2,FALSE)</f>
        <v>85th</v>
      </c>
      <c r="IR108" s="214"/>
      <c r="IS108" s="201"/>
      <c r="IT108" s="201"/>
      <c r="IU108" s="201"/>
      <c r="IV108" s="201"/>
      <c r="IW108" s="181"/>
      <c r="IX108" s="216"/>
      <c r="IY108" s="217"/>
      <c r="IZ108" s="217">
        <f t="shared" si="439"/>
        <v>0</v>
      </c>
      <c r="JA108" s="217" t="str">
        <f t="shared" si="440"/>
        <v>78</v>
      </c>
      <c r="JB108" s="217" t="str">
        <f t="shared" si="441"/>
        <v>62</v>
      </c>
      <c r="JC108" s="217">
        <f t="shared" si="522"/>
        <v>140</v>
      </c>
      <c r="JD108" s="217">
        <f t="shared" si="523"/>
        <v>46.6666666666667</v>
      </c>
      <c r="JE108" s="202" t="str">
        <f t="shared" si="442"/>
        <v>D</v>
      </c>
      <c r="JF108" s="209" t="str">
        <f>VLOOKUP(RANK(JD108,$JD$10:$JD$109),Sheet1!$A$381:$B$480,2,FALSE)</f>
        <v>40th</v>
      </c>
      <c r="JG108" s="217"/>
      <c r="JH108" s="217"/>
      <c r="JI108" s="217">
        <f t="shared" si="443"/>
        <v>0</v>
      </c>
      <c r="JJ108" s="217" t="str">
        <f t="shared" si="444"/>
        <v>41</v>
      </c>
      <c r="JK108" s="217" t="str">
        <f t="shared" si="445"/>
        <v>50</v>
      </c>
      <c r="JL108" s="217">
        <f t="shared" si="524"/>
        <v>91</v>
      </c>
      <c r="JM108" s="217">
        <f t="shared" si="525"/>
        <v>30.3333333333333</v>
      </c>
      <c r="JN108" s="202" t="str">
        <f t="shared" si="446"/>
        <v>F</v>
      </c>
      <c r="JO108" s="209" t="str">
        <f>VLOOKUP(RANK(JM108,$JM$10:$JM$109),Sheet1!$A$381:$B$480,2,FALSE)</f>
        <v>68th</v>
      </c>
      <c r="JP108" s="217"/>
      <c r="JQ108" s="217"/>
      <c r="JR108" s="217">
        <f t="shared" si="447"/>
        <v>0</v>
      </c>
      <c r="JS108" s="217" t="str">
        <f t="shared" si="448"/>
        <v>30</v>
      </c>
      <c r="JT108" s="217" t="str">
        <f t="shared" si="449"/>
        <v>32</v>
      </c>
      <c r="JU108" s="217">
        <f t="shared" si="526"/>
        <v>62</v>
      </c>
      <c r="JV108" s="217">
        <f t="shared" si="527"/>
        <v>20.6666666666667</v>
      </c>
      <c r="JW108" s="202" t="str">
        <f t="shared" si="450"/>
        <v>F</v>
      </c>
      <c r="JX108" s="209" t="str">
        <f>VLOOKUP(RANK(JV108,$JV$10:$JV$109),Sheet1!$A$381:$B$480,2,FALSE)</f>
        <v>93rd</v>
      </c>
      <c r="JY108" s="217"/>
      <c r="JZ108" s="217"/>
      <c r="KA108" s="217">
        <f t="shared" si="451"/>
        <v>0</v>
      </c>
      <c r="KB108" s="217" t="str">
        <f t="shared" si="452"/>
        <v>47</v>
      </c>
      <c r="KC108" s="217" t="str">
        <f t="shared" si="453"/>
        <v>31</v>
      </c>
      <c r="KD108" s="217">
        <f t="shared" si="528"/>
        <v>78</v>
      </c>
      <c r="KE108" s="217">
        <f t="shared" si="529"/>
        <v>26</v>
      </c>
      <c r="KF108" s="202" t="str">
        <f t="shared" si="454"/>
        <v>F</v>
      </c>
      <c r="KG108" s="209" t="str">
        <f>VLOOKUP(RANK(KE108,$KE$10:$KE$109),Sheet1!$A$381:$B$480,2,FALSE)</f>
        <v>86th</v>
      </c>
      <c r="KH108" s="217"/>
      <c r="KI108" s="217"/>
      <c r="KJ108" s="217">
        <f t="shared" si="455"/>
        <v>0</v>
      </c>
      <c r="KK108" s="217" t="str">
        <f t="shared" si="456"/>
        <v>30</v>
      </c>
      <c r="KL108" s="217" t="str">
        <f t="shared" si="457"/>
        <v>38</v>
      </c>
      <c r="KM108" s="217">
        <f t="shared" si="530"/>
        <v>68</v>
      </c>
      <c r="KN108" s="217">
        <f t="shared" si="531"/>
        <v>22.6666666666667</v>
      </c>
      <c r="KO108" s="202" t="str">
        <f t="shared" si="458"/>
        <v>F</v>
      </c>
      <c r="KP108" s="209" t="str">
        <f>VLOOKUP(RANK(KN108,$KN$10:$KN$109),Sheet1!$A$381:$B$480,2,FALSE)</f>
        <v>90th</v>
      </c>
      <c r="KQ108" s="217"/>
      <c r="KR108" s="217"/>
      <c r="KS108" s="217">
        <f t="shared" si="459"/>
        <v>0</v>
      </c>
      <c r="KT108" s="217" t="str">
        <f t="shared" si="460"/>
        <v>0</v>
      </c>
      <c r="KU108" s="217" t="str">
        <f t="shared" si="461"/>
        <v>0</v>
      </c>
      <c r="KV108" s="217">
        <f t="shared" si="532"/>
        <v>0</v>
      </c>
      <c r="KW108" s="217">
        <f t="shared" si="533"/>
        <v>0</v>
      </c>
      <c r="KX108" s="202" t="str">
        <f t="shared" si="462"/>
        <v>F</v>
      </c>
      <c r="KY108" s="209" t="str">
        <f>VLOOKUP(RANK(KW108,$KW$10:$KW$109),Sheet1!$A$381:$B$480,2,FALSE)</f>
        <v>1st</v>
      </c>
      <c r="KZ108" s="217"/>
      <c r="LA108" s="217"/>
      <c r="LB108" s="217">
        <f t="shared" si="463"/>
        <v>0</v>
      </c>
      <c r="LC108" s="217" t="str">
        <f t="shared" si="464"/>
        <v>0</v>
      </c>
      <c r="LD108" s="217" t="str">
        <f t="shared" si="465"/>
        <v>0</v>
      </c>
      <c r="LE108" s="217">
        <f t="shared" si="534"/>
        <v>0</v>
      </c>
      <c r="LF108" s="217">
        <f t="shared" si="535"/>
        <v>0</v>
      </c>
      <c r="LG108" s="202" t="str">
        <f t="shared" si="466"/>
        <v>F</v>
      </c>
      <c r="LH108" s="209" t="str">
        <f>VLOOKUP(RANK(LF108,$LF$10:$LF$109),Sheet1!$A$381:$B$480,2,FALSE)</f>
        <v>1st</v>
      </c>
      <c r="LI108" s="217"/>
      <c r="LJ108" s="217"/>
      <c r="LK108" s="217">
        <f t="shared" si="467"/>
        <v>0</v>
      </c>
      <c r="LL108" s="217" t="str">
        <f t="shared" si="468"/>
        <v>53</v>
      </c>
      <c r="LM108" s="217" t="str">
        <f t="shared" si="469"/>
        <v>50</v>
      </c>
      <c r="LN108" s="217">
        <f t="shared" si="536"/>
        <v>103</v>
      </c>
      <c r="LO108" s="217">
        <f t="shared" si="537"/>
        <v>34.3333333333333</v>
      </c>
      <c r="LP108" s="202" t="str">
        <f t="shared" si="470"/>
        <v>F</v>
      </c>
      <c r="LQ108" s="209" t="str">
        <f>VLOOKUP(RANK(LO108,$LO$10:$LO$109),Sheet1!$A$381:$B$480,2,FALSE)</f>
        <v>50th</v>
      </c>
      <c r="LR108" s="217"/>
      <c r="LS108" s="217"/>
      <c r="LT108" s="217">
        <f t="shared" si="471"/>
        <v>0</v>
      </c>
      <c r="LU108" s="217" t="str">
        <f t="shared" si="472"/>
        <v>40</v>
      </c>
      <c r="LV108" s="217" t="str">
        <f t="shared" si="473"/>
        <v>38</v>
      </c>
      <c r="LW108" s="217">
        <f t="shared" si="538"/>
        <v>78</v>
      </c>
      <c r="LX108" s="217">
        <f t="shared" si="539"/>
        <v>26</v>
      </c>
      <c r="LY108" s="202" t="str">
        <f t="shared" si="474"/>
        <v>F</v>
      </c>
      <c r="LZ108" s="209" t="str">
        <f>VLOOKUP(RANK(LX108,$LX$10:$LX$109),Sheet1!$A$381:$B$480,2,FALSE)</f>
        <v>85th</v>
      </c>
      <c r="MA108" s="217"/>
      <c r="MB108" s="217"/>
      <c r="MC108" s="217">
        <f t="shared" si="475"/>
        <v>0</v>
      </c>
      <c r="MD108" s="217" t="str">
        <f t="shared" si="476"/>
        <v>22</v>
      </c>
      <c r="ME108" s="217" t="str">
        <f t="shared" si="477"/>
        <v>48</v>
      </c>
      <c r="MF108" s="218">
        <f t="shared" si="540"/>
        <v>70</v>
      </c>
      <c r="MG108" s="209">
        <f t="shared" si="541"/>
        <v>23.3333333333333</v>
      </c>
      <c r="MH108" s="202" t="str">
        <f t="shared" si="478"/>
        <v>F</v>
      </c>
      <c r="MI108" s="209" t="str">
        <f>VLOOKUP(RANK(MG108,$MG$10:$MG$109),Sheet1!$A$381:$B$480,2,FALSE)</f>
        <v>59th</v>
      </c>
      <c r="MJ108" s="217"/>
      <c r="MK108" s="217"/>
      <c r="ML108" s="217">
        <f t="shared" si="479"/>
        <v>0</v>
      </c>
      <c r="MM108" s="217" t="str">
        <f t="shared" si="480"/>
        <v>51</v>
      </c>
      <c r="MN108" s="217" t="str">
        <f t="shared" si="481"/>
        <v>42</v>
      </c>
      <c r="MO108" s="217">
        <f t="shared" si="542"/>
        <v>93</v>
      </c>
      <c r="MP108" s="217">
        <f t="shared" si="543"/>
        <v>31</v>
      </c>
      <c r="MQ108" s="202" t="str">
        <f t="shared" si="482"/>
        <v>F</v>
      </c>
      <c r="MR108" s="209" t="str">
        <f>VLOOKUP(RANK(MP108,$MP$10:$MP$109),Sheet1!$A$381:$B$480,2,FALSE)</f>
        <v>74th</v>
      </c>
      <c r="MS108" s="217"/>
      <c r="MT108" s="217"/>
      <c r="MU108" s="217">
        <f t="shared" si="483"/>
        <v>0</v>
      </c>
      <c r="MV108" s="217" t="str">
        <f t="shared" si="484"/>
        <v>31</v>
      </c>
      <c r="MW108" s="217" t="str">
        <f t="shared" si="485"/>
        <v>43</v>
      </c>
      <c r="MX108" s="217">
        <f t="shared" si="544"/>
        <v>74</v>
      </c>
      <c r="MY108" s="217">
        <f t="shared" si="545"/>
        <v>24.6666666666667</v>
      </c>
      <c r="MZ108" s="202" t="str">
        <f t="shared" si="486"/>
        <v>F</v>
      </c>
      <c r="NA108" s="209" t="str">
        <f>VLOOKUP(RANK(MY108,$MY$10:$MY$109),Sheet1!$A$381:$B$480,2,FALSE)</f>
        <v>80th</v>
      </c>
      <c r="NB108" s="217"/>
      <c r="NC108" s="217"/>
      <c r="ND108" s="217">
        <f t="shared" si="487"/>
        <v>0</v>
      </c>
      <c r="NE108" s="217" t="str">
        <f t="shared" si="488"/>
        <v>37</v>
      </c>
      <c r="NF108" s="217" t="str">
        <f t="shared" si="489"/>
        <v>42</v>
      </c>
      <c r="NG108" s="217">
        <f t="shared" si="546"/>
        <v>79</v>
      </c>
      <c r="NH108" s="217">
        <f t="shared" si="547"/>
        <v>26.3333333333333</v>
      </c>
      <c r="NI108" s="202" t="str">
        <f t="shared" si="490"/>
        <v>F</v>
      </c>
      <c r="NJ108" s="209" t="str">
        <f>VLOOKUP(RANK(NH108,$NH$10:$NH$109),Sheet1!$A$381:$B$480,2,FALSE)</f>
        <v>67th</v>
      </c>
      <c r="NK108" s="217"/>
      <c r="NL108" s="217"/>
      <c r="NM108" s="217">
        <f t="shared" si="491"/>
        <v>0</v>
      </c>
      <c r="NN108" s="217" t="str">
        <f t="shared" si="492"/>
        <v>55</v>
      </c>
      <c r="NO108" s="217" t="str">
        <f t="shared" si="493"/>
        <v>76</v>
      </c>
      <c r="NP108" s="217">
        <f t="shared" si="548"/>
        <v>131</v>
      </c>
      <c r="NQ108" s="217">
        <f t="shared" si="494"/>
        <v>43.6666666666667</v>
      </c>
      <c r="NR108" s="202" t="str">
        <f t="shared" si="495"/>
        <v>D</v>
      </c>
      <c r="NS108" s="209" t="str">
        <f>VLOOKUP(RANK(NQ108,$NQ$10:$NQ$109),Sheet1!$A$381:$B$480,2,FALSE)</f>
        <v>45th</v>
      </c>
      <c r="NT108" s="217"/>
      <c r="NU108" s="217"/>
      <c r="NV108" s="217">
        <f t="shared" si="496"/>
        <v>0</v>
      </c>
      <c r="NW108" s="217" t="str">
        <f t="shared" si="497"/>
        <v>0</v>
      </c>
      <c r="NX108" s="217" t="str">
        <f t="shared" si="498"/>
        <v>0</v>
      </c>
      <c r="NY108" s="217">
        <f t="shared" si="549"/>
        <v>0</v>
      </c>
      <c r="NZ108" s="217">
        <f t="shared" si="499"/>
        <v>0</v>
      </c>
      <c r="OA108" s="202" t="str">
        <f t="shared" si="500"/>
        <v>F</v>
      </c>
      <c r="OB108" s="209" t="str">
        <f>VLOOKUP(RANK(NZ108,$NZ$10:$NZ$109),Sheet1!$A$381:$B$480,2,FALSE)</f>
        <v>1st</v>
      </c>
      <c r="OC108" s="217"/>
      <c r="OD108" s="217"/>
      <c r="OE108" s="217">
        <f t="shared" si="501"/>
        <v>0</v>
      </c>
      <c r="OF108" s="217" t="str">
        <f t="shared" si="502"/>
        <v>0</v>
      </c>
      <c r="OG108" s="217" t="str">
        <f t="shared" si="503"/>
        <v>0</v>
      </c>
      <c r="OH108" s="217">
        <f t="shared" si="550"/>
        <v>0</v>
      </c>
      <c r="OI108" s="217">
        <f t="shared" si="504"/>
        <v>0</v>
      </c>
      <c r="OJ108" s="202" t="str">
        <f t="shared" si="505"/>
        <v>F</v>
      </c>
      <c r="OK108" s="209" t="str">
        <f>VLOOKUP(RANK(OI108,$OI$10:$OI$109),Sheet1!$A$381:$B$480,2,FALSE)</f>
        <v>1st</v>
      </c>
      <c r="OL108" s="209"/>
      <c r="OM108" s="209"/>
      <c r="ON108" s="209">
        <f t="shared" si="551"/>
        <v>0</v>
      </c>
      <c r="OO108" s="209" t="str">
        <f t="shared" si="552"/>
        <v>0</v>
      </c>
      <c r="OP108" s="209" t="str">
        <f t="shared" si="553"/>
        <v>0</v>
      </c>
      <c r="OQ108" s="209">
        <f t="shared" si="554"/>
        <v>0</v>
      </c>
      <c r="OR108" s="209">
        <f t="shared" si="555"/>
        <v>0</v>
      </c>
      <c r="OS108" s="202" t="str">
        <f t="shared" si="506"/>
        <v>F</v>
      </c>
      <c r="OT108" s="209" t="str">
        <f>VLOOKUP(RANK(OR108,$OI$10:$OI$109),Sheet1!$A$381:$B$480,2,FALSE)</f>
        <v>1st</v>
      </c>
      <c r="OU108" s="209">
        <f t="shared" si="556"/>
        <v>355.66666666666703</v>
      </c>
      <c r="OV108" s="209">
        <f t="shared" si="557"/>
        <v>20.921568627450998</v>
      </c>
      <c r="OW108" s="209" t="str">
        <f>VLOOKUP(RANK(OV108,$OV$10:$OV$109),Sheet1!$A$381:$B$480,2,FALSE)</f>
        <v>85th</v>
      </c>
      <c r="OX108" s="209"/>
      <c r="OY108" s="217"/>
      <c r="OZ108" s="217"/>
      <c r="PA108" s="217"/>
      <c r="PB108" s="217"/>
    </row>
    <row r="109" spans="1:418" s="118" customFormat="1" ht="18.75">
      <c r="A109" s="203">
        <v>100</v>
      </c>
      <c r="B109" s="132" t="s">
        <v>199</v>
      </c>
      <c r="C109" s="133" t="s">
        <v>97</v>
      </c>
      <c r="D109" s="134">
        <v>22</v>
      </c>
      <c r="E109" s="134">
        <v>49</v>
      </c>
      <c r="F109" s="137">
        <f t="shared" si="315"/>
        <v>71</v>
      </c>
      <c r="G109" s="137">
        <f t="shared" si="316"/>
        <v>71</v>
      </c>
      <c r="H109" s="137" t="str">
        <f t="shared" si="507"/>
        <v>B</v>
      </c>
      <c r="I109" s="137" t="str">
        <f>VLOOKUP(RANK(G109,$G$10:$G$109),Sheet1!$A$381:$B$480,2,FALSE)</f>
        <v>30th</v>
      </c>
      <c r="J109" s="134">
        <v>30</v>
      </c>
      <c r="K109" s="134">
        <v>15</v>
      </c>
      <c r="L109" s="137">
        <f t="shared" si="317"/>
        <v>45</v>
      </c>
      <c r="M109" s="137">
        <f t="shared" si="318"/>
        <v>45</v>
      </c>
      <c r="N109" s="137" t="str">
        <f t="shared" si="319"/>
        <v>D</v>
      </c>
      <c r="O109" s="207" t="str">
        <f>VLOOKUP(RANK(M109,$M$10:$M$109),Sheet1!$A$381:$B$480,2,FALSE)</f>
        <v>79th</v>
      </c>
      <c r="P109" s="144">
        <v>25</v>
      </c>
      <c r="Q109" s="144">
        <v>5</v>
      </c>
      <c r="R109" s="147">
        <f t="shared" si="320"/>
        <v>30</v>
      </c>
      <c r="S109" s="137">
        <f t="shared" si="321"/>
        <v>30</v>
      </c>
      <c r="T109" s="137" t="str">
        <f t="shared" si="322"/>
        <v>F</v>
      </c>
      <c r="U109" s="137" t="str">
        <f>VLOOKUP(RANK(S109,$S$10:$S$109),Sheet1!$A$381:$B$480,2,FALSE)</f>
        <v>80th</v>
      </c>
      <c r="V109" s="134">
        <v>29</v>
      </c>
      <c r="W109" s="134">
        <v>20</v>
      </c>
      <c r="X109" s="137">
        <f t="shared" si="559"/>
        <v>49</v>
      </c>
      <c r="Y109" s="137">
        <f t="shared" si="558"/>
        <v>49</v>
      </c>
      <c r="Z109" s="137" t="str">
        <f t="shared" si="323"/>
        <v>D</v>
      </c>
      <c r="AA109" s="137" t="str">
        <f>VLOOKUP(RANK(Y109,$Y$10:$Y$109),Sheet1!$A$381:$B$480,2,FALSE)</f>
        <v>71st</v>
      </c>
      <c r="AB109" s="134">
        <v>28</v>
      </c>
      <c r="AC109" s="134">
        <v>6</v>
      </c>
      <c r="AD109" s="137">
        <f t="shared" si="324"/>
        <v>34</v>
      </c>
      <c r="AE109" s="137">
        <f t="shared" si="325"/>
        <v>34</v>
      </c>
      <c r="AF109" s="137" t="str">
        <f t="shared" si="326"/>
        <v>F</v>
      </c>
      <c r="AG109" s="137" t="str">
        <f>VLOOKUP(RANK(AE109,$AE$10:$AE$109),Sheet1!$A$381:$B$480,2,FALSE)</f>
        <v>85th</v>
      </c>
      <c r="AH109" s="137"/>
      <c r="AI109" s="137"/>
      <c r="AJ109" s="137">
        <f t="shared" si="327"/>
        <v>0</v>
      </c>
      <c r="AK109" s="137">
        <f t="shared" si="328"/>
        <v>0</v>
      </c>
      <c r="AL109" s="137" t="str">
        <f t="shared" si="329"/>
        <v>F</v>
      </c>
      <c r="AM109" s="137" t="str">
        <f>VLOOKUP(RANK(AK109,$AK$10:$AK$109),Sheet1!$A$381:$B$480,2,FALSE)</f>
        <v>1st</v>
      </c>
      <c r="AN109" s="134"/>
      <c r="AO109" s="134"/>
      <c r="AP109" s="137">
        <f t="shared" si="330"/>
        <v>0</v>
      </c>
      <c r="AQ109" s="137">
        <f t="shared" si="331"/>
        <v>0</v>
      </c>
      <c r="AR109" s="137" t="str">
        <f t="shared" si="332"/>
        <v>F</v>
      </c>
      <c r="AS109" s="137" t="str">
        <f>VLOOKUP(RANK(AQ109,$AQ$10:$AQ$109),Sheet1!$A$381:$B$480,2,FALSE)</f>
        <v>1st</v>
      </c>
      <c r="AT109" s="144">
        <v>24</v>
      </c>
      <c r="AU109" s="144">
        <v>30</v>
      </c>
      <c r="AV109" s="137">
        <f t="shared" si="333"/>
        <v>54</v>
      </c>
      <c r="AW109" s="137">
        <f t="shared" si="334"/>
        <v>54</v>
      </c>
      <c r="AX109" s="137" t="str">
        <f t="shared" si="335"/>
        <v>C</v>
      </c>
      <c r="AY109" s="207" t="str">
        <f>VLOOKUP(RANK(AW109,$AW$10:$AW$109),Sheet1!$A$381:$B$480,2,FALSE)</f>
        <v>26th</v>
      </c>
      <c r="AZ109" s="144">
        <v>31</v>
      </c>
      <c r="BA109" s="144">
        <v>13</v>
      </c>
      <c r="BB109" s="147">
        <f t="shared" si="336"/>
        <v>44</v>
      </c>
      <c r="BC109" s="137">
        <f t="shared" si="337"/>
        <v>44</v>
      </c>
      <c r="BD109" s="137" t="str">
        <f t="shared" si="338"/>
        <v>D</v>
      </c>
      <c r="BE109" s="137" t="str">
        <f>VLOOKUP(RANK(BC109,$BC$10:$BC$109),Sheet1!$A$381:$B$480,2,FALSE)</f>
        <v>79th</v>
      </c>
      <c r="BF109" s="144">
        <v>10</v>
      </c>
      <c r="BG109" s="144">
        <v>17</v>
      </c>
      <c r="BH109" s="137">
        <f t="shared" si="339"/>
        <v>27</v>
      </c>
      <c r="BI109" s="137">
        <f t="shared" si="340"/>
        <v>27</v>
      </c>
      <c r="BJ109" s="137" t="str">
        <f t="shared" si="341"/>
        <v>F</v>
      </c>
      <c r="BK109" s="207" t="str">
        <f>VLOOKUP(RANK(BI109,$BI$10:$BI$109),Sheet1!$A$381:$B$480,2,FALSE)</f>
        <v>74th</v>
      </c>
      <c r="BL109" s="149">
        <v>25</v>
      </c>
      <c r="BM109" s="149">
        <v>28</v>
      </c>
      <c r="BN109" s="147">
        <f t="shared" si="342"/>
        <v>53</v>
      </c>
      <c r="BO109" s="137">
        <f t="shared" si="343"/>
        <v>53</v>
      </c>
      <c r="BP109" s="137" t="str">
        <f t="shared" si="344"/>
        <v>C</v>
      </c>
      <c r="BQ109" s="207" t="str">
        <f>VLOOKUP(RANK(BO109,$BO$10:$BO$109),Sheet1!$A$381:$B$480,2,FALSE)</f>
        <v>36th</v>
      </c>
      <c r="BR109" s="149">
        <v>28</v>
      </c>
      <c r="BS109" s="149">
        <v>10</v>
      </c>
      <c r="BT109" s="147">
        <f t="shared" si="345"/>
        <v>38</v>
      </c>
      <c r="BU109" s="137">
        <f t="shared" si="346"/>
        <v>38</v>
      </c>
      <c r="BV109" s="137" t="str">
        <f t="shared" si="347"/>
        <v>E</v>
      </c>
      <c r="BW109" s="137" t="str">
        <f>VLOOKUP(RANK(BU109,$BU$10:$BU$109),Sheet1!$A$381:$B$480,2,FALSE)</f>
        <v>69th</v>
      </c>
      <c r="BX109" s="149">
        <v>28</v>
      </c>
      <c r="BY109" s="149">
        <v>11</v>
      </c>
      <c r="BZ109" s="137">
        <f t="shared" si="348"/>
        <v>39</v>
      </c>
      <c r="CA109" s="137">
        <f t="shared" si="349"/>
        <v>39</v>
      </c>
      <c r="CB109" s="137" t="str">
        <f t="shared" si="350"/>
        <v>E</v>
      </c>
      <c r="CC109" s="137" t="str">
        <f>VLOOKUP(RANK(CA109,$CA$10:$CA$109),Sheet1!$A$381:$B$480,2,FALSE)</f>
        <v>53rd</v>
      </c>
      <c r="CD109" s="149">
        <v>26</v>
      </c>
      <c r="CE109" s="149">
        <v>30</v>
      </c>
      <c r="CF109" s="137">
        <f t="shared" si="351"/>
        <v>56</v>
      </c>
      <c r="CG109" s="137">
        <f t="shared" si="352"/>
        <v>56</v>
      </c>
      <c r="CH109" s="137" t="str">
        <f t="shared" si="353"/>
        <v>C</v>
      </c>
      <c r="CI109" s="137" t="str">
        <f>VLOOKUP(RANK(CG109,$CG$10:$CG$109),Sheet1!$A$381:$B$480,2,FALSE)</f>
        <v>41st</v>
      </c>
      <c r="CJ109" s="137"/>
      <c r="CK109" s="137"/>
      <c r="CL109" s="137">
        <f t="shared" si="354"/>
        <v>0</v>
      </c>
      <c r="CM109" s="137">
        <f t="shared" si="355"/>
        <v>0</v>
      </c>
      <c r="CN109" s="137" t="str">
        <f t="shared" si="356"/>
        <v>F</v>
      </c>
      <c r="CO109" s="137" t="str">
        <f>VLOOKUP(RANK(CM109,$CM$10:$CM$109),Sheet1!$A$381:$B$480,2,FALSE)</f>
        <v>1st</v>
      </c>
      <c r="CP109" s="137"/>
      <c r="CQ109" s="137"/>
      <c r="CR109" s="137">
        <f t="shared" si="357"/>
        <v>0</v>
      </c>
      <c r="CS109" s="137">
        <f t="shared" si="358"/>
        <v>0</v>
      </c>
      <c r="CT109" s="137" t="str">
        <f t="shared" si="359"/>
        <v>F</v>
      </c>
      <c r="CU109" s="137" t="str">
        <f>VLOOKUP(RANK(CS109,$CS$10:$CS$109),Sheet1!$A$381:$B$480,2,FALSE)</f>
        <v>1st</v>
      </c>
      <c r="CV109" s="186"/>
      <c r="CW109" s="137"/>
      <c r="CX109" s="186">
        <f t="shared" si="508"/>
        <v>0</v>
      </c>
      <c r="CY109" s="186">
        <f t="shared" si="509"/>
        <v>0</v>
      </c>
      <c r="CZ109" s="137" t="str">
        <f t="shared" si="360"/>
        <v>F</v>
      </c>
      <c r="DA109" s="137" t="str">
        <f>VLOOKUP(RANK(CY109,$CY$10:$CY$109),Sheet1!$A$381:$B$480,2,FALSE)</f>
        <v>1st</v>
      </c>
      <c r="DB109" s="137"/>
      <c r="DC109" s="186">
        <f t="shared" si="510"/>
        <v>540</v>
      </c>
      <c r="DD109" s="186">
        <f t="shared" si="511"/>
        <v>31.764705882352899</v>
      </c>
      <c r="DE109" s="137" t="str">
        <f>VLOOKUP(RANK(DD109,$DD$10:$DD$109),Sheet1!$A$381:$B$480,2,FALSE)</f>
        <v>82nd</v>
      </c>
      <c r="DF109" s="137"/>
      <c r="DG109" s="137">
        <f t="shared" si="361"/>
        <v>571.76470588235304</v>
      </c>
      <c r="DH109" s="137"/>
      <c r="DI109" s="162">
        <v>26</v>
      </c>
      <c r="DJ109" s="162">
        <v>35</v>
      </c>
      <c r="DK109" s="137">
        <f t="shared" si="362"/>
        <v>61</v>
      </c>
      <c r="DL109" s="137" t="str">
        <f t="shared" si="363"/>
        <v>71</v>
      </c>
      <c r="DM109" s="137">
        <f t="shared" si="364"/>
        <v>132</v>
      </c>
      <c r="DN109" s="137">
        <f t="shared" si="365"/>
        <v>66</v>
      </c>
      <c r="DO109" s="137" t="str">
        <f t="shared" si="366"/>
        <v>B</v>
      </c>
      <c r="DP109" s="137" t="str">
        <f>VLOOKUP(RANK(DN109,$DN$10:$DN$109),Sheet1!$A$381:$B$480,2,FALSE)</f>
        <v>52nd</v>
      </c>
      <c r="DQ109" s="166">
        <v>27</v>
      </c>
      <c r="DR109" s="166">
        <v>27</v>
      </c>
      <c r="DS109" s="137">
        <f t="shared" si="367"/>
        <v>54</v>
      </c>
      <c r="DT109" s="137" t="str">
        <f t="shared" si="368"/>
        <v>45</v>
      </c>
      <c r="DU109" s="137">
        <f t="shared" si="369"/>
        <v>99</v>
      </c>
      <c r="DV109" s="137">
        <f t="shared" si="370"/>
        <v>49.5</v>
      </c>
      <c r="DW109" s="137" t="str">
        <f t="shared" si="371"/>
        <v>D</v>
      </c>
      <c r="DX109" s="137" t="str">
        <f>VLOOKUP(RANK(DV109,$DV$10:$DV$109),Sheet1!$A$381:$B$480,2,FALSE)</f>
        <v>45th</v>
      </c>
      <c r="DY109" s="168">
        <v>22</v>
      </c>
      <c r="DZ109" s="168">
        <v>12</v>
      </c>
      <c r="EA109" s="137">
        <f t="shared" si="372"/>
        <v>34</v>
      </c>
      <c r="EB109" s="137" t="str">
        <f t="shared" si="373"/>
        <v>30</v>
      </c>
      <c r="EC109" s="137">
        <f t="shared" si="374"/>
        <v>64</v>
      </c>
      <c r="ED109" s="137">
        <f t="shared" si="375"/>
        <v>32</v>
      </c>
      <c r="EE109" s="137" t="str">
        <f t="shared" si="376"/>
        <v>F</v>
      </c>
      <c r="EF109" s="137" t="str">
        <f>VLOOKUP(RANK(ED109,$ED$10:$ED$109),Sheet1!$A$381:$B$480,2,FALSE)</f>
        <v>91st</v>
      </c>
      <c r="EG109" s="162">
        <v>31</v>
      </c>
      <c r="EH109" s="162">
        <v>22</v>
      </c>
      <c r="EI109" s="137">
        <f t="shared" si="377"/>
        <v>53</v>
      </c>
      <c r="EJ109" s="137" t="str">
        <f t="shared" si="378"/>
        <v>49</v>
      </c>
      <c r="EK109" s="137">
        <f t="shared" si="379"/>
        <v>102</v>
      </c>
      <c r="EL109" s="137">
        <f t="shared" si="380"/>
        <v>51</v>
      </c>
      <c r="EM109" s="137" t="str">
        <f t="shared" si="381"/>
        <v>C</v>
      </c>
      <c r="EN109" s="137" t="str">
        <f>VLOOKUP(RANK(EL109,$EL$10:$EL$109),Sheet1!$A$381:$B$480,2,FALSE)</f>
        <v>60th</v>
      </c>
      <c r="EO109" s="162">
        <v>27</v>
      </c>
      <c r="EP109" s="162">
        <v>8</v>
      </c>
      <c r="EQ109" s="137">
        <f t="shared" si="382"/>
        <v>35</v>
      </c>
      <c r="ER109" s="137" t="str">
        <f t="shared" si="383"/>
        <v>34</v>
      </c>
      <c r="ES109" s="137">
        <f t="shared" si="384"/>
        <v>69</v>
      </c>
      <c r="ET109" s="137">
        <f t="shared" si="385"/>
        <v>34.5</v>
      </c>
      <c r="EU109" s="137" t="str">
        <f t="shared" si="386"/>
        <v>F</v>
      </c>
      <c r="EV109" s="137" t="str">
        <f>VLOOKUP(RANK(ET109,$ET$10:$ET$109),Sheet1!$A$381:$B$480,2,FALSE)</f>
        <v>88th</v>
      </c>
      <c r="EW109" s="137"/>
      <c r="EX109" s="137"/>
      <c r="EY109" s="137">
        <f t="shared" si="387"/>
        <v>0</v>
      </c>
      <c r="EZ109" s="137" t="str">
        <f t="shared" si="388"/>
        <v>0</v>
      </c>
      <c r="FA109" s="137">
        <f t="shared" si="389"/>
        <v>0</v>
      </c>
      <c r="FB109" s="137">
        <f t="shared" si="390"/>
        <v>0</v>
      </c>
      <c r="FC109" s="137" t="str">
        <f t="shared" si="391"/>
        <v>F</v>
      </c>
      <c r="FD109" s="137" t="str">
        <f>VLOOKUP(RANK(FB109,$FB$10:$FB$109),Sheet1!$A$381:$B$480,2,FALSE)</f>
        <v>1st</v>
      </c>
      <c r="FE109" s="137"/>
      <c r="FF109" s="137"/>
      <c r="FG109" s="137">
        <f t="shared" si="392"/>
        <v>0</v>
      </c>
      <c r="FH109" s="137" t="str">
        <f t="shared" si="393"/>
        <v>0</v>
      </c>
      <c r="FI109" s="137">
        <f t="shared" si="394"/>
        <v>0</v>
      </c>
      <c r="FJ109" s="137">
        <f t="shared" si="395"/>
        <v>0</v>
      </c>
      <c r="FK109" s="137" t="str">
        <f t="shared" si="396"/>
        <v>F</v>
      </c>
      <c r="FL109" s="137" t="str">
        <f>VLOOKUP(RANK(FJ109,$FJ$10:$FJ$109),Sheet1!$A$381:$B$480,2,FALSE)</f>
        <v>1st</v>
      </c>
      <c r="FM109" s="166">
        <v>29</v>
      </c>
      <c r="FN109" s="166">
        <v>21</v>
      </c>
      <c r="FO109" s="137">
        <f t="shared" si="397"/>
        <v>50</v>
      </c>
      <c r="FP109" s="137" t="str">
        <f t="shared" si="398"/>
        <v>54</v>
      </c>
      <c r="FQ109" s="137">
        <f t="shared" si="399"/>
        <v>104</v>
      </c>
      <c r="FR109" s="137">
        <f t="shared" si="400"/>
        <v>52</v>
      </c>
      <c r="FS109" s="137" t="str">
        <f t="shared" si="401"/>
        <v>C</v>
      </c>
      <c r="FT109" s="137" t="str">
        <f>VLOOKUP(RANK(FR109,$FR$10:$FR$109),Sheet1!$A$381:$B$480,2,FALSE)</f>
        <v>45th</v>
      </c>
      <c r="FU109" s="149">
        <v>19</v>
      </c>
      <c r="FV109" s="149">
        <v>15</v>
      </c>
      <c r="FW109" s="137">
        <f t="shared" si="402"/>
        <v>34</v>
      </c>
      <c r="FX109" s="137" t="str">
        <f t="shared" si="403"/>
        <v>44</v>
      </c>
      <c r="FY109" s="137">
        <f t="shared" si="512"/>
        <v>34</v>
      </c>
      <c r="FZ109" s="137">
        <f t="shared" si="404"/>
        <v>17</v>
      </c>
      <c r="GA109" s="137" t="str">
        <f t="shared" si="405"/>
        <v>F</v>
      </c>
      <c r="GB109" s="137" t="str">
        <f>VLOOKUP(RANK(FZ109,$FZ$10:$FZ$109),Sheet1!$A$381:$B$480,2,FALSE)</f>
        <v>83rd</v>
      </c>
      <c r="GC109" s="166">
        <v>6</v>
      </c>
      <c r="GD109" s="166">
        <v>25</v>
      </c>
      <c r="GE109" s="137">
        <f t="shared" si="406"/>
        <v>31</v>
      </c>
      <c r="GF109" s="137" t="str">
        <f t="shared" si="407"/>
        <v>27</v>
      </c>
      <c r="GG109" s="137">
        <f t="shared" si="513"/>
        <v>58</v>
      </c>
      <c r="GH109" s="137">
        <f t="shared" si="514"/>
        <v>29</v>
      </c>
      <c r="GI109" s="137" t="str">
        <f t="shared" si="408"/>
        <v>F</v>
      </c>
      <c r="GJ109" s="137" t="str">
        <f>VLOOKUP(RANK(GH109,$GH$10:$GH$109),Sheet1!$A$381:$B$480,2,FALSE)</f>
        <v>83rd</v>
      </c>
      <c r="GK109" s="166">
        <v>26</v>
      </c>
      <c r="GL109" s="166">
        <v>15</v>
      </c>
      <c r="GM109" s="137">
        <f t="shared" si="409"/>
        <v>41</v>
      </c>
      <c r="GN109" s="137" t="str">
        <f t="shared" si="410"/>
        <v>53</v>
      </c>
      <c r="GO109" s="137">
        <f t="shared" si="515"/>
        <v>94</v>
      </c>
      <c r="GP109" s="137">
        <f t="shared" si="411"/>
        <v>47</v>
      </c>
      <c r="GQ109" s="137" t="str">
        <f t="shared" si="412"/>
        <v>D</v>
      </c>
      <c r="GR109" s="137" t="str">
        <f>VLOOKUP(RANK(GP109,$GP$10:$GP$109),Sheet1!$A$381:$B$480,2,FALSE)</f>
        <v>70th</v>
      </c>
      <c r="GS109" s="166">
        <v>15</v>
      </c>
      <c r="GT109" s="166">
        <v>15</v>
      </c>
      <c r="GU109" s="137">
        <f t="shared" si="413"/>
        <v>30</v>
      </c>
      <c r="GV109" s="137" t="str">
        <f t="shared" si="414"/>
        <v>38</v>
      </c>
      <c r="GW109" s="137">
        <f t="shared" si="415"/>
        <v>68</v>
      </c>
      <c r="GX109" s="137">
        <f t="shared" si="416"/>
        <v>34</v>
      </c>
      <c r="GY109" s="137" t="str">
        <f t="shared" si="417"/>
        <v>F</v>
      </c>
      <c r="GZ109" s="137" t="str">
        <f>VLOOKUP(RANK(GX109,$GX$10:$GX$109),Sheet1!$A$381:$B$480,2,FALSE)</f>
        <v>89th</v>
      </c>
      <c r="HA109" s="166">
        <v>29</v>
      </c>
      <c r="HB109" s="166">
        <v>9</v>
      </c>
      <c r="HC109" s="137">
        <f t="shared" si="418"/>
        <v>38</v>
      </c>
      <c r="HD109" s="137" t="str">
        <f t="shared" si="419"/>
        <v>39</v>
      </c>
      <c r="HE109" s="137">
        <f t="shared" si="420"/>
        <v>77</v>
      </c>
      <c r="HF109" s="137">
        <f t="shared" si="421"/>
        <v>38.5</v>
      </c>
      <c r="HG109" s="137" t="str">
        <f t="shared" si="422"/>
        <v>E</v>
      </c>
      <c r="HH109" s="137" t="str">
        <f>VLOOKUP(RANK(HF109,$HF$10:$HF$109),Sheet1!$A$381:$B$480,2,FALSE)</f>
        <v>74th</v>
      </c>
      <c r="HI109" s="149">
        <v>28</v>
      </c>
      <c r="HJ109" s="149">
        <v>49</v>
      </c>
      <c r="HK109" s="137">
        <f t="shared" si="423"/>
        <v>77</v>
      </c>
      <c r="HL109" s="137" t="str">
        <f t="shared" si="424"/>
        <v>56</v>
      </c>
      <c r="HM109" s="137">
        <f t="shared" si="425"/>
        <v>133</v>
      </c>
      <c r="HN109" s="137">
        <f t="shared" si="426"/>
        <v>66.5</v>
      </c>
      <c r="HO109" s="137" t="str">
        <f t="shared" si="427"/>
        <v>B</v>
      </c>
      <c r="HP109" s="137" t="str">
        <f>VLOOKUP(RANK(HN109,$HN$10:$HN$109),Sheet1!$A$381:$B$480,2,FALSE)</f>
        <v>39th</v>
      </c>
      <c r="HQ109" s="137"/>
      <c r="HR109" s="137"/>
      <c r="HS109" s="137">
        <f t="shared" si="428"/>
        <v>0</v>
      </c>
      <c r="HT109" s="137" t="str">
        <f t="shared" si="429"/>
        <v>0</v>
      </c>
      <c r="HU109" s="137">
        <f t="shared" si="430"/>
        <v>0</v>
      </c>
      <c r="HV109" s="137">
        <f t="shared" si="431"/>
        <v>0</v>
      </c>
      <c r="HW109" s="137" t="str">
        <f t="shared" si="432"/>
        <v>F</v>
      </c>
      <c r="HX109" s="137" t="str">
        <f>VLOOKUP(RANK(HV109,$HV$10:$HV$109),Sheet1!$A$381:$B$480,2,FALSE)</f>
        <v>1st</v>
      </c>
      <c r="HY109" s="137"/>
      <c r="HZ109" s="137"/>
      <c r="IA109" s="137">
        <f t="shared" si="433"/>
        <v>0</v>
      </c>
      <c r="IB109" s="137" t="str">
        <f t="shared" si="434"/>
        <v>0</v>
      </c>
      <c r="IC109" s="137">
        <f t="shared" si="435"/>
        <v>0</v>
      </c>
      <c r="ID109" s="137">
        <f t="shared" si="436"/>
        <v>0</v>
      </c>
      <c r="IE109" s="137" t="str">
        <f t="shared" si="437"/>
        <v>F</v>
      </c>
      <c r="IF109" s="137" t="str">
        <f>VLOOKUP(RANK(ID109,$ID$10:$ID$109),Sheet1!$A$381:$B$480,2,FALSE)</f>
        <v>1st</v>
      </c>
      <c r="IG109" s="137"/>
      <c r="IH109" s="137"/>
      <c r="II109" s="137">
        <f t="shared" si="516"/>
        <v>0</v>
      </c>
      <c r="IJ109" s="137" t="str">
        <f t="shared" si="517"/>
        <v>0</v>
      </c>
      <c r="IK109" s="137">
        <f t="shared" si="518"/>
        <v>0</v>
      </c>
      <c r="IL109" s="137">
        <f t="shared" si="519"/>
        <v>0</v>
      </c>
      <c r="IM109" s="137" t="str">
        <f t="shared" si="438"/>
        <v>F</v>
      </c>
      <c r="IN109" s="137" t="str">
        <f>VLOOKUP(RANK(IL109,$IL$10:$IL$109),Sheet1!$A$381:$B$480,2,FALSE)</f>
        <v>1st</v>
      </c>
      <c r="IO109" s="137">
        <f t="shared" si="520"/>
        <v>517</v>
      </c>
      <c r="IP109" s="215">
        <f t="shared" si="521"/>
        <v>30.411764705882401</v>
      </c>
      <c r="IQ109" s="137" t="str">
        <f>VLOOKUP(RANK(IP109,$IP$10:$IP$109),Sheet1!$A$381:$B$480,2,FALSE)</f>
        <v>83rd</v>
      </c>
      <c r="IR109" s="187"/>
      <c r="IS109" s="137"/>
      <c r="IT109" s="137"/>
      <c r="IU109" s="137"/>
      <c r="IV109" s="137"/>
      <c r="IW109" s="186"/>
      <c r="IX109" s="186"/>
      <c r="IY109" s="186"/>
      <c r="IZ109" s="186">
        <f t="shared" si="439"/>
        <v>0</v>
      </c>
      <c r="JA109" s="186" t="str">
        <f t="shared" si="440"/>
        <v>71</v>
      </c>
      <c r="JB109" s="186" t="str">
        <f t="shared" si="441"/>
        <v>61</v>
      </c>
      <c r="JC109" s="186">
        <f t="shared" si="522"/>
        <v>132</v>
      </c>
      <c r="JD109" s="186">
        <f t="shared" si="523"/>
        <v>44</v>
      </c>
      <c r="JE109" s="137" t="str">
        <f t="shared" si="442"/>
        <v>D</v>
      </c>
      <c r="JF109" s="186" t="str">
        <f>VLOOKUP(RANK(JD109,$JD$10:$JD$109),Sheet1!$A$381:$B$480,2,FALSE)</f>
        <v>52nd</v>
      </c>
      <c r="JG109" s="186"/>
      <c r="JH109" s="186"/>
      <c r="JI109" s="186">
        <f t="shared" si="443"/>
        <v>0</v>
      </c>
      <c r="JJ109" s="186" t="str">
        <f t="shared" si="444"/>
        <v>45</v>
      </c>
      <c r="JK109" s="186" t="str">
        <f t="shared" si="445"/>
        <v>54</v>
      </c>
      <c r="JL109" s="186">
        <f t="shared" si="524"/>
        <v>99</v>
      </c>
      <c r="JM109" s="186">
        <f t="shared" si="525"/>
        <v>33</v>
      </c>
      <c r="JN109" s="137" t="str">
        <f t="shared" si="446"/>
        <v>F</v>
      </c>
      <c r="JO109" s="186" t="str">
        <f>VLOOKUP(RANK(JM109,$JM$10:$JM$109),Sheet1!$A$381:$B$480,2,FALSE)</f>
        <v>45th</v>
      </c>
      <c r="JP109" s="186"/>
      <c r="JQ109" s="186"/>
      <c r="JR109" s="186">
        <f t="shared" si="447"/>
        <v>0</v>
      </c>
      <c r="JS109" s="186" t="str">
        <f t="shared" si="448"/>
        <v>30</v>
      </c>
      <c r="JT109" s="186" t="str">
        <f t="shared" si="449"/>
        <v>34</v>
      </c>
      <c r="JU109" s="186">
        <f t="shared" si="526"/>
        <v>64</v>
      </c>
      <c r="JV109" s="186">
        <f t="shared" si="527"/>
        <v>21.3333333333333</v>
      </c>
      <c r="JW109" s="137" t="str">
        <f t="shared" si="450"/>
        <v>F</v>
      </c>
      <c r="JX109" s="186" t="str">
        <f>VLOOKUP(RANK(JV109,$JV$10:$JV$109),Sheet1!$A$381:$B$480,2,FALSE)</f>
        <v>91st</v>
      </c>
      <c r="JY109" s="186"/>
      <c r="JZ109" s="186"/>
      <c r="KA109" s="186">
        <f t="shared" si="451"/>
        <v>0</v>
      </c>
      <c r="KB109" s="186" t="str">
        <f t="shared" si="452"/>
        <v>49</v>
      </c>
      <c r="KC109" s="186" t="str">
        <f t="shared" si="453"/>
        <v>53</v>
      </c>
      <c r="KD109" s="186">
        <f t="shared" si="528"/>
        <v>102</v>
      </c>
      <c r="KE109" s="186">
        <f t="shared" si="529"/>
        <v>34</v>
      </c>
      <c r="KF109" s="137" t="str">
        <f t="shared" si="454"/>
        <v>F</v>
      </c>
      <c r="KG109" s="186" t="str">
        <f>VLOOKUP(RANK(KE109,$KE$10:$KE$109),Sheet1!$A$381:$B$480,2,FALSE)</f>
        <v>60th</v>
      </c>
      <c r="KH109" s="186"/>
      <c r="KI109" s="186"/>
      <c r="KJ109" s="186">
        <f t="shared" si="455"/>
        <v>0</v>
      </c>
      <c r="KK109" s="186" t="str">
        <f t="shared" si="456"/>
        <v>34</v>
      </c>
      <c r="KL109" s="186" t="str">
        <f t="shared" si="457"/>
        <v>35</v>
      </c>
      <c r="KM109" s="186">
        <f t="shared" si="530"/>
        <v>69</v>
      </c>
      <c r="KN109" s="186">
        <f t="shared" si="531"/>
        <v>23</v>
      </c>
      <c r="KO109" s="137" t="str">
        <f t="shared" si="458"/>
        <v>F</v>
      </c>
      <c r="KP109" s="186" t="str">
        <f>VLOOKUP(RANK(KN109,$KN$10:$KN$109),Sheet1!$A$381:$B$480,2,FALSE)</f>
        <v>88th</v>
      </c>
      <c r="KQ109" s="186"/>
      <c r="KR109" s="186"/>
      <c r="KS109" s="186">
        <f t="shared" si="459"/>
        <v>0</v>
      </c>
      <c r="KT109" s="186" t="str">
        <f t="shared" si="460"/>
        <v>0</v>
      </c>
      <c r="KU109" s="186" t="str">
        <f t="shared" si="461"/>
        <v>0</v>
      </c>
      <c r="KV109" s="186">
        <f t="shared" si="532"/>
        <v>0</v>
      </c>
      <c r="KW109" s="186">
        <f t="shared" si="533"/>
        <v>0</v>
      </c>
      <c r="KX109" s="137" t="str">
        <f t="shared" si="462"/>
        <v>F</v>
      </c>
      <c r="KY109" s="186" t="str">
        <f>VLOOKUP(RANK(KW109,$KW$10:$KW$109),Sheet1!$A$381:$B$480,2,FALSE)</f>
        <v>1st</v>
      </c>
      <c r="KZ109" s="186"/>
      <c r="LA109" s="186"/>
      <c r="LB109" s="186">
        <f t="shared" si="463"/>
        <v>0</v>
      </c>
      <c r="LC109" s="186" t="str">
        <f t="shared" si="464"/>
        <v>0</v>
      </c>
      <c r="LD109" s="186" t="str">
        <f t="shared" si="465"/>
        <v>0</v>
      </c>
      <c r="LE109" s="186">
        <f t="shared" si="534"/>
        <v>0</v>
      </c>
      <c r="LF109" s="186">
        <f t="shared" si="535"/>
        <v>0</v>
      </c>
      <c r="LG109" s="137" t="str">
        <f t="shared" si="466"/>
        <v>F</v>
      </c>
      <c r="LH109" s="186" t="str">
        <f>VLOOKUP(RANK(LF109,$LF$10:$LF$109),Sheet1!$A$381:$B$480,2,FALSE)</f>
        <v>1st</v>
      </c>
      <c r="LI109" s="186"/>
      <c r="LJ109" s="186"/>
      <c r="LK109" s="186">
        <f t="shared" si="467"/>
        <v>0</v>
      </c>
      <c r="LL109" s="186" t="str">
        <f t="shared" si="468"/>
        <v>54</v>
      </c>
      <c r="LM109" s="186" t="str">
        <f t="shared" si="469"/>
        <v>50</v>
      </c>
      <c r="LN109" s="186">
        <f t="shared" si="536"/>
        <v>104</v>
      </c>
      <c r="LO109" s="186">
        <f t="shared" si="537"/>
        <v>34.6666666666667</v>
      </c>
      <c r="LP109" s="137" t="str">
        <f t="shared" si="470"/>
        <v>F</v>
      </c>
      <c r="LQ109" s="186" t="str">
        <f>VLOOKUP(RANK(LO109,$LO$10:$LO$109),Sheet1!$A$381:$B$480,2,FALSE)</f>
        <v>45th</v>
      </c>
      <c r="LR109" s="186"/>
      <c r="LS109" s="186"/>
      <c r="LT109" s="186">
        <f t="shared" si="471"/>
        <v>0</v>
      </c>
      <c r="LU109" s="186" t="str">
        <f t="shared" si="472"/>
        <v>44</v>
      </c>
      <c r="LV109" s="186" t="str">
        <f t="shared" si="473"/>
        <v>34</v>
      </c>
      <c r="LW109" s="186">
        <f t="shared" si="538"/>
        <v>78</v>
      </c>
      <c r="LX109" s="186">
        <f t="shared" si="539"/>
        <v>26</v>
      </c>
      <c r="LY109" s="137" t="str">
        <f t="shared" si="474"/>
        <v>F</v>
      </c>
      <c r="LZ109" s="186" t="str">
        <f>VLOOKUP(RANK(LX109,$LX$10:$LX$109),Sheet1!$A$381:$B$480,2,FALSE)</f>
        <v>85th</v>
      </c>
      <c r="MA109" s="186"/>
      <c r="MB109" s="186"/>
      <c r="MC109" s="186">
        <f t="shared" si="475"/>
        <v>0</v>
      </c>
      <c r="MD109" s="186" t="str">
        <f t="shared" si="476"/>
        <v>27</v>
      </c>
      <c r="ME109" s="186" t="str">
        <f t="shared" si="477"/>
        <v>31</v>
      </c>
      <c r="MF109" s="185">
        <f t="shared" si="540"/>
        <v>58</v>
      </c>
      <c r="MG109" s="186">
        <f t="shared" si="541"/>
        <v>19.3333333333333</v>
      </c>
      <c r="MH109" s="137" t="str">
        <f t="shared" si="478"/>
        <v>F</v>
      </c>
      <c r="MI109" s="186" t="str">
        <f>VLOOKUP(RANK(MG109,$MG$10:$MG$109),Sheet1!$A$381:$B$480,2,FALSE)</f>
        <v>83rd</v>
      </c>
      <c r="MJ109" s="186"/>
      <c r="MK109" s="186"/>
      <c r="ML109" s="186">
        <f t="shared" si="479"/>
        <v>0</v>
      </c>
      <c r="MM109" s="186" t="str">
        <f t="shared" si="480"/>
        <v>53</v>
      </c>
      <c r="MN109" s="186" t="str">
        <f t="shared" si="481"/>
        <v>41</v>
      </c>
      <c r="MO109" s="186">
        <f t="shared" si="542"/>
        <v>94</v>
      </c>
      <c r="MP109" s="186">
        <f t="shared" si="543"/>
        <v>31.3333333333333</v>
      </c>
      <c r="MQ109" s="137" t="str">
        <f t="shared" si="482"/>
        <v>F</v>
      </c>
      <c r="MR109" s="186" t="str">
        <f>VLOOKUP(RANK(MP109,$MP$10:$MP$109),Sheet1!$A$381:$B$480,2,FALSE)</f>
        <v>70th</v>
      </c>
      <c r="MS109" s="186"/>
      <c r="MT109" s="186"/>
      <c r="MU109" s="186">
        <f t="shared" si="483"/>
        <v>0</v>
      </c>
      <c r="MV109" s="186" t="str">
        <f t="shared" si="484"/>
        <v>38</v>
      </c>
      <c r="MW109" s="186" t="str">
        <f t="shared" si="485"/>
        <v>30</v>
      </c>
      <c r="MX109" s="186">
        <f t="shared" si="544"/>
        <v>68</v>
      </c>
      <c r="MY109" s="186">
        <f t="shared" si="545"/>
        <v>22.6666666666667</v>
      </c>
      <c r="MZ109" s="137" t="str">
        <f t="shared" si="486"/>
        <v>F</v>
      </c>
      <c r="NA109" s="186" t="str">
        <f>VLOOKUP(RANK(MY109,$MY$10:$MY$109),Sheet1!$A$381:$B$480,2,FALSE)</f>
        <v>89th</v>
      </c>
      <c r="NB109" s="186"/>
      <c r="NC109" s="186"/>
      <c r="ND109" s="186">
        <f t="shared" si="487"/>
        <v>0</v>
      </c>
      <c r="NE109" s="186" t="str">
        <f t="shared" si="488"/>
        <v>39</v>
      </c>
      <c r="NF109" s="186" t="str">
        <f t="shared" si="489"/>
        <v>38</v>
      </c>
      <c r="NG109" s="186">
        <f t="shared" si="546"/>
        <v>77</v>
      </c>
      <c r="NH109" s="186">
        <f t="shared" si="547"/>
        <v>25.6666666666667</v>
      </c>
      <c r="NI109" s="137" t="str">
        <f t="shared" si="490"/>
        <v>F</v>
      </c>
      <c r="NJ109" s="186" t="str">
        <f>VLOOKUP(RANK(NH109,$NH$10:$NH$109),Sheet1!$A$381:$B$480,2,FALSE)</f>
        <v>74th</v>
      </c>
      <c r="NK109" s="186"/>
      <c r="NL109" s="186"/>
      <c r="NM109" s="186">
        <f t="shared" si="491"/>
        <v>0</v>
      </c>
      <c r="NN109" s="186" t="str">
        <f t="shared" si="492"/>
        <v>56</v>
      </c>
      <c r="NO109" s="186" t="str">
        <f t="shared" si="493"/>
        <v>77</v>
      </c>
      <c r="NP109" s="186">
        <f t="shared" si="548"/>
        <v>133</v>
      </c>
      <c r="NQ109" s="186">
        <f t="shared" si="494"/>
        <v>44.3333333333333</v>
      </c>
      <c r="NR109" s="137" t="str">
        <f t="shared" si="495"/>
        <v>D</v>
      </c>
      <c r="NS109" s="186" t="str">
        <f>VLOOKUP(RANK(NQ109,$NQ$10:$NQ$109),Sheet1!$A$381:$B$480,2,FALSE)</f>
        <v>39th</v>
      </c>
      <c r="NT109" s="186"/>
      <c r="NU109" s="186"/>
      <c r="NV109" s="186">
        <f t="shared" si="496"/>
        <v>0</v>
      </c>
      <c r="NW109" s="186" t="str">
        <f t="shared" si="497"/>
        <v>0</v>
      </c>
      <c r="NX109" s="186" t="str">
        <f t="shared" si="498"/>
        <v>0</v>
      </c>
      <c r="NY109" s="186">
        <f t="shared" si="549"/>
        <v>0</v>
      </c>
      <c r="NZ109" s="186">
        <f t="shared" si="499"/>
        <v>0</v>
      </c>
      <c r="OA109" s="137" t="str">
        <f t="shared" si="500"/>
        <v>F</v>
      </c>
      <c r="OB109" s="186" t="str">
        <f>VLOOKUP(RANK(NZ109,$NZ$10:$NZ$109),Sheet1!$A$381:$B$480,2,FALSE)</f>
        <v>1st</v>
      </c>
      <c r="OC109" s="186"/>
      <c r="OD109" s="186"/>
      <c r="OE109" s="186">
        <f t="shared" si="501"/>
        <v>0</v>
      </c>
      <c r="OF109" s="186" t="str">
        <f t="shared" si="502"/>
        <v>0</v>
      </c>
      <c r="OG109" s="186" t="str">
        <f t="shared" si="503"/>
        <v>0</v>
      </c>
      <c r="OH109" s="186">
        <f t="shared" si="550"/>
        <v>0</v>
      </c>
      <c r="OI109" s="186">
        <f t="shared" si="504"/>
        <v>0</v>
      </c>
      <c r="OJ109" s="137" t="str">
        <f t="shared" si="505"/>
        <v>F</v>
      </c>
      <c r="OK109" s="186" t="str">
        <f>VLOOKUP(RANK(OI109,$OI$10:$OI$109),Sheet1!$A$381:$B$480,2,FALSE)</f>
        <v>1st</v>
      </c>
      <c r="OL109" s="186"/>
      <c r="OM109" s="186"/>
      <c r="ON109" s="186">
        <f t="shared" si="551"/>
        <v>0</v>
      </c>
      <c r="OO109" s="186" t="str">
        <f t="shared" si="552"/>
        <v>0</v>
      </c>
      <c r="OP109" s="186" t="str">
        <f t="shared" si="553"/>
        <v>0</v>
      </c>
      <c r="OQ109" s="186">
        <f t="shared" si="554"/>
        <v>0</v>
      </c>
      <c r="OR109" s="186">
        <f t="shared" si="555"/>
        <v>0</v>
      </c>
      <c r="OS109" s="137" t="str">
        <f t="shared" si="506"/>
        <v>F</v>
      </c>
      <c r="OT109" s="186" t="str">
        <f>VLOOKUP(RANK(OR109,$OI$10:$OI$109),Sheet1!$A$381:$B$480,2,FALSE)</f>
        <v>1st</v>
      </c>
      <c r="OU109" s="186">
        <f t="shared" si="556"/>
        <v>359.33333333333297</v>
      </c>
      <c r="OV109" s="186">
        <f t="shared" si="557"/>
        <v>21.137254901960802</v>
      </c>
      <c r="OW109" s="186" t="str">
        <f>VLOOKUP(RANK(OV109,$OV$10:$OV$109),Sheet1!$A$381:$B$480,2,FALSE)</f>
        <v>83rd</v>
      </c>
      <c r="OX109" s="186"/>
      <c r="OY109" s="186"/>
      <c r="OZ109" s="186"/>
      <c r="PA109" s="186"/>
      <c r="PB109" s="186"/>
    </row>
    <row r="110" spans="1:418" ht="18.75">
      <c r="A110" s="172">
        <v>101</v>
      </c>
      <c r="B110" s="204" t="s">
        <v>200</v>
      </c>
      <c r="C110" s="205"/>
      <c r="D110" s="134"/>
      <c r="E110" s="134"/>
      <c r="F110" s="137">
        <f t="shared" si="315"/>
        <v>0</v>
      </c>
      <c r="G110" s="137">
        <f t="shared" si="316"/>
        <v>0</v>
      </c>
      <c r="H110" s="137" t="str">
        <f t="shared" si="507"/>
        <v>F</v>
      </c>
      <c r="I110" s="137" t="str">
        <f>VLOOKUP(RANK(G110,$G$10:$G$109),Sheet1!$A$381:$B$480,2,FALSE)</f>
        <v>97th</v>
      </c>
      <c r="J110" s="137"/>
      <c r="K110" s="137"/>
      <c r="L110" s="137">
        <f t="shared" si="317"/>
        <v>0</v>
      </c>
      <c r="M110" s="137">
        <f t="shared" si="318"/>
        <v>0</v>
      </c>
      <c r="N110" s="137" t="str">
        <f t="shared" si="319"/>
        <v>F</v>
      </c>
      <c r="O110" s="207" t="str">
        <f>VLOOKUP(RANK(M110,$M$10:$M$109),Sheet1!$A$381:$B$480,2,FALSE)</f>
        <v>100th</v>
      </c>
      <c r="P110" s="143"/>
      <c r="Q110" s="143"/>
      <c r="R110" s="147">
        <f t="shared" si="320"/>
        <v>0</v>
      </c>
      <c r="S110" s="137">
        <f t="shared" si="321"/>
        <v>0</v>
      </c>
      <c r="T110" s="137" t="str">
        <f t="shared" si="322"/>
        <v>F</v>
      </c>
      <c r="U110" s="137" t="str">
        <f>VLOOKUP(RANK(S110,$S$10:$S$109),Sheet1!$A$381:$B$480,2,FALSE)</f>
        <v>100th</v>
      </c>
      <c r="V110" s="137"/>
      <c r="W110" s="137"/>
      <c r="X110" s="137">
        <f t="shared" si="559"/>
        <v>0</v>
      </c>
      <c r="Y110" s="137">
        <f t="shared" si="558"/>
        <v>0</v>
      </c>
      <c r="Z110" s="137" t="str">
        <f t="shared" si="323"/>
        <v>F</v>
      </c>
      <c r="AA110" s="137" t="str">
        <f>VLOOKUP(RANK(Y110,$Y$10:$Y$109),Sheet1!$A$381:$B$480,2,FALSE)</f>
        <v>100th</v>
      </c>
      <c r="AB110" s="137"/>
      <c r="AC110" s="137"/>
      <c r="AD110" s="137">
        <f t="shared" si="324"/>
        <v>0</v>
      </c>
      <c r="AE110" s="137">
        <f t="shared" si="325"/>
        <v>0</v>
      </c>
      <c r="AF110" s="137" t="str">
        <f t="shared" si="326"/>
        <v>F</v>
      </c>
      <c r="AG110" s="137" t="e">
        <f>VLOOKUP(RANK(AE110,$AE$10:$AE$109),Sheet1!$A$381:$B$480,2,FALSE)</f>
        <v>#N/A</v>
      </c>
      <c r="AH110" s="137"/>
      <c r="AI110" s="137"/>
      <c r="AJ110" s="137">
        <f t="shared" si="327"/>
        <v>0</v>
      </c>
      <c r="AK110" s="137">
        <f t="shared" si="328"/>
        <v>0</v>
      </c>
      <c r="AL110" s="137" t="str">
        <f t="shared" si="329"/>
        <v>F</v>
      </c>
      <c r="AM110" s="137" t="str">
        <f>VLOOKUP(RANK(AK110,$AK$10:$AK$109),Sheet1!$A$381:$B$480,2,FALSE)</f>
        <v>1st</v>
      </c>
      <c r="AN110" s="139"/>
      <c r="AO110" s="139"/>
      <c r="AP110" s="137">
        <f t="shared" si="330"/>
        <v>0</v>
      </c>
      <c r="AQ110" s="137">
        <f t="shared" si="331"/>
        <v>0</v>
      </c>
      <c r="AR110" s="137" t="str">
        <f t="shared" si="332"/>
        <v>F</v>
      </c>
      <c r="AS110" s="137" t="str">
        <f>VLOOKUP(RANK(AQ110,$AQ$10:$AQ$109),Sheet1!$A$381:$B$480,2,FALSE)</f>
        <v>1st</v>
      </c>
      <c r="AT110" s="137"/>
      <c r="AU110" s="137"/>
      <c r="AV110" s="137">
        <f t="shared" si="333"/>
        <v>0</v>
      </c>
      <c r="AW110" s="137">
        <f t="shared" si="334"/>
        <v>0</v>
      </c>
      <c r="AX110" s="137" t="str">
        <f t="shared" si="335"/>
        <v>F</v>
      </c>
      <c r="AY110" s="207" t="e">
        <f>VLOOKUP(RANK(AW110,$AW$10:$AW$109),Sheet1!$A$381:$B$480,2,FALSE)</f>
        <v>#N/A</v>
      </c>
      <c r="AZ110" s="143"/>
      <c r="BA110" s="143"/>
      <c r="BB110" s="147">
        <f t="shared" si="336"/>
        <v>0</v>
      </c>
      <c r="BC110" s="137">
        <f t="shared" si="337"/>
        <v>0</v>
      </c>
      <c r="BD110" s="137" t="str">
        <f t="shared" si="338"/>
        <v>F</v>
      </c>
      <c r="BE110" s="137" t="e">
        <f>VLOOKUP(RANK(BC110,$BC$10:$BC$109),Sheet1!$A$381:$B$480,2,FALSE)</f>
        <v>#N/A</v>
      </c>
      <c r="BF110" s="143"/>
      <c r="BG110" s="143"/>
      <c r="BH110" s="137">
        <f t="shared" si="339"/>
        <v>0</v>
      </c>
      <c r="BI110" s="137">
        <f t="shared" si="340"/>
        <v>0</v>
      </c>
      <c r="BJ110" s="137" t="str">
        <f t="shared" si="341"/>
        <v>F</v>
      </c>
      <c r="BK110" s="207" t="e">
        <f>VLOOKUP(RANK(BI110,$BI$10:$BI$109),Sheet1!$A$381:$B$480,2,FALSE)</f>
        <v>#N/A</v>
      </c>
      <c r="BL110" s="138"/>
      <c r="BM110" s="138"/>
      <c r="BN110" s="147">
        <f t="shared" si="342"/>
        <v>0</v>
      </c>
      <c r="BO110" s="137">
        <f t="shared" si="343"/>
        <v>0</v>
      </c>
      <c r="BP110" s="137" t="str">
        <f t="shared" si="344"/>
        <v>F</v>
      </c>
      <c r="BQ110" s="207" t="e">
        <f>VLOOKUP(RANK(BO110,$BO$10:$BO$109),Sheet1!$A$381:$B$480,2,FALSE)</f>
        <v>#N/A</v>
      </c>
      <c r="BR110" s="138"/>
      <c r="BS110" s="138"/>
      <c r="BT110" s="147">
        <f t="shared" si="345"/>
        <v>0</v>
      </c>
      <c r="BU110" s="137">
        <f t="shared" si="346"/>
        <v>0</v>
      </c>
      <c r="BV110" s="137" t="str">
        <f t="shared" si="347"/>
        <v>F</v>
      </c>
      <c r="BW110" s="137" t="e">
        <f>VLOOKUP(RANK(BU110,$BU$10:$BU$109),Sheet1!$A$381:$B$480,2,FALSE)</f>
        <v>#N/A</v>
      </c>
      <c r="BX110" s="137"/>
      <c r="BY110" s="137"/>
      <c r="BZ110" s="137">
        <f t="shared" si="348"/>
        <v>0</v>
      </c>
      <c r="CA110" s="137">
        <f t="shared" si="349"/>
        <v>0</v>
      </c>
      <c r="CB110" s="137" t="str">
        <f t="shared" si="350"/>
        <v>F</v>
      </c>
      <c r="CC110" s="137" t="e">
        <f>VLOOKUP(RANK(CA110,$CA$10:$CA$109),Sheet1!$A$381:$B$480,2,FALSE)</f>
        <v>#N/A</v>
      </c>
      <c r="CD110" s="137"/>
      <c r="CE110" s="137"/>
      <c r="CF110" s="137">
        <f t="shared" si="351"/>
        <v>0</v>
      </c>
      <c r="CG110" s="137">
        <f t="shared" si="352"/>
        <v>0</v>
      </c>
      <c r="CH110" s="137" t="str">
        <f t="shared" si="353"/>
        <v>F</v>
      </c>
      <c r="CI110" s="137" t="e">
        <f>VLOOKUP(RANK(CG110,$CG$10:$CG$109),Sheet1!$A$381:$B$480,2,FALSE)</f>
        <v>#N/A</v>
      </c>
      <c r="CJ110" s="137"/>
      <c r="CK110" s="137"/>
      <c r="CL110" s="137">
        <f t="shared" si="354"/>
        <v>0</v>
      </c>
      <c r="CM110" s="137">
        <f t="shared" si="355"/>
        <v>0</v>
      </c>
      <c r="CN110" s="137" t="str">
        <f t="shared" si="356"/>
        <v>F</v>
      </c>
      <c r="CO110" s="137" t="str">
        <f>VLOOKUP(RANK(CM110,$CM$10:$CM$109),Sheet1!$A$381:$B$480,2,FALSE)</f>
        <v>1st</v>
      </c>
      <c r="CP110" s="137"/>
      <c r="CQ110" s="137"/>
      <c r="CR110" s="137">
        <f t="shared" si="357"/>
        <v>0</v>
      </c>
      <c r="CS110" s="137">
        <f t="shared" si="358"/>
        <v>0</v>
      </c>
      <c r="CT110" s="137" t="str">
        <f t="shared" si="359"/>
        <v>F</v>
      </c>
      <c r="CU110" s="137" t="str">
        <f>VLOOKUP(RANK(CS110,$CS$10:$CS$109),Sheet1!$A$381:$B$480,2,FALSE)</f>
        <v>1st</v>
      </c>
      <c r="CV110" s="186"/>
      <c r="CW110" s="137"/>
      <c r="CX110" s="186">
        <f t="shared" si="508"/>
        <v>0</v>
      </c>
      <c r="CY110" s="186">
        <f t="shared" si="509"/>
        <v>0</v>
      </c>
      <c r="CZ110" s="137" t="str">
        <f t="shared" si="360"/>
        <v>F</v>
      </c>
      <c r="DA110" s="137" t="str">
        <f>VLOOKUP(RANK(CY110,$CY$10:$CY$109),Sheet1!$A$381:$B$480,2,FALSE)</f>
        <v>1st</v>
      </c>
      <c r="DB110" s="137"/>
      <c r="DC110" s="186">
        <f t="shared" si="510"/>
        <v>0</v>
      </c>
      <c r="DD110" s="186">
        <f t="shared" si="511"/>
        <v>0</v>
      </c>
      <c r="DE110" s="137" t="e">
        <f>VLOOKUP(RANK(DD110,$DD$10:$DD$109),Sheet1!$A$381:$B$480,2,FALSE)</f>
        <v>#N/A</v>
      </c>
      <c r="DF110" s="137"/>
      <c r="DG110" s="137">
        <f t="shared" si="361"/>
        <v>0</v>
      </c>
      <c r="DH110" s="137"/>
      <c r="DI110" s="211">
        <v>20</v>
      </c>
      <c r="DJ110" s="211">
        <v>22</v>
      </c>
      <c r="DK110" s="137">
        <f t="shared" si="362"/>
        <v>42</v>
      </c>
      <c r="DL110" s="137" t="str">
        <f t="shared" si="363"/>
        <v>0</v>
      </c>
      <c r="DM110" s="137">
        <f t="shared" si="364"/>
        <v>42</v>
      </c>
      <c r="DN110" s="137">
        <f t="shared" si="365"/>
        <v>21</v>
      </c>
      <c r="DO110" s="137" t="str">
        <f t="shared" si="366"/>
        <v>F</v>
      </c>
      <c r="DP110" s="137" t="e">
        <f>VLOOKUP(RANK(DN110,$DN$10:$DN$109),Sheet1!$A$381:$B$480,2,FALSE)</f>
        <v>#N/A</v>
      </c>
      <c r="DQ110" s="166">
        <v>29</v>
      </c>
      <c r="DR110" s="166">
        <v>27</v>
      </c>
      <c r="DS110" s="137">
        <f t="shared" si="367"/>
        <v>56</v>
      </c>
      <c r="DT110" s="137" t="str">
        <f t="shared" si="368"/>
        <v>0</v>
      </c>
      <c r="DU110" s="137">
        <f t="shared" si="369"/>
        <v>56</v>
      </c>
      <c r="DV110" s="137">
        <f t="shared" si="370"/>
        <v>28</v>
      </c>
      <c r="DW110" s="137" t="str">
        <f t="shared" si="371"/>
        <v>F</v>
      </c>
      <c r="DX110" s="137" t="e">
        <f>VLOOKUP(RANK(DV110,$DV$10:$DV$109),Sheet1!$A$381:$B$480,2,FALSE)</f>
        <v>#N/A</v>
      </c>
      <c r="DY110" s="119">
        <v>20</v>
      </c>
      <c r="DZ110" s="119">
        <v>22</v>
      </c>
      <c r="EA110" s="137">
        <f t="shared" si="372"/>
        <v>42</v>
      </c>
      <c r="EB110" s="137" t="str">
        <f t="shared" si="373"/>
        <v>0</v>
      </c>
      <c r="EC110" s="137">
        <f t="shared" si="374"/>
        <v>42</v>
      </c>
      <c r="ED110" s="137">
        <f t="shared" si="375"/>
        <v>21</v>
      </c>
      <c r="EE110" s="137" t="str">
        <f t="shared" si="376"/>
        <v>F</v>
      </c>
      <c r="EF110" s="137" t="e">
        <f>VLOOKUP(RANK(ED110,$ED$10:$ED$109),Sheet1!$A$381:$B$480,2,FALSE)</f>
        <v>#N/A</v>
      </c>
      <c r="EG110" s="211">
        <v>17</v>
      </c>
      <c r="EH110" s="211">
        <v>30</v>
      </c>
      <c r="EI110" s="137">
        <f t="shared" si="377"/>
        <v>47</v>
      </c>
      <c r="EJ110" s="137" t="str">
        <f t="shared" si="378"/>
        <v>0</v>
      </c>
      <c r="EK110" s="137">
        <f t="shared" si="379"/>
        <v>47</v>
      </c>
      <c r="EL110" s="137">
        <f t="shared" si="380"/>
        <v>23.5</v>
      </c>
      <c r="EM110" s="137" t="str">
        <f t="shared" si="381"/>
        <v>F</v>
      </c>
      <c r="EN110" s="137" t="e">
        <f>VLOOKUP(RANK(EL110,$EL$10:$EL$109),Sheet1!$A$381:$B$480,2,FALSE)</f>
        <v>#N/A</v>
      </c>
      <c r="EO110" s="211">
        <v>29</v>
      </c>
      <c r="EP110" s="211">
        <v>25</v>
      </c>
      <c r="EQ110" s="137">
        <f t="shared" si="382"/>
        <v>54</v>
      </c>
      <c r="ER110" s="137" t="str">
        <f t="shared" si="383"/>
        <v>0</v>
      </c>
      <c r="ES110" s="137">
        <f t="shared" si="384"/>
        <v>54</v>
      </c>
      <c r="ET110" s="137">
        <f t="shared" si="385"/>
        <v>27</v>
      </c>
      <c r="EU110" s="137" t="str">
        <f t="shared" si="386"/>
        <v>F</v>
      </c>
      <c r="EV110" s="137" t="e">
        <f>VLOOKUP(RANK(ET110,$ET$10:$ET$109),Sheet1!$A$381:$B$480,2,FALSE)</f>
        <v>#N/A</v>
      </c>
      <c r="EW110" s="137"/>
      <c r="EX110" s="137"/>
      <c r="EY110" s="137">
        <f t="shared" si="387"/>
        <v>0</v>
      </c>
      <c r="EZ110" s="137" t="str">
        <f t="shared" si="388"/>
        <v>0</v>
      </c>
      <c r="FA110" s="137">
        <f t="shared" si="389"/>
        <v>0</v>
      </c>
      <c r="FB110" s="137">
        <f t="shared" si="390"/>
        <v>0</v>
      </c>
      <c r="FC110" s="137" t="str">
        <f t="shared" si="391"/>
        <v>F</v>
      </c>
      <c r="FD110" s="137" t="str">
        <f>VLOOKUP(RANK(FB110,$FB$10:$FB$109),Sheet1!$A$381:$B$480,2,FALSE)</f>
        <v>1st</v>
      </c>
      <c r="FE110" s="137"/>
      <c r="FF110" s="137"/>
      <c r="FG110" s="137">
        <f t="shared" si="392"/>
        <v>0</v>
      </c>
      <c r="FH110" s="137" t="str">
        <f t="shared" si="393"/>
        <v>0</v>
      </c>
      <c r="FI110" s="137">
        <f t="shared" si="394"/>
        <v>0</v>
      </c>
      <c r="FJ110" s="137">
        <f t="shared" si="395"/>
        <v>0</v>
      </c>
      <c r="FK110" s="137" t="str">
        <f t="shared" si="396"/>
        <v>F</v>
      </c>
      <c r="FL110" s="137" t="str">
        <f>VLOOKUP(RANK(FJ110,$FJ$10:$FJ$109),Sheet1!$A$381:$B$480,2,FALSE)</f>
        <v>1st</v>
      </c>
      <c r="FM110" s="166">
        <v>23</v>
      </c>
      <c r="FN110" s="166">
        <v>29</v>
      </c>
      <c r="FO110" s="137">
        <f t="shared" si="397"/>
        <v>52</v>
      </c>
      <c r="FP110" s="137" t="str">
        <f t="shared" si="398"/>
        <v>0</v>
      </c>
      <c r="FQ110" s="137">
        <f t="shared" si="399"/>
        <v>52</v>
      </c>
      <c r="FR110" s="137">
        <f t="shared" si="400"/>
        <v>26</v>
      </c>
      <c r="FS110" s="137" t="str">
        <f t="shared" si="401"/>
        <v>F</v>
      </c>
      <c r="FT110" s="137" t="str">
        <f>VLOOKUP(RANK(FR110,$FR$10:$FR$109),Sheet1!$A$381:$B$480,2,FALSE)</f>
        <v>96th</v>
      </c>
      <c r="FU110" s="149">
        <v>0</v>
      </c>
      <c r="FV110" s="149">
        <v>20</v>
      </c>
      <c r="FW110" s="137">
        <f t="shared" si="402"/>
        <v>20</v>
      </c>
      <c r="FX110" s="137" t="str">
        <f t="shared" si="403"/>
        <v>0</v>
      </c>
      <c r="FY110" s="137">
        <f t="shared" si="512"/>
        <v>20</v>
      </c>
      <c r="FZ110" s="137">
        <f t="shared" si="404"/>
        <v>10</v>
      </c>
      <c r="GA110" s="137" t="str">
        <f t="shared" si="405"/>
        <v>F</v>
      </c>
      <c r="GB110" s="137" t="str">
        <f>VLOOKUP(RANK(FZ110,$FZ$10:$FZ$109),Sheet1!$A$381:$B$480,2,FALSE)</f>
        <v>90th</v>
      </c>
      <c r="GC110" s="166">
        <v>5</v>
      </c>
      <c r="GD110" s="166">
        <v>30</v>
      </c>
      <c r="GE110" s="137">
        <f t="shared" si="406"/>
        <v>35</v>
      </c>
      <c r="GF110" s="137" t="str">
        <f t="shared" si="407"/>
        <v>0</v>
      </c>
      <c r="GG110" s="137">
        <f t="shared" si="513"/>
        <v>35</v>
      </c>
      <c r="GH110" s="137">
        <f t="shared" si="514"/>
        <v>17.5</v>
      </c>
      <c r="GI110" s="137" t="str">
        <f t="shared" si="408"/>
        <v>F</v>
      </c>
      <c r="GJ110" s="137" t="str">
        <f>VLOOKUP(RANK(GH110,$GH$10:$GH$109),Sheet1!$A$381:$B$480,2,FALSE)</f>
        <v>97th</v>
      </c>
      <c r="GK110" s="212">
        <v>28</v>
      </c>
      <c r="GL110" s="212">
        <v>20</v>
      </c>
      <c r="GM110" s="137">
        <f t="shared" si="409"/>
        <v>48</v>
      </c>
      <c r="GN110" s="137" t="str">
        <f t="shared" si="410"/>
        <v>0</v>
      </c>
      <c r="GO110" s="137">
        <f t="shared" si="515"/>
        <v>48</v>
      </c>
      <c r="GP110" s="137">
        <f t="shared" si="411"/>
        <v>24</v>
      </c>
      <c r="GQ110" s="137" t="str">
        <f t="shared" si="412"/>
        <v>F</v>
      </c>
      <c r="GR110" s="137" t="e">
        <f>VLOOKUP(RANK(GP110,$GP$10:$GP$109),Sheet1!$A$381:$B$480,2,FALSE)</f>
        <v>#N/A</v>
      </c>
      <c r="GS110" s="166">
        <v>4</v>
      </c>
      <c r="GT110" s="166">
        <v>55</v>
      </c>
      <c r="GU110" s="137">
        <f t="shared" si="413"/>
        <v>59</v>
      </c>
      <c r="GV110" s="137" t="str">
        <f t="shared" si="414"/>
        <v>0</v>
      </c>
      <c r="GW110" s="137">
        <f t="shared" si="415"/>
        <v>59</v>
      </c>
      <c r="GX110" s="137">
        <f t="shared" si="416"/>
        <v>29.5</v>
      </c>
      <c r="GY110" s="137" t="str">
        <f t="shared" si="417"/>
        <v>F</v>
      </c>
      <c r="GZ110" s="137" t="str">
        <f>VLOOKUP(RANK(GX110,$GX$10:$GX$109),Sheet1!$A$381:$B$480,2,FALSE)</f>
        <v>94th</v>
      </c>
      <c r="HA110" s="165">
        <v>30</v>
      </c>
      <c r="HB110" s="165">
        <v>17</v>
      </c>
      <c r="HC110" s="137">
        <f t="shared" si="418"/>
        <v>47</v>
      </c>
      <c r="HD110" s="137" t="str">
        <f t="shared" si="419"/>
        <v>0</v>
      </c>
      <c r="HE110" s="137">
        <f t="shared" si="420"/>
        <v>47</v>
      </c>
      <c r="HF110" s="137">
        <f t="shared" si="421"/>
        <v>23.5</v>
      </c>
      <c r="HG110" s="137" t="str">
        <f t="shared" si="422"/>
        <v>F</v>
      </c>
      <c r="HH110" s="137" t="e">
        <f>VLOOKUP(RANK(HF110,$HF$10:$HF$109),Sheet1!$A$381:$B$480,2,FALSE)</f>
        <v>#N/A</v>
      </c>
      <c r="HI110" s="149">
        <v>26</v>
      </c>
      <c r="HJ110" s="149">
        <v>40</v>
      </c>
      <c r="HK110" s="137">
        <f t="shared" si="423"/>
        <v>66</v>
      </c>
      <c r="HL110" s="137" t="str">
        <f t="shared" si="424"/>
        <v>0</v>
      </c>
      <c r="HM110" s="137">
        <f t="shared" si="425"/>
        <v>66</v>
      </c>
      <c r="HN110" s="137">
        <f t="shared" si="426"/>
        <v>33</v>
      </c>
      <c r="HO110" s="137" t="str">
        <f t="shared" si="427"/>
        <v>F</v>
      </c>
      <c r="HP110" s="137" t="e">
        <f>VLOOKUP(RANK(HN110,$HN$10:$HN$109),Sheet1!$A$381:$B$480,2,FALSE)</f>
        <v>#N/A</v>
      </c>
      <c r="HQ110" s="137"/>
      <c r="HR110" s="137"/>
      <c r="HS110" s="137">
        <f t="shared" si="428"/>
        <v>0</v>
      </c>
      <c r="HT110" s="137" t="str">
        <f t="shared" si="429"/>
        <v>0</v>
      </c>
      <c r="HU110" s="137">
        <f t="shared" si="430"/>
        <v>0</v>
      </c>
      <c r="HV110" s="137">
        <f t="shared" si="431"/>
        <v>0</v>
      </c>
      <c r="HW110" s="137" t="str">
        <f t="shared" si="432"/>
        <v>F</v>
      </c>
      <c r="HX110" s="137" t="str">
        <f>VLOOKUP(RANK(HV110,$HV$10:$HV$109),Sheet1!$A$381:$B$480,2,FALSE)</f>
        <v>1st</v>
      </c>
      <c r="HY110" s="137"/>
      <c r="HZ110" s="137"/>
      <c r="IA110" s="137">
        <f t="shared" si="433"/>
        <v>0</v>
      </c>
      <c r="IB110" s="137" t="str">
        <f t="shared" si="434"/>
        <v>0</v>
      </c>
      <c r="IC110" s="137">
        <f t="shared" si="435"/>
        <v>0</v>
      </c>
      <c r="ID110" s="137">
        <f t="shared" si="436"/>
        <v>0</v>
      </c>
      <c r="IE110" s="137" t="str">
        <f t="shared" si="437"/>
        <v>F</v>
      </c>
      <c r="IF110" s="137" t="str">
        <f>VLOOKUP(RANK(ID110,$ID$10:$ID$109),Sheet1!$A$381:$B$480,2,FALSE)</f>
        <v>1st</v>
      </c>
      <c r="IG110" s="137"/>
      <c r="IH110" s="137"/>
      <c r="II110" s="137">
        <f t="shared" si="516"/>
        <v>0</v>
      </c>
      <c r="IJ110" s="137" t="str">
        <f t="shared" si="517"/>
        <v>0</v>
      </c>
      <c r="IK110" s="137">
        <f t="shared" si="518"/>
        <v>0</v>
      </c>
      <c r="IL110" s="137">
        <f t="shared" si="519"/>
        <v>0</v>
      </c>
      <c r="IM110" s="137" t="str">
        <f t="shared" si="438"/>
        <v>F</v>
      </c>
      <c r="IN110" s="137" t="str">
        <f>VLOOKUP(RANK(IL110,$IL$10:$IL$109),Sheet1!$A$381:$B$480,2,FALSE)</f>
        <v>1st</v>
      </c>
      <c r="IO110" s="137">
        <f t="shared" si="520"/>
        <v>284</v>
      </c>
      <c r="IP110" s="215">
        <f t="shared" si="521"/>
        <v>16.705882352941199</v>
      </c>
      <c r="IQ110" s="137" t="e">
        <f>VLOOKUP(RANK(IP110,$IP$10:$IP$109),Sheet1!$A$381:$B$480,2,FALSE)</f>
        <v>#N/A</v>
      </c>
      <c r="IR110" s="187"/>
      <c r="IS110" s="137"/>
      <c r="IT110" s="137"/>
      <c r="IU110" s="137"/>
      <c r="IV110" s="137"/>
      <c r="IW110" s="186"/>
      <c r="IX110" s="186"/>
      <c r="IY110" s="186"/>
      <c r="IZ110" s="186">
        <f t="shared" si="439"/>
        <v>0</v>
      </c>
      <c r="JA110" s="186" t="str">
        <f t="shared" si="440"/>
        <v>0</v>
      </c>
      <c r="JB110" s="186" t="str">
        <f t="shared" si="441"/>
        <v>42</v>
      </c>
      <c r="JC110" s="186">
        <f t="shared" si="522"/>
        <v>42</v>
      </c>
      <c r="JD110" s="186">
        <f t="shared" si="523"/>
        <v>14</v>
      </c>
      <c r="JE110" s="137" t="str">
        <f t="shared" si="442"/>
        <v>F</v>
      </c>
      <c r="JF110" s="186" t="e">
        <f>VLOOKUP(RANK(JD110,$JD$10:$JD$109),Sheet1!$A$381:$B$480,2,FALSE)</f>
        <v>#N/A</v>
      </c>
      <c r="JG110" s="186"/>
      <c r="JH110" s="186"/>
      <c r="JI110" s="186">
        <f t="shared" si="443"/>
        <v>0</v>
      </c>
      <c r="JJ110" s="186" t="str">
        <f t="shared" si="444"/>
        <v>0</v>
      </c>
      <c r="JK110" s="186" t="str">
        <f t="shared" si="445"/>
        <v>56</v>
      </c>
      <c r="JL110" s="186">
        <f t="shared" si="524"/>
        <v>56</v>
      </c>
      <c r="JM110" s="186">
        <f t="shared" si="525"/>
        <v>18.6666666666667</v>
      </c>
      <c r="JN110" s="137" t="str">
        <f t="shared" si="446"/>
        <v>F</v>
      </c>
      <c r="JO110" s="186" t="e">
        <f>VLOOKUP(RANK(JM110,$JM$10:$JM$109),Sheet1!$A$381:$B$480,2,FALSE)</f>
        <v>#N/A</v>
      </c>
      <c r="JP110" s="186"/>
      <c r="JQ110" s="186"/>
      <c r="JR110" s="186">
        <f t="shared" si="447"/>
        <v>0</v>
      </c>
      <c r="JS110" s="186" t="str">
        <f t="shared" si="448"/>
        <v>0</v>
      </c>
      <c r="JT110" s="186" t="str">
        <f t="shared" si="449"/>
        <v>42</v>
      </c>
      <c r="JU110" s="186">
        <f t="shared" si="526"/>
        <v>42</v>
      </c>
      <c r="JV110" s="186">
        <f t="shared" si="527"/>
        <v>14</v>
      </c>
      <c r="JW110" s="137" t="str">
        <f t="shared" si="450"/>
        <v>F</v>
      </c>
      <c r="JX110" s="186" t="e">
        <f>VLOOKUP(RANK(JV110,$JV$10:$JV$109),Sheet1!$A$381:$B$480,2,FALSE)</f>
        <v>#N/A</v>
      </c>
      <c r="JY110" s="186"/>
      <c r="JZ110" s="186"/>
      <c r="KA110" s="186">
        <f t="shared" si="451"/>
        <v>0</v>
      </c>
      <c r="KB110" s="186" t="str">
        <f t="shared" si="452"/>
        <v>0</v>
      </c>
      <c r="KC110" s="186" t="str">
        <f t="shared" si="453"/>
        <v>47</v>
      </c>
      <c r="KD110" s="186">
        <f t="shared" si="528"/>
        <v>47</v>
      </c>
      <c r="KE110" s="186">
        <f t="shared" si="529"/>
        <v>15.6666666666667</v>
      </c>
      <c r="KF110" s="137" t="str">
        <f t="shared" si="454"/>
        <v>F</v>
      </c>
      <c r="KG110" s="186" t="e">
        <f>VLOOKUP(RANK(KE110,$KE$10:$KE$109),Sheet1!$A$381:$B$480,2,FALSE)</f>
        <v>#N/A</v>
      </c>
      <c r="KH110" s="186"/>
      <c r="KI110" s="186"/>
      <c r="KJ110" s="186">
        <f t="shared" si="455"/>
        <v>0</v>
      </c>
      <c r="KK110" s="186" t="str">
        <f t="shared" si="456"/>
        <v>0</v>
      </c>
      <c r="KL110" s="186" t="str">
        <f t="shared" si="457"/>
        <v>54</v>
      </c>
      <c r="KM110" s="186">
        <f t="shared" si="530"/>
        <v>54</v>
      </c>
      <c r="KN110" s="186">
        <f t="shared" si="531"/>
        <v>18</v>
      </c>
      <c r="KO110" s="137" t="str">
        <f t="shared" si="458"/>
        <v>F</v>
      </c>
      <c r="KP110" s="186" t="e">
        <f>VLOOKUP(RANK(KN110,$KN$10:$KN$109),Sheet1!$A$381:$B$480,2,FALSE)</f>
        <v>#N/A</v>
      </c>
      <c r="KQ110" s="186"/>
      <c r="KR110" s="186"/>
      <c r="KS110" s="186">
        <f t="shared" si="459"/>
        <v>0</v>
      </c>
      <c r="KT110" s="186" t="str">
        <f t="shared" si="460"/>
        <v>0</v>
      </c>
      <c r="KU110" s="186" t="str">
        <f t="shared" si="461"/>
        <v>0</v>
      </c>
      <c r="KV110" s="186">
        <f t="shared" si="532"/>
        <v>0</v>
      </c>
      <c r="KW110" s="186">
        <f t="shared" si="533"/>
        <v>0</v>
      </c>
      <c r="KX110" s="137" t="str">
        <f t="shared" si="462"/>
        <v>F</v>
      </c>
      <c r="KY110" s="186" t="str">
        <f>VLOOKUP(RANK(KW110,$KW$10:$KW$109),Sheet1!$A$381:$B$480,2,FALSE)</f>
        <v>1st</v>
      </c>
      <c r="KZ110" s="186"/>
      <c r="LA110" s="186"/>
      <c r="LB110" s="186">
        <f t="shared" si="463"/>
        <v>0</v>
      </c>
      <c r="LC110" s="186" t="str">
        <f t="shared" si="464"/>
        <v>0</v>
      </c>
      <c r="LD110" s="186" t="str">
        <f t="shared" si="465"/>
        <v>0</v>
      </c>
      <c r="LE110" s="186">
        <f t="shared" si="534"/>
        <v>0</v>
      </c>
      <c r="LF110" s="186">
        <f t="shared" si="535"/>
        <v>0</v>
      </c>
      <c r="LG110" s="137" t="str">
        <f t="shared" si="466"/>
        <v>F</v>
      </c>
      <c r="LH110" s="186" t="str">
        <f>VLOOKUP(RANK(LF110,$LF$10:$LF$109),Sheet1!$A$381:$B$480,2,FALSE)</f>
        <v>1st</v>
      </c>
      <c r="LI110" s="186"/>
      <c r="LJ110" s="186"/>
      <c r="LK110" s="186">
        <f t="shared" si="467"/>
        <v>0</v>
      </c>
      <c r="LL110" s="186" t="str">
        <f t="shared" si="468"/>
        <v>0</v>
      </c>
      <c r="LM110" s="186" t="str">
        <f t="shared" si="469"/>
        <v>52</v>
      </c>
      <c r="LN110" s="186">
        <f t="shared" si="536"/>
        <v>52</v>
      </c>
      <c r="LO110" s="186">
        <f t="shared" si="537"/>
        <v>17.3333333333333</v>
      </c>
      <c r="LP110" s="137" t="str">
        <f t="shared" si="470"/>
        <v>F</v>
      </c>
      <c r="LQ110" s="186" t="str">
        <f>VLOOKUP(RANK(LO110,$LO$10:$LO$109),Sheet1!$A$381:$B$480,2,FALSE)</f>
        <v>96th</v>
      </c>
      <c r="LR110" s="186"/>
      <c r="LS110" s="186"/>
      <c r="LT110" s="186">
        <f t="shared" si="471"/>
        <v>0</v>
      </c>
      <c r="LU110" s="186" t="str">
        <f t="shared" si="472"/>
        <v>0</v>
      </c>
      <c r="LV110" s="186" t="str">
        <f t="shared" si="473"/>
        <v>20</v>
      </c>
      <c r="LW110" s="186">
        <f t="shared" si="538"/>
        <v>20</v>
      </c>
      <c r="LX110" s="186">
        <f t="shared" si="539"/>
        <v>6.6666666666666696</v>
      </c>
      <c r="LY110" s="137" t="str">
        <f t="shared" si="474"/>
        <v>F</v>
      </c>
      <c r="LZ110" s="186" t="e">
        <f>VLOOKUP(RANK(LX110,$LX$10:$LX$109),Sheet1!$A$381:$B$480,2,FALSE)</f>
        <v>#N/A</v>
      </c>
      <c r="MA110" s="186"/>
      <c r="MB110" s="186"/>
      <c r="MC110" s="186">
        <f t="shared" si="475"/>
        <v>0</v>
      </c>
      <c r="MD110" s="186" t="str">
        <f t="shared" si="476"/>
        <v>0</v>
      </c>
      <c r="ME110" s="186" t="str">
        <f t="shared" si="477"/>
        <v>35</v>
      </c>
      <c r="MF110" s="185">
        <f t="shared" si="540"/>
        <v>35</v>
      </c>
      <c r="MG110" s="186">
        <f t="shared" si="541"/>
        <v>11.6666666666667</v>
      </c>
      <c r="MH110" s="137" t="str">
        <f t="shared" si="478"/>
        <v>F</v>
      </c>
      <c r="MI110" s="186" t="str">
        <f>VLOOKUP(RANK(MG110,$MG$10:$MG$109),Sheet1!$A$381:$B$480,2,FALSE)</f>
        <v>97th</v>
      </c>
      <c r="MJ110" s="186"/>
      <c r="MK110" s="186"/>
      <c r="ML110" s="186">
        <f t="shared" si="479"/>
        <v>0</v>
      </c>
      <c r="MM110" s="186" t="str">
        <f t="shared" si="480"/>
        <v>0</v>
      </c>
      <c r="MN110" s="186" t="str">
        <f t="shared" si="481"/>
        <v>48</v>
      </c>
      <c r="MO110" s="186">
        <f t="shared" si="542"/>
        <v>48</v>
      </c>
      <c r="MP110" s="186">
        <f t="shared" si="543"/>
        <v>16</v>
      </c>
      <c r="MQ110" s="137" t="str">
        <f t="shared" si="482"/>
        <v>F</v>
      </c>
      <c r="MR110" s="186" t="e">
        <f>VLOOKUP(RANK(MP110,$MP$10:$MP$109),Sheet1!$A$381:$B$480,2,FALSE)</f>
        <v>#N/A</v>
      </c>
      <c r="MS110" s="186"/>
      <c r="MT110" s="186"/>
      <c r="MU110" s="186">
        <f t="shared" si="483"/>
        <v>0</v>
      </c>
      <c r="MV110" s="186" t="str">
        <f t="shared" si="484"/>
        <v>0</v>
      </c>
      <c r="MW110" s="186" t="str">
        <f t="shared" si="485"/>
        <v>59</v>
      </c>
      <c r="MX110" s="186">
        <f t="shared" si="544"/>
        <v>59</v>
      </c>
      <c r="MY110" s="186">
        <f t="shared" si="545"/>
        <v>19.6666666666667</v>
      </c>
      <c r="MZ110" s="137" t="str">
        <f t="shared" si="486"/>
        <v>F</v>
      </c>
      <c r="NA110" s="186" t="str">
        <f>VLOOKUP(RANK(MY110,$MY$10:$MY$109),Sheet1!$A$381:$B$480,2,FALSE)</f>
        <v>94th</v>
      </c>
      <c r="NB110" s="186"/>
      <c r="NC110" s="186"/>
      <c r="ND110" s="186">
        <f t="shared" si="487"/>
        <v>0</v>
      </c>
      <c r="NE110" s="186" t="str">
        <f t="shared" si="488"/>
        <v>0</v>
      </c>
      <c r="NF110" s="186" t="str">
        <f t="shared" si="489"/>
        <v>47</v>
      </c>
      <c r="NG110" s="186">
        <f t="shared" si="546"/>
        <v>47</v>
      </c>
      <c r="NH110" s="186">
        <f t="shared" si="547"/>
        <v>15.6666666666667</v>
      </c>
      <c r="NI110" s="137" t="str">
        <f t="shared" si="490"/>
        <v>F</v>
      </c>
      <c r="NJ110" s="186" t="e">
        <f>VLOOKUP(RANK(NH110,$NH$10:$NH$109),Sheet1!$A$381:$B$480,2,FALSE)</f>
        <v>#N/A</v>
      </c>
      <c r="NK110" s="186"/>
      <c r="NL110" s="186"/>
      <c r="NM110" s="186">
        <f t="shared" si="491"/>
        <v>0</v>
      </c>
      <c r="NN110" s="186" t="str">
        <f t="shared" si="492"/>
        <v>0</v>
      </c>
      <c r="NO110" s="186" t="str">
        <f t="shared" si="493"/>
        <v>66</v>
      </c>
      <c r="NP110" s="186">
        <f t="shared" si="548"/>
        <v>66</v>
      </c>
      <c r="NQ110" s="186">
        <f t="shared" si="494"/>
        <v>22</v>
      </c>
      <c r="NR110" s="137" t="str">
        <f t="shared" si="495"/>
        <v>F</v>
      </c>
      <c r="NS110" s="186" t="e">
        <f>VLOOKUP(RANK(NQ110,$NQ$10:$NQ$109),Sheet1!$A$381:$B$480,2,FALSE)</f>
        <v>#N/A</v>
      </c>
      <c r="NT110" s="186"/>
      <c r="NU110" s="186"/>
      <c r="NV110" s="186">
        <f t="shared" si="496"/>
        <v>0</v>
      </c>
      <c r="NW110" s="186" t="str">
        <f t="shared" si="497"/>
        <v>0</v>
      </c>
      <c r="NX110" s="186" t="str">
        <f t="shared" si="498"/>
        <v>0</v>
      </c>
      <c r="NY110" s="186">
        <f t="shared" si="549"/>
        <v>0</v>
      </c>
      <c r="NZ110" s="186">
        <f t="shared" si="499"/>
        <v>0</v>
      </c>
      <c r="OA110" s="137" t="str">
        <f t="shared" si="500"/>
        <v>F</v>
      </c>
      <c r="OB110" s="186" t="str">
        <f>VLOOKUP(RANK(NZ110,$NZ$10:$NZ$109),Sheet1!$A$381:$B$480,2,FALSE)</f>
        <v>1st</v>
      </c>
      <c r="OC110" s="186"/>
      <c r="OD110" s="186"/>
      <c r="OE110" s="186">
        <f t="shared" si="501"/>
        <v>0</v>
      </c>
      <c r="OF110" s="186" t="str">
        <f t="shared" si="502"/>
        <v>0</v>
      </c>
      <c r="OG110" s="186" t="str">
        <f t="shared" si="503"/>
        <v>0</v>
      </c>
      <c r="OH110" s="186">
        <f t="shared" si="550"/>
        <v>0</v>
      </c>
      <c r="OI110" s="186">
        <f t="shared" si="504"/>
        <v>0</v>
      </c>
      <c r="OJ110" s="137" t="str">
        <f t="shared" si="505"/>
        <v>F</v>
      </c>
      <c r="OK110" s="186" t="str">
        <f>VLOOKUP(RANK(OI110,$OI$10:$OI$109),Sheet1!$A$381:$B$480,2,FALSE)</f>
        <v>1st</v>
      </c>
      <c r="OL110" s="186"/>
      <c r="OM110" s="186"/>
      <c r="ON110" s="186">
        <f t="shared" si="551"/>
        <v>0</v>
      </c>
      <c r="OO110" s="186" t="str">
        <f t="shared" si="552"/>
        <v>0</v>
      </c>
      <c r="OP110" s="186" t="str">
        <f t="shared" si="553"/>
        <v>0</v>
      </c>
      <c r="OQ110" s="186">
        <f t="shared" si="554"/>
        <v>0</v>
      </c>
      <c r="OR110" s="186">
        <f t="shared" si="555"/>
        <v>0</v>
      </c>
      <c r="OS110" s="137" t="str">
        <f t="shared" si="506"/>
        <v>F</v>
      </c>
      <c r="OT110" s="186" t="str">
        <f>VLOOKUP(RANK(OR110,$OI$10:$OI$109),Sheet1!$A$381:$B$480,2,FALSE)</f>
        <v>1st</v>
      </c>
      <c r="OU110" s="186">
        <f t="shared" si="556"/>
        <v>189.333333333333</v>
      </c>
      <c r="OV110" s="186">
        <f t="shared" si="557"/>
        <v>11.1372549019608</v>
      </c>
      <c r="OW110" s="186" t="e">
        <f>VLOOKUP(RANK(OV110,$OV$10:$OV$109),Sheet1!$A$381:$B$480,2,FALSE)</f>
        <v>#N/A</v>
      </c>
      <c r="OX110" s="186"/>
      <c r="OY110" s="186"/>
      <c r="OZ110" s="186"/>
      <c r="PA110" s="186"/>
      <c r="PB110" s="186"/>
    </row>
  </sheetData>
  <sortState xmlns:xlrd2="http://schemas.microsoft.com/office/spreadsheetml/2017/richdata2" ref="B10:B14">
    <sortCondition ref="B10"/>
  </sortState>
  <mergeCells count="64">
    <mergeCell ref="NK7:NS7"/>
    <mergeCell ref="NT7:OB7"/>
    <mergeCell ref="OC7:OK7"/>
    <mergeCell ref="OL7:OT7"/>
    <mergeCell ref="A5:A9"/>
    <mergeCell ref="B6:B7"/>
    <mergeCell ref="B8:B9"/>
    <mergeCell ref="LR7:LZ7"/>
    <mergeCell ref="MA7:MI7"/>
    <mergeCell ref="MJ7:MR7"/>
    <mergeCell ref="MS7:NA7"/>
    <mergeCell ref="NB7:NJ7"/>
    <mergeCell ref="JY7:KG7"/>
    <mergeCell ref="KH7:KP7"/>
    <mergeCell ref="KQ7:KY7"/>
    <mergeCell ref="KZ7:LH7"/>
    <mergeCell ref="LI7:LQ7"/>
    <mergeCell ref="IG7:IN7"/>
    <mergeCell ref="IO7:IV7"/>
    <mergeCell ref="IX7:JF7"/>
    <mergeCell ref="JG7:JO7"/>
    <mergeCell ref="JP7:JX7"/>
    <mergeCell ref="GS7:GZ7"/>
    <mergeCell ref="HA7:HH7"/>
    <mergeCell ref="HI7:HP7"/>
    <mergeCell ref="HQ7:HX7"/>
    <mergeCell ref="HY7:IF7"/>
    <mergeCell ref="FE7:FL7"/>
    <mergeCell ref="FM7:FT7"/>
    <mergeCell ref="FU7:GB7"/>
    <mergeCell ref="GC7:GJ7"/>
    <mergeCell ref="GK7:GR7"/>
    <mergeCell ref="DQ7:DX7"/>
    <mergeCell ref="DY7:EF7"/>
    <mergeCell ref="EG7:EN7"/>
    <mergeCell ref="EO7:EV7"/>
    <mergeCell ref="EW7:FD7"/>
    <mergeCell ref="CD7:CI7"/>
    <mergeCell ref="CJ7:CO7"/>
    <mergeCell ref="CP7:CU7"/>
    <mergeCell ref="CV7:DB7"/>
    <mergeCell ref="DI7:DP7"/>
    <mergeCell ref="C6:DG6"/>
    <mergeCell ref="DI6:IV6"/>
    <mergeCell ref="IX6:PB6"/>
    <mergeCell ref="D7:I7"/>
    <mergeCell ref="J7:O7"/>
    <mergeCell ref="P7:U7"/>
    <mergeCell ref="V7:AA7"/>
    <mergeCell ref="AB7:AG7"/>
    <mergeCell ref="AH7:AM7"/>
    <mergeCell ref="AN7:AS7"/>
    <mergeCell ref="AT7:AY7"/>
    <mergeCell ref="AZ7:BE7"/>
    <mergeCell ref="BF7:BK7"/>
    <mergeCell ref="BL7:BQ7"/>
    <mergeCell ref="BR7:BW7"/>
    <mergeCell ref="BX7:CC7"/>
    <mergeCell ref="B1:DB1"/>
    <mergeCell ref="B2:DB2"/>
    <mergeCell ref="B3:DB3"/>
    <mergeCell ref="D5:L5"/>
    <mergeCell ref="M5:Q5"/>
    <mergeCell ref="R5:AO5"/>
  </mergeCells>
  <pageMargins left="0.196527777777778" right="0.27500000000000002" top="0.51180555555555596" bottom="0.47222222222222199" header="0.3" footer="0.3"/>
  <pageSetup paperSize="8" scale="6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54"/>
  <sheetViews>
    <sheetView showGridLines="0" tabSelected="1" view="pageBreakPreview" topLeftCell="E21" zoomScale="55" zoomScaleNormal="51" workbookViewId="0">
      <selection activeCell="Q36" sqref="Q36"/>
    </sheetView>
  </sheetViews>
  <sheetFormatPr defaultColWidth="9" defaultRowHeight="15"/>
  <cols>
    <col min="1" max="1" width="36.140625" customWidth="1"/>
    <col min="2" max="2" width="9.28515625" customWidth="1"/>
    <col min="3" max="3" width="10" customWidth="1"/>
    <col min="4" max="4" width="9.85546875" customWidth="1"/>
    <col min="5" max="5" width="7.28515625" customWidth="1"/>
    <col min="6" max="6" width="10.7109375" customWidth="1"/>
    <col min="7" max="7" width="17.42578125" customWidth="1"/>
    <col min="8" max="8" width="13.7109375" customWidth="1"/>
    <col min="9" max="9" width="36.7109375" customWidth="1"/>
    <col min="10" max="10" width="8.28515625" customWidth="1"/>
    <col min="11" max="11" width="10.85546875" customWidth="1"/>
    <col min="12" max="12" width="9.5703125" customWidth="1"/>
    <col min="13" max="13" width="10.28515625" customWidth="1"/>
    <col min="14" max="14" width="9.85546875" customWidth="1"/>
    <col min="15" max="15" width="6.140625" customWidth="1"/>
    <col min="16" max="16" width="10.5703125" customWidth="1"/>
    <col min="17" max="17" width="18.42578125" customWidth="1"/>
    <col min="18" max="18" width="14.5703125" customWidth="1"/>
    <col min="19" max="19" width="36.28515625" customWidth="1"/>
    <col min="20" max="20" width="7.140625" customWidth="1"/>
    <col min="21" max="21" width="10.5703125" customWidth="1"/>
    <col min="22" max="22" width="10.42578125" customWidth="1"/>
    <col min="23" max="23" width="11.140625" customWidth="1"/>
    <col min="24" max="24" width="12.7109375" customWidth="1"/>
    <col min="25" max="25" width="15.28515625" customWidth="1"/>
    <col min="26" max="26" width="6.42578125" customWidth="1"/>
    <col min="27" max="27" width="11.7109375" customWidth="1"/>
    <col min="28" max="28" width="18.42578125" customWidth="1"/>
    <col min="29" max="29" width="15" customWidth="1"/>
  </cols>
  <sheetData>
    <row r="1" spans="1:29" s="5" customFormat="1" ht="30" customHeight="1">
      <c r="A1" s="251" t="s">
        <v>201</v>
      </c>
      <c r="B1" s="251"/>
      <c r="C1" s="251"/>
      <c r="D1" s="251"/>
      <c r="E1" s="251"/>
      <c r="F1" s="251"/>
      <c r="G1" s="251"/>
      <c r="H1" s="251"/>
      <c r="I1" s="252" t="s">
        <v>202</v>
      </c>
      <c r="J1" s="252"/>
      <c r="K1" s="252"/>
      <c r="L1" s="252"/>
      <c r="M1" s="252"/>
      <c r="N1" s="252"/>
      <c r="O1" s="252"/>
      <c r="P1" s="252"/>
      <c r="Q1" s="252"/>
      <c r="R1" s="252"/>
      <c r="S1" s="252" t="s">
        <v>202</v>
      </c>
      <c r="T1" s="252"/>
      <c r="U1" s="252"/>
      <c r="V1" s="252"/>
      <c r="W1" s="252"/>
      <c r="X1" s="252"/>
      <c r="Y1" s="252"/>
      <c r="Z1" s="252"/>
      <c r="AA1" s="252"/>
      <c r="AB1" s="252"/>
      <c r="AC1" s="55"/>
    </row>
    <row r="2" spans="1:29" s="6" customFormat="1" ht="30" customHeight="1">
      <c r="A2" s="251" t="s">
        <v>203</v>
      </c>
      <c r="B2" s="251"/>
      <c r="C2" s="251"/>
      <c r="D2" s="251"/>
      <c r="E2" s="251"/>
      <c r="F2" s="251"/>
      <c r="G2" s="251"/>
      <c r="H2" s="251"/>
      <c r="I2" s="253" t="s">
        <v>204</v>
      </c>
      <c r="J2" s="253"/>
      <c r="K2" s="253"/>
      <c r="L2" s="253"/>
      <c r="M2" s="253"/>
      <c r="N2" s="253"/>
      <c r="O2" s="253"/>
      <c r="P2" s="253"/>
      <c r="Q2" s="253"/>
      <c r="R2" s="253"/>
      <c r="S2" s="254" t="s">
        <v>203</v>
      </c>
      <c r="T2" s="254"/>
      <c r="U2" s="254"/>
      <c r="V2" s="254"/>
      <c r="W2" s="254"/>
      <c r="X2" s="254"/>
      <c r="Y2" s="254"/>
      <c r="Z2" s="254"/>
      <c r="AA2" s="254"/>
      <c r="AB2" s="254"/>
      <c r="AC2" s="13"/>
    </row>
    <row r="3" spans="1:29" s="6" customFormat="1" ht="30" customHeight="1">
      <c r="A3" s="251" t="s">
        <v>205</v>
      </c>
      <c r="B3" s="251"/>
      <c r="C3" s="251"/>
      <c r="D3" s="251"/>
      <c r="E3" s="251"/>
      <c r="F3" s="251"/>
      <c r="G3" s="251"/>
      <c r="H3" s="251"/>
      <c r="I3" s="252" t="s">
        <v>205</v>
      </c>
      <c r="J3" s="252"/>
      <c r="K3" s="252"/>
      <c r="L3" s="252"/>
      <c r="M3" s="252"/>
      <c r="N3" s="252"/>
      <c r="O3" s="252"/>
      <c r="P3" s="252"/>
      <c r="Q3" s="252"/>
      <c r="R3" s="252"/>
      <c r="S3" s="254" t="s">
        <v>205</v>
      </c>
      <c r="T3" s="254"/>
      <c r="U3" s="254"/>
      <c r="V3" s="254"/>
      <c r="W3" s="254"/>
      <c r="X3" s="254"/>
      <c r="Y3" s="254"/>
      <c r="Z3" s="254"/>
      <c r="AA3" s="254"/>
      <c r="AB3" s="254"/>
      <c r="AC3" s="13"/>
    </row>
    <row r="4" spans="1:29" ht="26.25" customHeight="1">
      <c r="A4" s="8"/>
      <c r="B4" s="9"/>
      <c r="C4" s="9"/>
      <c r="D4" s="10"/>
      <c r="E4" s="10"/>
      <c r="F4" s="10"/>
      <c r="G4" s="10"/>
      <c r="I4" s="8"/>
      <c r="J4" s="9"/>
      <c r="K4" s="9"/>
      <c r="L4" s="10"/>
      <c r="M4" s="10"/>
      <c r="N4" s="10"/>
      <c r="O4" s="10"/>
      <c r="P4" s="10"/>
      <c r="Q4" s="10"/>
      <c r="R4" s="70"/>
      <c r="S4" s="8"/>
      <c r="T4" s="9"/>
      <c r="U4" s="9"/>
      <c r="V4" s="9"/>
      <c r="W4" s="70"/>
      <c r="X4" s="70"/>
      <c r="Y4" s="70"/>
      <c r="Z4" s="70"/>
      <c r="AA4" s="70"/>
      <c r="AB4" s="70"/>
    </row>
    <row r="5" spans="1:29" ht="26.25" customHeight="1">
      <c r="A5" s="8"/>
      <c r="B5" s="9"/>
      <c r="C5" s="9"/>
      <c r="D5" s="10"/>
      <c r="E5" s="10"/>
      <c r="F5" s="10"/>
      <c r="G5" s="10"/>
      <c r="I5" s="8"/>
      <c r="J5" s="9"/>
      <c r="K5" s="9"/>
      <c r="L5" s="10"/>
      <c r="M5" s="10"/>
      <c r="N5" s="10"/>
      <c r="O5" s="10"/>
      <c r="P5" s="10"/>
      <c r="Q5" s="10"/>
      <c r="R5" s="70"/>
      <c r="S5" s="8"/>
      <c r="T5" s="9"/>
      <c r="U5" s="9"/>
      <c r="V5" s="9"/>
      <c r="W5" s="70"/>
      <c r="X5" s="70"/>
      <c r="Y5" s="70"/>
      <c r="Z5" s="70"/>
      <c r="AA5" s="70"/>
      <c r="AB5" s="70"/>
    </row>
    <row r="6" spans="1:29" ht="26.25" customHeight="1">
      <c r="A6" s="283" t="s">
        <v>206</v>
      </c>
      <c r="B6" s="283"/>
      <c r="C6" s="283"/>
      <c r="D6" s="283"/>
      <c r="E6" s="283"/>
      <c r="F6" s="283"/>
      <c r="G6" s="10"/>
      <c r="I6" s="283" t="str">
        <f>A6</f>
        <v>ELECTRICAL INSTALLATION &amp; MAINTENANCE</v>
      </c>
      <c r="J6" s="283"/>
      <c r="K6" s="283"/>
      <c r="L6" s="283"/>
      <c r="M6" s="283"/>
      <c r="N6" s="10"/>
      <c r="O6" s="10"/>
      <c r="P6" s="10"/>
      <c r="Q6" s="10"/>
      <c r="R6" s="70"/>
      <c r="S6" s="283" t="str">
        <f>A6</f>
        <v>ELECTRICAL INSTALLATION &amp; MAINTENANCE</v>
      </c>
      <c r="T6" s="283"/>
      <c r="U6" s="283"/>
      <c r="V6" s="283"/>
      <c r="W6" s="283"/>
      <c r="X6" s="70"/>
      <c r="Y6" s="70"/>
      <c r="Z6" s="70"/>
      <c r="AA6" s="70"/>
      <c r="AB6" s="70"/>
    </row>
    <row r="7" spans="1:29" ht="26.25" customHeight="1">
      <c r="A7" s="283"/>
      <c r="B7" s="283"/>
      <c r="C7" s="283"/>
      <c r="D7" s="283"/>
      <c r="E7" s="283"/>
      <c r="F7" s="283"/>
      <c r="G7" s="10"/>
      <c r="I7" s="283"/>
      <c r="J7" s="283"/>
      <c r="K7" s="283"/>
      <c r="L7" s="283"/>
      <c r="M7" s="283"/>
      <c r="N7" s="10"/>
      <c r="O7" s="10"/>
      <c r="P7" s="10"/>
      <c r="Q7" s="10"/>
      <c r="S7" s="283"/>
      <c r="T7" s="283"/>
      <c r="U7" s="283"/>
      <c r="V7" s="283"/>
      <c r="W7" s="283"/>
      <c r="X7" s="70"/>
      <c r="Y7" s="70"/>
      <c r="Z7" s="70"/>
      <c r="AA7" s="70"/>
      <c r="AB7" s="70"/>
    </row>
    <row r="8" spans="1:29" s="7" customFormat="1" ht="24" customHeight="1">
      <c r="A8" s="11" t="s">
        <v>207</v>
      </c>
      <c r="B8" s="11" t="str">
        <f>'TECH 1'!C6</f>
        <v>1ST TERM</v>
      </c>
      <c r="C8" s="11"/>
      <c r="D8" s="11"/>
      <c r="E8" s="11"/>
      <c r="F8" s="11"/>
      <c r="I8" s="11" t="s">
        <v>207</v>
      </c>
      <c r="J8" s="7" t="s">
        <v>12</v>
      </c>
      <c r="K8" s="11"/>
      <c r="M8" s="11"/>
      <c r="N8" s="11"/>
      <c r="S8" s="55" t="s">
        <v>207</v>
      </c>
      <c r="T8" s="55" t="s">
        <v>13</v>
      </c>
      <c r="U8" s="55"/>
      <c r="V8" s="5"/>
      <c r="W8" s="5"/>
      <c r="X8" s="55"/>
      <c r="Y8" s="55"/>
      <c r="Z8" s="5"/>
      <c r="AA8" s="5"/>
      <c r="AB8" s="5"/>
    </row>
    <row r="9" spans="1:29" s="7" customFormat="1" ht="24" customHeight="1">
      <c r="A9" s="11" t="s">
        <v>208</v>
      </c>
      <c r="B9" s="7" t="str">
        <f>'TECH 1'!H4</f>
        <v>2024/2025</v>
      </c>
      <c r="D9" s="11" t="s">
        <v>209</v>
      </c>
      <c r="F9" s="7" t="str">
        <f>VLOOKUP(B12,'TECH 1'!A10:PB109,3,0)</f>
        <v>MALE</v>
      </c>
      <c r="I9" s="11" t="s">
        <v>208</v>
      </c>
      <c r="J9" s="7" t="str">
        <f>B9</f>
        <v>2024/2025</v>
      </c>
      <c r="M9" s="11" t="s">
        <v>209</v>
      </c>
      <c r="O9" s="7" t="str">
        <f>VLOOKUP(J12,'TECH 1'!A10:PB109,3,0)</f>
        <v>MALE</v>
      </c>
      <c r="S9" s="55" t="s">
        <v>208</v>
      </c>
      <c r="T9" s="5" t="str">
        <f>B9</f>
        <v>2024/2025</v>
      </c>
      <c r="U9" s="5"/>
      <c r="V9" s="5"/>
      <c r="W9" s="5"/>
      <c r="X9" s="55" t="s">
        <v>209</v>
      </c>
      <c r="Y9" s="5" t="str">
        <f>VLOOKUP(T12,'TECH 1'!A10:PB109,3,0)</f>
        <v>MALE</v>
      </c>
      <c r="Z9" s="5"/>
      <c r="AA9" s="5"/>
    </row>
    <row r="10" spans="1:29" s="7" customFormat="1" ht="24" customHeight="1">
      <c r="A10" s="11" t="s">
        <v>210</v>
      </c>
      <c r="B10" s="12" t="str">
        <f>'TECH 1'!D5</f>
        <v>TECH 1</v>
      </c>
      <c r="D10" s="255"/>
      <c r="E10" s="255"/>
      <c r="I10" s="11" t="s">
        <v>210</v>
      </c>
      <c r="J10" s="7" t="str">
        <f>'TECH 1'!D5</f>
        <v>TECH 1</v>
      </c>
      <c r="M10" s="11"/>
      <c r="O10" s="59"/>
      <c r="P10" s="11"/>
      <c r="Q10" s="11"/>
      <c r="S10" s="55" t="s">
        <v>210</v>
      </c>
      <c r="T10" s="55" t="str">
        <f>'TECH 1'!D5</f>
        <v>TECH 1</v>
      </c>
      <c r="U10" s="5"/>
      <c r="V10" s="5"/>
      <c r="W10" s="5"/>
      <c r="X10" s="55"/>
      <c r="Y10" s="5"/>
      <c r="Z10" s="5"/>
      <c r="AA10" s="95"/>
      <c r="AB10" s="95"/>
    </row>
    <row r="11" spans="1:29" ht="24" customHeight="1">
      <c r="A11" s="11" t="s">
        <v>211</v>
      </c>
      <c r="B11" s="13" t="str">
        <f>VLOOKUP(B12,'TECH 1'!A10:PB109,2,0)</f>
        <v>YESIRU RAFIU TIMILEYIN</v>
      </c>
      <c r="C11" s="14"/>
      <c r="D11" s="14"/>
      <c r="E11" s="14"/>
      <c r="F11" s="14"/>
      <c r="G11" s="14"/>
      <c r="I11" s="55" t="s">
        <v>212</v>
      </c>
      <c r="J11" s="13" t="str">
        <f>VLOOKUP(J12,'TECH 1'!A10:PB109,2,0)</f>
        <v>ADEBANJO VINCENT OLAOMOJU</v>
      </c>
      <c r="K11" s="14"/>
      <c r="L11" s="14"/>
      <c r="M11" s="14"/>
      <c r="N11" s="14"/>
      <c r="O11" s="14"/>
      <c r="P11" s="14"/>
      <c r="Q11" s="14"/>
      <c r="S11" s="55" t="s">
        <v>212</v>
      </c>
      <c r="T11" s="13" t="str">
        <f>VLOOKUP(T12,'TECH 1'!A10:PB109,2,0)</f>
        <v>ABDULAZEEZ TOHEEB O.</v>
      </c>
      <c r="U11" s="71"/>
      <c r="V11" s="5"/>
      <c r="W11" s="5"/>
      <c r="X11" s="5"/>
      <c r="Y11" s="5"/>
      <c r="Z11" s="5"/>
      <c r="AA11" s="5"/>
      <c r="AB11" s="5"/>
    </row>
    <row r="12" spans="1:29" s="7" customFormat="1" ht="24" customHeight="1">
      <c r="A12" s="11" t="s">
        <v>213</v>
      </c>
      <c r="B12" s="7">
        <v>100</v>
      </c>
      <c r="I12" s="11" t="s">
        <v>213</v>
      </c>
      <c r="J12" s="7">
        <v>3</v>
      </c>
      <c r="S12" s="55" t="s">
        <v>213</v>
      </c>
      <c r="T12" s="5">
        <v>1</v>
      </c>
      <c r="U12" s="5"/>
      <c r="V12" s="5"/>
      <c r="W12" s="5"/>
      <c r="X12" s="5"/>
      <c r="Y12" s="5"/>
      <c r="Z12" s="5"/>
      <c r="AA12" s="5"/>
      <c r="AB12" s="5"/>
    </row>
    <row r="13" spans="1:29" s="5" customFormat="1" ht="47.1" customHeight="1">
      <c r="A13" s="15" t="s">
        <v>10</v>
      </c>
      <c r="B13" s="16" t="s">
        <v>31</v>
      </c>
      <c r="C13" s="17" t="s">
        <v>32</v>
      </c>
      <c r="D13" s="17" t="s">
        <v>214</v>
      </c>
      <c r="E13" s="17" t="s">
        <v>34</v>
      </c>
      <c r="F13" s="18" t="s">
        <v>35</v>
      </c>
      <c r="G13" s="19" t="s">
        <v>215</v>
      </c>
      <c r="H13" s="20" t="s">
        <v>36</v>
      </c>
      <c r="I13" s="60" t="s">
        <v>10</v>
      </c>
      <c r="J13" s="61" t="s">
        <v>31</v>
      </c>
      <c r="K13" s="62" t="s">
        <v>32</v>
      </c>
      <c r="L13" s="62" t="s">
        <v>214</v>
      </c>
      <c r="M13" s="62" t="s">
        <v>216</v>
      </c>
      <c r="N13" s="62" t="s">
        <v>89</v>
      </c>
      <c r="O13" s="62" t="s">
        <v>90</v>
      </c>
      <c r="P13" s="63" t="s">
        <v>35</v>
      </c>
      <c r="Q13" s="72" t="s">
        <v>215</v>
      </c>
      <c r="R13" s="73" t="s">
        <v>36</v>
      </c>
      <c r="S13" s="74" t="s">
        <v>10</v>
      </c>
      <c r="T13" s="75" t="s">
        <v>31</v>
      </c>
      <c r="U13" s="76" t="s">
        <v>32</v>
      </c>
      <c r="V13" s="76" t="s">
        <v>214</v>
      </c>
      <c r="W13" s="76" t="s">
        <v>217</v>
      </c>
      <c r="X13" s="76" t="s">
        <v>218</v>
      </c>
      <c r="Y13" s="76" t="s">
        <v>94</v>
      </c>
      <c r="Z13" s="76" t="s">
        <v>90</v>
      </c>
      <c r="AA13" s="18" t="s">
        <v>35</v>
      </c>
      <c r="AB13" s="96" t="s">
        <v>215</v>
      </c>
      <c r="AC13" s="20" t="s">
        <v>36</v>
      </c>
    </row>
    <row r="14" spans="1:29" s="5" customFormat="1" ht="24.95" customHeight="1">
      <c r="A14" s="21" t="str">
        <f>'TECH 1'!D7</f>
        <v>CRAFT PRACTICE</v>
      </c>
      <c r="B14" s="22">
        <f>VLOOKUP(B12,'TECH 1'!A10:PB109,4,0)</f>
        <v>22</v>
      </c>
      <c r="C14" s="22">
        <f>VLOOKUP(B12,'TECH 1'!A10:PB109,5,0)</f>
        <v>49</v>
      </c>
      <c r="D14" s="22">
        <f>SUM(B14:C14)</f>
        <v>71</v>
      </c>
      <c r="E14" s="22">
        <f>(D14*100)/100</f>
        <v>71</v>
      </c>
      <c r="F14" s="23" t="str">
        <f>IF(E14&gt;=75,"A",IF(E14&gt;=60,"B",IF(E14&gt;=50,"C",IF(E14&gt;=40,"D",IF(E14&gt;=35,"E","F")))))</f>
        <v>B</v>
      </c>
      <c r="G14" s="24" t="str">
        <f>IF(D14&gt;=75,"EXCELLENT",IF(D14&gt;=70,"VERY GOOD",IF(D14&gt;=65,"GOOD",IF(D14&gt;=60,"GOOD",IF(D14&gt;=55,"CREDIT",IF(D14&gt;=50,"CREDIT",IF(D14&gt;=40,"PASS",IF(D14&gt;=35,"FAIR","FAIL"))))))))</f>
        <v>VERY GOOD</v>
      </c>
      <c r="H14" s="25" t="str">
        <f>VLOOKUP(B12,'TECH 1'!A10:PB109,9,0)</f>
        <v>30th</v>
      </c>
      <c r="I14" s="64" t="str">
        <f>'TECH 1'!DI7</f>
        <v>CRAFT PRACTICE</v>
      </c>
      <c r="J14" s="65">
        <f>VLOOKUP(J12,'TECH 1'!A10:PB109,113,0)</f>
        <v>24</v>
      </c>
      <c r="K14" s="65">
        <f>VLOOKUP(J12,'TECH 1'!A10:PB109,114,0)</f>
        <v>55</v>
      </c>
      <c r="L14" s="65">
        <f>SUM(J14:K14)</f>
        <v>79</v>
      </c>
      <c r="M14" s="65" t="str">
        <f>VLOOKUP(J12,'TECH 1'!A10:PB109,116,0)</f>
        <v>65</v>
      </c>
      <c r="N14" s="65">
        <f>L14+M14</f>
        <v>144</v>
      </c>
      <c r="O14" s="65">
        <f>N14/2</f>
        <v>72</v>
      </c>
      <c r="P14" s="66" t="str">
        <f>IF(O14&gt;=75,"A",IF(O14&gt;=60,"B",IF(O14&gt;=50,"C",IF(O14&gt;=40,"D",IF(O14&gt;=35,"E","F")))))</f>
        <v>B</v>
      </c>
      <c r="Q14" s="24" t="str">
        <f>IF(O14&gt;=75,"EXCELLENT",IF(O14&gt;=70,"VERY GOOD",IF(O14&gt;=65,"GOOD",IF(O14&gt;=60,"GOOD",IF(O14&gt;=55,"CREDIT",IF(O14&gt;=50,"CREDIT",IF(O14&gt;=40,"PASS",IF(O14&gt;=35,"FAIR","FAIL"))))))))</f>
        <v>VERY GOOD</v>
      </c>
      <c r="R14" s="77" t="str">
        <f>VLOOKUP(J12,'TECH 1'!A10:PB109,120,0)</f>
        <v>29th</v>
      </c>
      <c r="S14" s="26" t="str">
        <f>I14</f>
        <v>CRAFT PRACTICE</v>
      </c>
      <c r="T14" s="45">
        <f>VLOOKUP(T12,'TECH 1'!A10:PB109,258,0)</f>
        <v>0</v>
      </c>
      <c r="U14" s="27">
        <f>VLOOKUP(T12,'TECH 1'!A10:PB109,259,0)</f>
        <v>0</v>
      </c>
      <c r="V14" s="27">
        <f>SUM(T14:U14)</f>
        <v>0</v>
      </c>
      <c r="W14" s="27" t="str">
        <f>VLOOKUP(T12,'TECH 1'!A10:PB109,261,0)</f>
        <v>71</v>
      </c>
      <c r="X14" s="27" t="str">
        <f>VLOOKUP(T12,'TECH 1'!A10:PB109,262,0)</f>
        <v>70</v>
      </c>
      <c r="Y14" s="27">
        <f>V14+X14+W14</f>
        <v>141</v>
      </c>
      <c r="Z14" s="97">
        <f>Y14/3</f>
        <v>47</v>
      </c>
      <c r="AA14" s="23" t="str">
        <f>IF(Z14&gt;=75,"A",IF(Z14&gt;=60,"B",IF(Z14&gt;=50,"C",IF(Z14&gt;=40,"D",IF(Z14&gt;=35,"E","F")))))</f>
        <v>D</v>
      </c>
      <c r="AB14" s="98" t="str">
        <f>IF(Z14&gt;=74,"EXCELLENT",IF(Z14&gt;=70,"VERY GOOD",IF(Z14&gt;=65,"GOOD",IF(Z14&gt;=60,"CREDIT",IF(Z14&gt;=55,"CREDIT",IF(Z14&gt;=50,"CREDIT",IF(Z14&gt;=45,"PASS",IF(Z14&gt;=40,"PASS","FAIL"))))))))</f>
        <v>PASS</v>
      </c>
      <c r="AC14" s="25" t="str">
        <f>VLOOKUP(T12,'TECH 1'!A10:PB109,266,0)</f>
        <v>35th</v>
      </c>
    </row>
    <row r="15" spans="1:29" s="5" customFormat="1" ht="24.95" customHeight="1">
      <c r="A15" s="26" t="str">
        <f>'TECH 1'!J7</f>
        <v>BUILDING/ENG. DRAWING</v>
      </c>
      <c r="B15" s="27">
        <f>VLOOKUP(B12,'TECH 1'!A10:PB109,10,0)</f>
        <v>30</v>
      </c>
      <c r="C15" s="27">
        <f>VLOOKUP(B12,'TECH 1'!A10:PB109,11,0)</f>
        <v>15</v>
      </c>
      <c r="D15" s="22">
        <f>SUM(B15:C15)</f>
        <v>45</v>
      </c>
      <c r="E15" s="27">
        <f>(D15*100)/100</f>
        <v>45</v>
      </c>
      <c r="F15" s="23" t="str">
        <f>IF(E15&gt;=75,"A",IF(E15&gt;=60,"B",IF(E15&gt;=50,"C",IF(E15&gt;=40,"D",IF(E15&gt;=35,"E","F")))))</f>
        <v>D</v>
      </c>
      <c r="G15" s="24" t="str">
        <f t="shared" ref="G15:G25" si="0">IF(D15&gt;=75,"EXCELLENT",IF(D15&gt;=70,"VERY GOOD",IF(D15&gt;=65,"GOOD",IF(D15&gt;=60,"GOOD",IF(D15&gt;=55,"CREDIT",IF(D15&gt;=50,"CREDIT",IF(D15&gt;=40,"PASS",IF(D15&gt;=35,"FAIR","FAIL"))))))))</f>
        <v>PASS</v>
      </c>
      <c r="H15" s="28" t="str">
        <f>VLOOKUP(B12,'TECH 1'!A10:PB109,15,0)</f>
        <v>79th</v>
      </c>
      <c r="I15" s="67" t="str">
        <f>'TECH 1'!DQ7</f>
        <v>BUILDING/ENG. DRAWING</v>
      </c>
      <c r="J15" s="68">
        <f>VLOOKUP(J12,'TECH 1'!A10:PB109,121,0)</f>
        <v>19</v>
      </c>
      <c r="K15" s="68">
        <f>VLOOKUP(J12,'TECH 1'!A10:PB109,122,0)</f>
        <v>23</v>
      </c>
      <c r="L15" s="68">
        <f>SUM(J15:K15)</f>
        <v>42</v>
      </c>
      <c r="M15" s="68" t="str">
        <f>VLOOKUP(J12,'TECH 1'!A10:PB109,124,0)</f>
        <v>62</v>
      </c>
      <c r="N15" s="68">
        <f>L15+M15</f>
        <v>104</v>
      </c>
      <c r="O15" s="68">
        <f>N15/2</f>
        <v>52</v>
      </c>
      <c r="P15" s="66" t="str">
        <f>IF(O15&gt;=75,"A",IF(O15&gt;=60,"B",IF(O15&gt;=50,"C",IF(O15&gt;=40,"D",IF(O15&gt;=35,"E","F")))))</f>
        <v>C</v>
      </c>
      <c r="Q15" s="24" t="str">
        <f t="shared" ref="Q15:Q25" si="1">IF(O15&gt;=75,"EXCELLENT",IF(O15&gt;=70,"VERY GOOD",IF(O15&gt;=65,"GOOD",IF(O15&gt;=60,"GOOD",IF(O15&gt;=55,"CREDIT",IF(O15&gt;=50,"CREDIT",IF(O15&gt;=40,"PASS",IF(O15&gt;=35,"FAIR","FAIL"))))))))</f>
        <v>CREDIT</v>
      </c>
      <c r="R15" s="78" t="str">
        <f>VLOOKUP(J12,'TECH 1'!A10:PB109,128,0)</f>
        <v>35th</v>
      </c>
      <c r="S15" s="26" t="str">
        <f>I15</f>
        <v>BUILDING/ENG. DRAWING</v>
      </c>
      <c r="T15" s="27">
        <f>VLOOKUP(T12,'TECH 1'!A10:PB109,267,0)</f>
        <v>0</v>
      </c>
      <c r="U15" s="27">
        <f>VLOOKUP(T12,'TECH 1'!A10:PB109,268,0)</f>
        <v>0</v>
      </c>
      <c r="V15" s="27">
        <f t="shared" ref="V15:V27" si="2">SUM(T15:U15)</f>
        <v>0</v>
      </c>
      <c r="W15" s="27" t="str">
        <f>VLOOKUP(T12,'TECH 1'!A10:PB109,270,0)</f>
        <v>41</v>
      </c>
      <c r="X15" s="27" t="str">
        <f>VLOOKUP(T12,'TECH 1'!A10:PB109,271,0)</f>
        <v>47</v>
      </c>
      <c r="Y15" s="27">
        <f t="shared" ref="Y15:Y27" si="3">V15+X15+W15</f>
        <v>88</v>
      </c>
      <c r="Z15" s="97">
        <f t="shared" ref="Z15:Z27" si="4">Y15/3</f>
        <v>29.3333333333333</v>
      </c>
      <c r="AA15" s="23" t="str">
        <f t="shared" ref="AA15:AA27" si="5">IF(Z15&gt;=75,"A",IF(Z15&gt;=60,"B",IF(Z15&gt;=50,"C",IF(Z15&gt;=40,"D",IF(Z15&gt;=35,"E","F")))))</f>
        <v>F</v>
      </c>
      <c r="AB15" s="98" t="str">
        <f t="shared" ref="AB15:AB27" si="6">IF(Z15&gt;=74,"EXCELLENT",IF(Z15&gt;=70,"VERY GOOD",IF(Z15&gt;=65,"GOOD",IF(Z15&gt;=60,"CREDIT",IF(Z15&gt;=55,"CREDIT",IF(Z15&gt;=50,"CREDIT",IF(Z15&gt;=45,"PASS",IF(Z15&gt;=40,"PASS","FAIL"))))))))</f>
        <v>FAIL</v>
      </c>
      <c r="AC15" s="28" t="str">
        <f>VLOOKUP(T12,'TECH 1'!A10:PB109,275,0)</f>
        <v>76th</v>
      </c>
    </row>
    <row r="16" spans="1:29" s="5" customFormat="1" ht="24.95" customHeight="1">
      <c r="A16" s="26" t="str">
        <f>'TECH 1'!P7</f>
        <v>BASIC ELECTRICITY</v>
      </c>
      <c r="B16" s="27">
        <f>VLOOKUP(B12,'TECH 1'!A10:PB109,16,0)</f>
        <v>25</v>
      </c>
      <c r="C16" s="27">
        <f>VLOOKUP(B12,'TECH 1'!A10:PB109,17,0)</f>
        <v>5</v>
      </c>
      <c r="D16" s="22">
        <f>SUM(B16:C16)</f>
        <v>30</v>
      </c>
      <c r="E16" s="27">
        <f>(D16*100)/100</f>
        <v>30</v>
      </c>
      <c r="F16" s="23" t="str">
        <f>IF(E16&gt;=75,"A",IF(E16&gt;=60,"B",IF(E16&gt;=50,"C",IF(E16&gt;=40,"D",IF(E16&gt;=35,"E","F")))))</f>
        <v>F</v>
      </c>
      <c r="G16" s="24" t="str">
        <f t="shared" si="0"/>
        <v>FAIL</v>
      </c>
      <c r="H16" s="28" t="str">
        <f>VLOOKUP(B12,'TECH 1'!A10:PB109,21,0)</f>
        <v>80th</v>
      </c>
      <c r="I16" s="67" t="str">
        <f>'TECH 1'!DY7</f>
        <v>BASIC ELECTRICITY</v>
      </c>
      <c r="J16" s="68">
        <f>VLOOKUP(J12,'TECH 1'!A10:PB109,129,0)</f>
        <v>36</v>
      </c>
      <c r="K16" s="68">
        <f>VLOOKUP(J12,'TECH 1'!A10:PB109,130,0)</f>
        <v>24</v>
      </c>
      <c r="L16" s="68">
        <f>SUM(J16:K16)</f>
        <v>60</v>
      </c>
      <c r="M16" s="68" t="str">
        <f>VLOOKUP(J12,'TECH 1'!A10:PB109,132,0)</f>
        <v>40</v>
      </c>
      <c r="N16" s="68">
        <f>L16+M16</f>
        <v>100</v>
      </c>
      <c r="O16" s="68">
        <f>N16/2</f>
        <v>50</v>
      </c>
      <c r="P16" s="66" t="str">
        <f>IF(O16&gt;=75,"A",IF(O16&gt;=60,"B",IF(O16&gt;=50,"C",IF(O16&gt;=40,"D",IF(O16&gt;=35,"E","F")))))</f>
        <v>C</v>
      </c>
      <c r="Q16" s="24" t="str">
        <f t="shared" si="1"/>
        <v>CREDIT</v>
      </c>
      <c r="R16" s="78" t="str">
        <f>VLOOKUP(J12,'TECH 1'!A10:PB109,136,0)</f>
        <v>36th</v>
      </c>
      <c r="S16" s="26" t="str">
        <f>I16</f>
        <v>BASIC ELECTRICITY</v>
      </c>
      <c r="T16" s="27">
        <f>VLOOKUP(T12,'TECH 1'!A10:PB109,276,0)</f>
        <v>0</v>
      </c>
      <c r="U16" s="27">
        <f>VLOOKUP(T12,'TECH 1'!A10:PB109,277,0)</f>
        <v>0</v>
      </c>
      <c r="V16" s="27">
        <f t="shared" si="2"/>
        <v>0</v>
      </c>
      <c r="W16" s="27" t="str">
        <f>VLOOKUP(T12,'TECH 1'!A10:PB109,279,0)</f>
        <v>58</v>
      </c>
      <c r="X16" s="27" t="str">
        <f>VLOOKUP(T12,'TECH 1'!A10:PB109,280,0)</f>
        <v>48</v>
      </c>
      <c r="Y16" s="27">
        <f t="shared" si="3"/>
        <v>106</v>
      </c>
      <c r="Z16" s="97">
        <f t="shared" si="4"/>
        <v>35.3333333333333</v>
      </c>
      <c r="AA16" s="23" t="str">
        <f t="shared" si="5"/>
        <v>E</v>
      </c>
      <c r="AB16" s="98" t="str">
        <f t="shared" si="6"/>
        <v>FAIL</v>
      </c>
      <c r="AC16" s="28" t="str">
        <f>VLOOKUP(T12,'TECH 1'!A10:PB109,284,0)</f>
        <v>29th</v>
      </c>
    </row>
    <row r="17" spans="1:29" s="5" customFormat="1" ht="24.95" customHeight="1">
      <c r="A17" s="26" t="str">
        <f>'TECH 1'!V7</f>
        <v>CABLE JOINTING</v>
      </c>
      <c r="B17" s="27">
        <f>VLOOKUP(B12,'TECH 1'!A10:PB109,22,0)</f>
        <v>29</v>
      </c>
      <c r="C17" s="27">
        <f>VLOOKUP(B12,'TECH 1'!A10:PB109,23,0)</f>
        <v>20</v>
      </c>
      <c r="D17" s="22">
        <f>SUM(B17:C17)</f>
        <v>49</v>
      </c>
      <c r="E17" s="27">
        <f>(D17*100)/100</f>
        <v>49</v>
      </c>
      <c r="F17" s="23" t="str">
        <f>IF(E17&gt;=75,"A",IF(E17&gt;=60,"B",IF(E17&gt;=50,"C",IF(E17&gt;=40,"D",IF(E17&gt;=35,"E","F")))))</f>
        <v>D</v>
      </c>
      <c r="G17" s="24" t="str">
        <f t="shared" si="0"/>
        <v>PASS</v>
      </c>
      <c r="H17" s="28" t="str">
        <f>VLOOKUP(B12,'TECH 1'!A10:PB109,27,0)</f>
        <v>71st</v>
      </c>
      <c r="I17" s="67" t="str">
        <f>A17</f>
        <v>CABLE JOINTING</v>
      </c>
      <c r="J17" s="68">
        <f>VLOOKUP(J12,'TECH 1'!A10:PB109,137,0)</f>
        <v>25</v>
      </c>
      <c r="K17" s="68">
        <f>VLOOKUP(J12,'TECH 1'!A10:PB109,138,0)</f>
        <v>42</v>
      </c>
      <c r="L17" s="68">
        <f>SUM(J17:K17)</f>
        <v>67</v>
      </c>
      <c r="M17" s="68" t="str">
        <f>VLOOKUP(J12,'TECH 1'!A10:PB109,140,0)</f>
        <v>85</v>
      </c>
      <c r="N17" s="68">
        <f>L17+M17</f>
        <v>152</v>
      </c>
      <c r="O17" s="68">
        <f>N17/2</f>
        <v>76</v>
      </c>
      <c r="P17" s="66" t="str">
        <f>IF(O17&gt;=75,"A",IF(O17&gt;=60,"B",IF(O17&gt;=50,"C",IF(O17&gt;=40,"D",IF(O17&gt;=35,"E","F")))))</f>
        <v>A</v>
      </c>
      <c r="Q17" s="24" t="str">
        <f t="shared" si="1"/>
        <v>EXCELLENT</v>
      </c>
      <c r="R17" s="78" t="str">
        <f>VLOOKUP(J12,'TECH 1'!A10:PB109,144,0)</f>
        <v>6th</v>
      </c>
      <c r="S17" s="26" t="str">
        <f>I17</f>
        <v>CABLE JOINTING</v>
      </c>
      <c r="T17" s="27">
        <f>VLOOKUP(T12,'TECH 1'!A10:PB109,285,0)</f>
        <v>0</v>
      </c>
      <c r="U17" s="27">
        <f>VLOOKUP(T12,'TECH 1'!A10:PB109,286,0)</f>
        <v>0</v>
      </c>
      <c r="V17" s="27">
        <f t="shared" si="2"/>
        <v>0</v>
      </c>
      <c r="W17" s="27" t="str">
        <f>VLOOKUP(T12,'TECH 1'!A10:PB109,288,0)</f>
        <v>60</v>
      </c>
      <c r="X17" s="27" t="str">
        <f>VLOOKUP(T12,'TECH 1'!A10:PB109,289,0)</f>
        <v>46</v>
      </c>
      <c r="Y17" s="27">
        <f t="shared" si="3"/>
        <v>106</v>
      </c>
      <c r="Z17" s="97">
        <f t="shared" si="4"/>
        <v>35.3333333333333</v>
      </c>
      <c r="AA17" s="23" t="str">
        <f t="shared" si="5"/>
        <v>E</v>
      </c>
      <c r="AB17" s="98" t="str">
        <f t="shared" si="6"/>
        <v>FAIL</v>
      </c>
      <c r="AC17" s="28" t="str">
        <f>VLOOKUP(T12,'TECH 1'!A10:PB109,293,0)</f>
        <v>53rd</v>
      </c>
    </row>
    <row r="18" spans="1:29" s="5" customFormat="1" ht="24.95" customHeight="1">
      <c r="A18" s="26" t="str">
        <f>'TECH 1'!AB7</f>
        <v>DOMESTIC INSTALLATION</v>
      </c>
      <c r="B18" s="27">
        <f>VLOOKUP(B12,'TECH 1'!A10:PB109,28,0)</f>
        <v>28</v>
      </c>
      <c r="C18" s="27">
        <f>VLOOKUP(B12,'TECH 1'!A10:PB109,29,0)</f>
        <v>6</v>
      </c>
      <c r="D18" s="22">
        <f>SUM(B18:C18)</f>
        <v>34</v>
      </c>
      <c r="E18" s="27">
        <f>(D18*100)/100</f>
        <v>34</v>
      </c>
      <c r="F18" s="23" t="str">
        <f>IF(E18&gt;=75,"A",IF(E18&gt;=60,"B",IF(E18&gt;=50,"C",IF(E18&gt;=40,"D",IF(E18&gt;=35,"E","F")))))</f>
        <v>F</v>
      </c>
      <c r="G18" s="24" t="str">
        <f t="shared" si="0"/>
        <v>FAIL</v>
      </c>
      <c r="H18" s="28" t="str">
        <f>VLOOKUP(B12,'TECH 1'!A10:PB109,33,0)</f>
        <v>85th</v>
      </c>
      <c r="I18" s="67" t="str">
        <f>A18</f>
        <v>DOMESTIC INSTALLATION</v>
      </c>
      <c r="J18" s="68">
        <f>VLOOKUP(J12,'TECH 1'!A10:PB109,145,0)</f>
        <v>37</v>
      </c>
      <c r="K18" s="68">
        <f>VLOOKUP(J12,'TECH 1'!A10:PB109,146,0)</f>
        <v>35</v>
      </c>
      <c r="L18" s="68">
        <f>SUM(J18:K18)</f>
        <v>72</v>
      </c>
      <c r="M18" s="68" t="str">
        <f>VLOOKUP(J12,'TECH 1'!A10:PB109,148,0)</f>
        <v>80</v>
      </c>
      <c r="N18" s="68">
        <f>L18+M18</f>
        <v>152</v>
      </c>
      <c r="O18" s="68">
        <f>N18/2</f>
        <v>76</v>
      </c>
      <c r="P18" s="66" t="str">
        <f>IF(O18&gt;=75,"A",IF(O18&gt;=60,"B",IF(O18&gt;=50,"C",IF(O18&gt;=40,"D",IF(O18&gt;=35,"E","F")))))</f>
        <v>A</v>
      </c>
      <c r="Q18" s="24" t="str">
        <f t="shared" si="1"/>
        <v>EXCELLENT</v>
      </c>
      <c r="R18" s="78" t="str">
        <f>VLOOKUP(J12,'TECH 1'!A10:PB109,152,0)</f>
        <v>10th</v>
      </c>
      <c r="S18" s="26" t="str">
        <f>I18</f>
        <v>DOMESTIC INSTALLATION</v>
      </c>
      <c r="T18" s="27">
        <f>VLOOKUP(T12,'TECH 1'!A10:PB109,294,0)</f>
        <v>0</v>
      </c>
      <c r="U18" s="27">
        <f>VLOOKUP(T12,'TECH 1'!A10:PB109,295,0)</f>
        <v>0</v>
      </c>
      <c r="V18" s="27">
        <f t="shared" si="2"/>
        <v>0</v>
      </c>
      <c r="W18" s="27" t="str">
        <f>VLOOKUP(T12,'TECH 1'!A10:PB109,297,0)</f>
        <v>63</v>
      </c>
      <c r="X18" s="27" t="str">
        <f>VLOOKUP(T12,'TECH 1'!A10:PB109,298,0)</f>
        <v>37</v>
      </c>
      <c r="Y18" s="27">
        <f t="shared" si="3"/>
        <v>100</v>
      </c>
      <c r="Z18" s="97">
        <f t="shared" si="4"/>
        <v>33.3333333333333</v>
      </c>
      <c r="AA18" s="23" t="str">
        <f t="shared" si="5"/>
        <v>F</v>
      </c>
      <c r="AB18" s="98" t="str">
        <f t="shared" si="6"/>
        <v>FAIL</v>
      </c>
      <c r="AC18" s="28" t="str">
        <f>VLOOKUP(T12,'TECH 1'!A10:PB109,302,0)</f>
        <v>60th</v>
      </c>
    </row>
    <row r="19" spans="1:29" s="5" customFormat="1" ht="24.95" customHeight="1">
      <c r="A19" s="26" t="str">
        <f>'TECH 1'!AT7</f>
        <v>ENGLISH  LANGUAGE</v>
      </c>
      <c r="B19" s="27">
        <f>VLOOKUP(B12,'TECH 1'!A10:PB109,46,0)</f>
        <v>24</v>
      </c>
      <c r="C19" s="27">
        <f>VLOOKUP(B12,'TECH 1'!A10:PB109,47,0)</f>
        <v>30</v>
      </c>
      <c r="D19" s="22">
        <f t="shared" ref="D19:D25" si="7">SUM(B19:C19)</f>
        <v>54</v>
      </c>
      <c r="E19" s="27">
        <f t="shared" ref="E19:E25" si="8">(D19*100)/100</f>
        <v>54</v>
      </c>
      <c r="F19" s="23" t="str">
        <f t="shared" ref="F19:F25" si="9">IF(E19&gt;=75,"A",IF(E19&gt;=60,"B",IF(E19&gt;=50,"C",IF(E19&gt;=40,"D",IF(E19&gt;=35,"E","F")))))</f>
        <v>C</v>
      </c>
      <c r="G19" s="24" t="str">
        <f t="shared" si="0"/>
        <v>CREDIT</v>
      </c>
      <c r="H19" s="28" t="str">
        <f>VLOOKUP(B12,'TECH 1'!A10:PB109,51,0)</f>
        <v>26th</v>
      </c>
      <c r="I19" s="67" t="str">
        <f t="shared" ref="I19:I25" si="10">A19</f>
        <v>ENGLISH  LANGUAGE</v>
      </c>
      <c r="J19" s="68">
        <f>VLOOKUP(J12,'TECH 1'!A10:PB109,169,0)</f>
        <v>30</v>
      </c>
      <c r="K19" s="68">
        <f>VLOOKUP(J12,'TECH 1'!A10:PB109,170,0)</f>
        <v>32</v>
      </c>
      <c r="L19" s="68">
        <f t="shared" ref="L19:L25" si="11">SUM(J19:K19)</f>
        <v>62</v>
      </c>
      <c r="M19" s="68" t="str">
        <f>VLOOKUP(J12,'TECH 1'!A10:PB109,172,0)</f>
        <v>61</v>
      </c>
      <c r="N19" s="68">
        <f t="shared" ref="N19:N25" si="12">L19+M19</f>
        <v>123</v>
      </c>
      <c r="O19" s="68">
        <f t="shared" ref="O19:O25" si="13">N19/2</f>
        <v>61.5</v>
      </c>
      <c r="P19" s="66" t="str">
        <f t="shared" ref="P19:P25" si="14">IF(O19&gt;=75,"A",IF(O19&gt;=60,"B",IF(O19&gt;=50,"C",IF(O19&gt;=40,"D",IF(O19&gt;=35,"E","F")))))</f>
        <v>B</v>
      </c>
      <c r="Q19" s="24" t="str">
        <f t="shared" si="1"/>
        <v>GOOD</v>
      </c>
      <c r="R19" s="78" t="str">
        <f>VLOOKUP(J12,'TECH 1'!A10:PB109,176,0)</f>
        <v>6th</v>
      </c>
      <c r="S19" s="26" t="e">
        <f>#REF!</f>
        <v>#REF!</v>
      </c>
      <c r="T19" s="27">
        <f>VLOOKUP(T12,'TECH 1'!A10:PB109,303,0)</f>
        <v>0</v>
      </c>
      <c r="U19" s="27">
        <f>VLOOKUP(T12,'TECH 1'!A10:PB109,304,0)</f>
        <v>0</v>
      </c>
      <c r="V19" s="27">
        <f t="shared" si="2"/>
        <v>0</v>
      </c>
      <c r="W19" s="27" t="str">
        <f>VLOOKUP(T12,'TECH 1'!A10:PB109,306,0)</f>
        <v>0</v>
      </c>
      <c r="X19" s="27" t="str">
        <f>VLOOKUP(T12,'TECH 1'!A10:PB109,307,0)</f>
        <v>0</v>
      </c>
      <c r="Y19" s="27">
        <f t="shared" si="3"/>
        <v>0</v>
      </c>
      <c r="Z19" s="97">
        <f t="shared" si="4"/>
        <v>0</v>
      </c>
      <c r="AA19" s="23" t="str">
        <f t="shared" si="5"/>
        <v>F</v>
      </c>
      <c r="AB19" s="98" t="str">
        <f t="shared" si="6"/>
        <v>FAIL</v>
      </c>
      <c r="AC19" s="28" t="str">
        <f>VLOOKUP(T12,'TECH 1'!A10:PB109,311,0)</f>
        <v>1st</v>
      </c>
    </row>
    <row r="20" spans="1:29" s="5" customFormat="1" ht="24.95" customHeight="1">
      <c r="A20" s="26" t="str">
        <f>'TECH 1'!AZ7</f>
        <v>MATHEMATICS</v>
      </c>
      <c r="B20" s="27">
        <f>VLOOKUP(B12,'TECH 1'!A10:PB109,52,0)</f>
        <v>31</v>
      </c>
      <c r="C20" s="27">
        <f>VLOOKUP(B12,'TECH 1'!A10:PB109,53,0)</f>
        <v>13</v>
      </c>
      <c r="D20" s="22">
        <f t="shared" si="7"/>
        <v>44</v>
      </c>
      <c r="E20" s="27">
        <f t="shared" si="8"/>
        <v>44</v>
      </c>
      <c r="F20" s="23" t="str">
        <f t="shared" si="9"/>
        <v>D</v>
      </c>
      <c r="G20" s="24" t="str">
        <f t="shared" si="0"/>
        <v>PASS</v>
      </c>
      <c r="H20" s="28" t="str">
        <f>VLOOKUP(B12,'TECH 1'!A10:PB109,57,0)</f>
        <v>79th</v>
      </c>
      <c r="I20" s="67" t="str">
        <f t="shared" si="10"/>
        <v>MATHEMATICS</v>
      </c>
      <c r="J20" s="68">
        <f>VLOOKUP(J12,'TECH 1'!A10:PB109,177,0)</f>
        <v>37</v>
      </c>
      <c r="K20" s="68">
        <f>VLOOKUP(J12,'TECH 1'!A10:PB109,178,0)</f>
        <v>25</v>
      </c>
      <c r="L20" s="68">
        <f t="shared" si="11"/>
        <v>62</v>
      </c>
      <c r="M20" s="68" t="str">
        <f>VLOOKUP(J12,'TECH 1'!A10:PB109,180,0)</f>
        <v>54</v>
      </c>
      <c r="N20" s="68">
        <f t="shared" si="12"/>
        <v>116</v>
      </c>
      <c r="O20" s="68">
        <f t="shared" si="13"/>
        <v>58</v>
      </c>
      <c r="P20" s="66" t="str">
        <f t="shared" si="14"/>
        <v>C</v>
      </c>
      <c r="Q20" s="24" t="str">
        <f t="shared" si="1"/>
        <v>CREDIT</v>
      </c>
      <c r="R20" s="78" t="str">
        <f>VLOOKUP(J12,'TECH 1'!A10:PB109,184,0)</f>
        <v>16th</v>
      </c>
      <c r="S20" s="26" t="e">
        <f>#REF!</f>
        <v>#REF!</v>
      </c>
      <c r="T20" s="27">
        <f>VLOOKUP(T12,'TECH 1'!A10:PB109,312,0)</f>
        <v>0</v>
      </c>
      <c r="U20" s="27">
        <f>VLOOKUP(T12,'TECH 1'!A10:PB109,313,0)</f>
        <v>0</v>
      </c>
      <c r="V20" s="27">
        <f t="shared" si="2"/>
        <v>0</v>
      </c>
      <c r="W20" s="27" t="str">
        <f>VLOOKUP(T12,'TECH 1'!A10:PB109,315,0)</f>
        <v>0</v>
      </c>
      <c r="X20" s="27" t="str">
        <f>VLOOKUP(T12,'TECH 1'!A10:PB109,316,0)</f>
        <v>0</v>
      </c>
      <c r="Y20" s="27">
        <f t="shared" si="3"/>
        <v>0</v>
      </c>
      <c r="Z20" s="97">
        <f t="shared" si="4"/>
        <v>0</v>
      </c>
      <c r="AA20" s="23" t="str">
        <f t="shared" si="5"/>
        <v>F</v>
      </c>
      <c r="AB20" s="98" t="str">
        <f t="shared" si="6"/>
        <v>FAIL</v>
      </c>
      <c r="AC20" s="28" t="str">
        <f>VLOOKUP(T12,'TECH 1'!A10:PB109,320,0)</f>
        <v>1st</v>
      </c>
    </row>
    <row r="21" spans="1:29" s="5" customFormat="1" ht="24.95" customHeight="1">
      <c r="A21" s="26" t="str">
        <f>'TECH 1'!BF7</f>
        <v>PHYSICS</v>
      </c>
      <c r="B21" s="27">
        <f>VLOOKUP(B12,'TECH 1'!A10:PB109,58,0)</f>
        <v>10</v>
      </c>
      <c r="C21" s="27">
        <f>VLOOKUP(B12,'TECH 1'!A10:PB109,59,0)</f>
        <v>17</v>
      </c>
      <c r="D21" s="22">
        <f t="shared" si="7"/>
        <v>27</v>
      </c>
      <c r="E21" s="27">
        <f t="shared" si="8"/>
        <v>27</v>
      </c>
      <c r="F21" s="23" t="str">
        <f t="shared" si="9"/>
        <v>F</v>
      </c>
      <c r="G21" s="24" t="str">
        <f t="shared" si="0"/>
        <v>FAIL</v>
      </c>
      <c r="H21" s="28" t="str">
        <f>VLOOKUP(B12,'TECH 1'!A10:PB109,63,0)</f>
        <v>74th</v>
      </c>
      <c r="I21" s="67" t="str">
        <f t="shared" si="10"/>
        <v>PHYSICS</v>
      </c>
      <c r="J21" s="68">
        <f>VLOOKUP(J12,'TECH 1'!A10:PB109,185,0)</f>
        <v>34</v>
      </c>
      <c r="K21" s="68">
        <f>VLOOKUP(J12,'TECH 1'!A10:PB109,186,0)</f>
        <v>28</v>
      </c>
      <c r="L21" s="68">
        <f t="shared" si="11"/>
        <v>62</v>
      </c>
      <c r="M21" s="68" t="str">
        <f>VLOOKUP(J12,'TECH 1'!A10:PB109,188,0)</f>
        <v>58</v>
      </c>
      <c r="N21" s="68">
        <f t="shared" si="12"/>
        <v>120</v>
      </c>
      <c r="O21" s="68">
        <f t="shared" si="13"/>
        <v>60</v>
      </c>
      <c r="P21" s="66" t="str">
        <f t="shared" si="14"/>
        <v>B</v>
      </c>
      <c r="Q21" s="24" t="str">
        <f t="shared" si="1"/>
        <v>GOOD</v>
      </c>
      <c r="R21" s="78" t="str">
        <f>VLOOKUP(J12,'TECH 1'!A10:PB109,192,0)</f>
        <v>5th</v>
      </c>
      <c r="S21" s="26" t="str">
        <f t="shared" ref="S21:S27" si="15">I19</f>
        <v>ENGLISH  LANGUAGE</v>
      </c>
      <c r="T21" s="27">
        <f>VLOOKUP(T12,'TECH 1'!A10:PB109,321,0)</f>
        <v>0</v>
      </c>
      <c r="U21" s="27">
        <f>VLOOKUP(T12,'TECH 1'!A10:PB109,322,0)</f>
        <v>0</v>
      </c>
      <c r="V21" s="27">
        <f t="shared" si="2"/>
        <v>0</v>
      </c>
      <c r="W21" s="27" t="str">
        <f>VLOOKUP(T12,'TECH 1'!A10:PB109,324,0)</f>
        <v>50</v>
      </c>
      <c r="X21" s="27" t="str">
        <f>VLOOKUP(T12,'TECH 1'!A10:PB109,325,0)</f>
        <v>50</v>
      </c>
      <c r="Y21" s="27">
        <f t="shared" si="3"/>
        <v>100</v>
      </c>
      <c r="Z21" s="97">
        <f t="shared" si="4"/>
        <v>33.3333333333333</v>
      </c>
      <c r="AA21" s="23" t="str">
        <f t="shared" si="5"/>
        <v>F</v>
      </c>
      <c r="AB21" s="98" t="str">
        <f t="shared" si="6"/>
        <v>FAIL</v>
      </c>
      <c r="AC21" s="28" t="str">
        <f>VLOOKUP(T12,'TECH 1'!A10:PB109,329,0)</f>
        <v>77th</v>
      </c>
    </row>
    <row r="22" spans="1:29" s="5" customFormat="1" ht="24.95" customHeight="1">
      <c r="A22" s="26" t="str">
        <f>'TECH 1'!BL7</f>
        <v>CHEMISTRY</v>
      </c>
      <c r="B22" s="27">
        <f>VLOOKUP(B12,'TECH 1'!A10:PB109,64,0)</f>
        <v>25</v>
      </c>
      <c r="C22" s="27">
        <f>VLOOKUP(B12,'TECH 1'!A10:PB109,65,0)</f>
        <v>28</v>
      </c>
      <c r="D22" s="22">
        <f t="shared" si="7"/>
        <v>53</v>
      </c>
      <c r="E22" s="27">
        <f t="shared" si="8"/>
        <v>53</v>
      </c>
      <c r="F22" s="23" t="str">
        <f t="shared" si="9"/>
        <v>C</v>
      </c>
      <c r="G22" s="24" t="str">
        <f t="shared" si="0"/>
        <v>CREDIT</v>
      </c>
      <c r="H22" s="28" t="str">
        <f>VLOOKUP(B12,'TECH 1'!A10:PB109,69,0)</f>
        <v>36th</v>
      </c>
      <c r="I22" s="67" t="str">
        <f t="shared" si="10"/>
        <v>CHEMISTRY</v>
      </c>
      <c r="J22" s="68">
        <f>VLOOKUP(J12,'TECH 1'!A10:PB109,193,0)</f>
        <v>26</v>
      </c>
      <c r="K22" s="68">
        <f>VLOOKUP(J12,'TECH 1'!A10:PB109,194,0)</f>
        <v>22</v>
      </c>
      <c r="L22" s="68">
        <f t="shared" si="11"/>
        <v>48</v>
      </c>
      <c r="M22" s="68" t="str">
        <f>VLOOKUP(J12,'TECH 1'!A10:PB109,196,0)</f>
        <v>50</v>
      </c>
      <c r="N22" s="68">
        <f t="shared" si="12"/>
        <v>98</v>
      </c>
      <c r="O22" s="68">
        <f t="shared" si="13"/>
        <v>49</v>
      </c>
      <c r="P22" s="66" t="str">
        <f t="shared" si="14"/>
        <v>D</v>
      </c>
      <c r="Q22" s="24" t="str">
        <f t="shared" si="1"/>
        <v>PASS</v>
      </c>
      <c r="R22" s="78" t="str">
        <f>VLOOKUP(J12,'TECH 1'!A10:PB109,200,0)</f>
        <v>31st</v>
      </c>
      <c r="S22" s="26" t="str">
        <f t="shared" si="15"/>
        <v>MATHEMATICS</v>
      </c>
      <c r="T22" s="27">
        <f>VLOOKUP(T12,'TECH 1'!A10:PB109,330,0)</f>
        <v>0</v>
      </c>
      <c r="U22" s="27">
        <f>VLOOKUP(T12,'TECH 1'!A10:PB109,331,0)</f>
        <v>0</v>
      </c>
      <c r="V22" s="27">
        <f t="shared" si="2"/>
        <v>0</v>
      </c>
      <c r="W22" s="27" t="str">
        <f>VLOOKUP(T12,'TECH 1'!A10:PB109,333,0)</f>
        <v>70</v>
      </c>
      <c r="X22" s="27" t="str">
        <f>VLOOKUP(T12,'TECH 1'!A10:PB109,334,0)</f>
        <v>49</v>
      </c>
      <c r="Y22" s="27">
        <f t="shared" si="3"/>
        <v>119</v>
      </c>
      <c r="Z22" s="97">
        <f t="shared" si="4"/>
        <v>39.6666666666667</v>
      </c>
      <c r="AA22" s="23" t="str">
        <f t="shared" si="5"/>
        <v>E</v>
      </c>
      <c r="AB22" s="98" t="str">
        <f t="shared" si="6"/>
        <v>FAIL</v>
      </c>
      <c r="AC22" s="28" t="str">
        <f>VLOOKUP(T12,'TECH 1'!A10:PB109,338,0)</f>
        <v>22nd</v>
      </c>
    </row>
    <row r="23" spans="1:29" s="5" customFormat="1" ht="24.95" customHeight="1">
      <c r="A23" s="26" t="str">
        <f>'TECH 1'!BR7</f>
        <v>I.C.T</v>
      </c>
      <c r="B23" s="27">
        <f>VLOOKUP(B12,'TECH 1'!A10:PB109,70,0)</f>
        <v>28</v>
      </c>
      <c r="C23" s="27">
        <f>VLOOKUP(B12,'TECH 1'!A10:PB109,71,0)</f>
        <v>10</v>
      </c>
      <c r="D23" s="22">
        <f t="shared" si="7"/>
        <v>38</v>
      </c>
      <c r="E23" s="27">
        <f t="shared" si="8"/>
        <v>38</v>
      </c>
      <c r="F23" s="23" t="str">
        <f t="shared" si="9"/>
        <v>E</v>
      </c>
      <c r="G23" s="24" t="str">
        <f t="shared" si="0"/>
        <v>FAIR</v>
      </c>
      <c r="H23" s="28" t="str">
        <f>VLOOKUP(B12,'TECH 1'!A10:PB109,75,0)</f>
        <v>69th</v>
      </c>
      <c r="I23" s="67" t="str">
        <f t="shared" si="10"/>
        <v>I.C.T</v>
      </c>
      <c r="J23" s="68">
        <f>VLOOKUP(J12,'TECH 1'!A10:PB109,201,0)</f>
        <v>30</v>
      </c>
      <c r="K23" s="68">
        <f>VLOOKUP(J12,'TECH 1'!A10:PB109,202,0)</f>
        <v>30</v>
      </c>
      <c r="L23" s="68">
        <f t="shared" si="11"/>
        <v>60</v>
      </c>
      <c r="M23" s="68" t="str">
        <f>VLOOKUP(J12,'TECH 1'!A10:PB109,204,0)</f>
        <v>75</v>
      </c>
      <c r="N23" s="68">
        <f t="shared" si="12"/>
        <v>135</v>
      </c>
      <c r="O23" s="68">
        <f t="shared" si="13"/>
        <v>67.5</v>
      </c>
      <c r="P23" s="66" t="str">
        <f t="shared" si="14"/>
        <v>B</v>
      </c>
      <c r="Q23" s="24" t="str">
        <f t="shared" si="1"/>
        <v>GOOD</v>
      </c>
      <c r="R23" s="78" t="str">
        <f>VLOOKUP(J12,'TECH 1'!A10:PB109,208,0)</f>
        <v>15th</v>
      </c>
      <c r="S23" s="26" t="str">
        <f t="shared" si="15"/>
        <v>PHYSICS</v>
      </c>
      <c r="T23" s="27">
        <f>VLOOKUP(T12,'TECH 1'!A10:PB109,339,0)</f>
        <v>0</v>
      </c>
      <c r="U23" s="27">
        <f>VLOOKUP(T12,'TECH 1'!A10:PB109,340,0)</f>
        <v>0</v>
      </c>
      <c r="V23" s="27">
        <f t="shared" si="2"/>
        <v>0</v>
      </c>
      <c r="W23" s="27" t="str">
        <f>VLOOKUP(T12,'TECH 1'!A10:PB109,342,0)</f>
        <v>34</v>
      </c>
      <c r="X23" s="27" t="str">
        <f>VLOOKUP(T12,'TECH 1'!A10:PB109,343,0)</f>
        <v>35</v>
      </c>
      <c r="Y23" s="27">
        <f t="shared" si="3"/>
        <v>69</v>
      </c>
      <c r="Z23" s="97">
        <f t="shared" si="4"/>
        <v>23</v>
      </c>
      <c r="AA23" s="23" t="str">
        <f t="shared" si="5"/>
        <v>F</v>
      </c>
      <c r="AB23" s="98" t="str">
        <f t="shared" si="6"/>
        <v>FAIL</v>
      </c>
      <c r="AC23" s="28" t="str">
        <f>VLOOKUP(T12,'TECH 1'!A10:PB109,347,0)</f>
        <v>62nd</v>
      </c>
    </row>
    <row r="24" spans="1:29" s="5" customFormat="1" ht="24.95" customHeight="1">
      <c r="A24" s="29" t="str">
        <f>'TECH 1'!BX7</f>
        <v>ECONOMICS</v>
      </c>
      <c r="B24" s="27">
        <f>VLOOKUP(B12,'TECH 1'!A10:PB109,76,0)</f>
        <v>28</v>
      </c>
      <c r="C24" s="27">
        <f>VLOOKUP(B12,'TECH 1'!A10:PB109,77,0)</f>
        <v>11</v>
      </c>
      <c r="D24" s="27">
        <f t="shared" si="7"/>
        <v>39</v>
      </c>
      <c r="E24" s="27">
        <f t="shared" si="8"/>
        <v>39</v>
      </c>
      <c r="F24" s="30" t="str">
        <f t="shared" si="9"/>
        <v>E</v>
      </c>
      <c r="G24" s="24" t="str">
        <f t="shared" si="0"/>
        <v>FAIR</v>
      </c>
      <c r="H24" s="31" t="str">
        <f>VLOOKUP(B12,'TECH 1'!A10:PB109,81,0)</f>
        <v>53rd</v>
      </c>
      <c r="I24" s="67" t="str">
        <f t="shared" si="10"/>
        <v>ECONOMICS</v>
      </c>
      <c r="J24" s="68">
        <f>VLOOKUP(J12,'TECH 1'!A10:PB109,209,0)</f>
        <v>30</v>
      </c>
      <c r="K24" s="68">
        <f>VLOOKUP(J12,'TECH 1'!A10:PB109,210,0)</f>
        <v>23</v>
      </c>
      <c r="L24" s="68">
        <f t="shared" si="11"/>
        <v>53</v>
      </c>
      <c r="M24" s="68" t="str">
        <f>VLOOKUP(J12,'TECH 1'!A10:PB109,212,0)</f>
        <v>45</v>
      </c>
      <c r="N24" s="68">
        <f t="shared" si="12"/>
        <v>98</v>
      </c>
      <c r="O24" s="68">
        <f t="shared" si="13"/>
        <v>49</v>
      </c>
      <c r="P24" s="66" t="str">
        <f t="shared" si="14"/>
        <v>D</v>
      </c>
      <c r="Q24" s="24" t="str">
        <f t="shared" si="1"/>
        <v>PASS</v>
      </c>
      <c r="R24" s="78" t="str">
        <f>VLOOKUP(J12,'TECH 1'!A10:PB109,216,0)</f>
        <v>11th</v>
      </c>
      <c r="S24" s="26" t="str">
        <f t="shared" si="15"/>
        <v>CHEMISTRY</v>
      </c>
      <c r="T24" s="27">
        <f>VLOOKUP(T12,'TECH 1'!A10:PB109,348,0)</f>
        <v>0</v>
      </c>
      <c r="U24" s="27">
        <f>VLOOKUP(T12,'TECH 1'!A10:PB109,349,0)</f>
        <v>0</v>
      </c>
      <c r="V24" s="27">
        <f t="shared" si="2"/>
        <v>0</v>
      </c>
      <c r="W24" s="27" t="str">
        <f>VLOOKUP(T12,'TECH 1'!A10:PB109,351,0)</f>
        <v>52</v>
      </c>
      <c r="X24" s="27" t="str">
        <f>VLOOKUP(T12,'TECH 1'!A10:PB109,352,0)</f>
        <v>40</v>
      </c>
      <c r="Y24" s="27">
        <f t="shared" si="3"/>
        <v>92</v>
      </c>
      <c r="Z24" s="97">
        <f t="shared" si="4"/>
        <v>30.6666666666667</v>
      </c>
      <c r="AA24" s="23" t="str">
        <f t="shared" si="5"/>
        <v>F</v>
      </c>
      <c r="AB24" s="98" t="str">
        <f t="shared" si="6"/>
        <v>FAIL</v>
      </c>
      <c r="AC24" s="28" t="str">
        <f>VLOOKUP(T12,'TECH 1'!A10:PB109,356,0)</f>
        <v>82nd</v>
      </c>
    </row>
    <row r="25" spans="1:29" s="5" customFormat="1" ht="24.95" customHeight="1">
      <c r="A25" s="32" t="str">
        <f>'TECH 1'!CD7</f>
        <v>ENTREPRENEURSHIP</v>
      </c>
      <c r="B25" s="33">
        <f>VLOOKUP(B12,'TECH 1'!A10:PB109,82,0)</f>
        <v>26</v>
      </c>
      <c r="C25" s="33">
        <f>VLOOKUP(B12,'TECH 1'!A10:PB109,83,0)</f>
        <v>30</v>
      </c>
      <c r="D25" s="33">
        <f t="shared" si="7"/>
        <v>56</v>
      </c>
      <c r="E25" s="33">
        <f t="shared" si="8"/>
        <v>56</v>
      </c>
      <c r="F25" s="34" t="str">
        <f t="shared" si="9"/>
        <v>C</v>
      </c>
      <c r="G25" s="24" t="str">
        <f t="shared" si="0"/>
        <v>CREDIT</v>
      </c>
      <c r="H25" s="35" t="str">
        <f>VLOOKUP(B12,'TECH 1'!A10:PB109,87,0)</f>
        <v>41st</v>
      </c>
      <c r="I25" s="67" t="str">
        <f t="shared" si="10"/>
        <v>ENTREPRENEURSHIP</v>
      </c>
      <c r="J25" s="68">
        <f>VLOOKUP(J12,'TECH 1'!A10:PB109,217,0)</f>
        <v>30</v>
      </c>
      <c r="K25" s="68">
        <f>VLOOKUP(J12,'TECH 1'!A10:PB109,218,0)</f>
        <v>45</v>
      </c>
      <c r="L25" s="68">
        <f t="shared" si="11"/>
        <v>75</v>
      </c>
      <c r="M25" s="68" t="str">
        <f>VLOOKUP(J12,'TECH 1'!A10:PB109,220,0)</f>
        <v>83</v>
      </c>
      <c r="N25" s="68">
        <f t="shared" si="12"/>
        <v>158</v>
      </c>
      <c r="O25" s="68">
        <f t="shared" si="13"/>
        <v>79</v>
      </c>
      <c r="P25" s="66" t="str">
        <f t="shared" si="14"/>
        <v>A</v>
      </c>
      <c r="Q25" s="24" t="str">
        <f t="shared" si="1"/>
        <v>EXCELLENT</v>
      </c>
      <c r="R25" s="79" t="str">
        <f>VLOOKUP(J12,'TECH 1'!A10:PB109,224,0)</f>
        <v>6th</v>
      </c>
      <c r="S25" s="26" t="str">
        <f t="shared" si="15"/>
        <v>I.C.T</v>
      </c>
      <c r="T25" s="27">
        <f>VLOOKUP(T12,'TECH 1'!A10:PB109,357,0)</f>
        <v>0</v>
      </c>
      <c r="U25" s="27">
        <f>VLOOKUP(T12,'TECH 1'!A10:PB109,358,0)</f>
        <v>0</v>
      </c>
      <c r="V25" s="27">
        <f t="shared" si="2"/>
        <v>0</v>
      </c>
      <c r="W25" s="27" t="str">
        <f>VLOOKUP(T12,'TECH 1'!A10:PB109,360,0)</f>
        <v>29</v>
      </c>
      <c r="X25" s="27" t="str">
        <f>VLOOKUP(T12,'TECH 1'!A10:PB109,361,0)</f>
        <v>54</v>
      </c>
      <c r="Y25" s="27">
        <f t="shared" si="3"/>
        <v>83</v>
      </c>
      <c r="Z25" s="97">
        <f t="shared" si="4"/>
        <v>27.6666666666667</v>
      </c>
      <c r="AA25" s="23" t="str">
        <f t="shared" si="5"/>
        <v>F</v>
      </c>
      <c r="AB25" s="98" t="str">
        <f t="shared" si="6"/>
        <v>FAIL</v>
      </c>
      <c r="AC25" s="28" t="str">
        <f>VLOOKUP(T12,'TECH 1'!A10:PB109,365,0)</f>
        <v>69th</v>
      </c>
    </row>
    <row r="26" spans="1:29" s="5" customFormat="1" ht="24.95" customHeight="1">
      <c r="C26" s="256" t="s">
        <v>219</v>
      </c>
      <c r="D26" s="256"/>
      <c r="E26" s="256"/>
      <c r="F26" s="36" t="s">
        <v>220</v>
      </c>
      <c r="G26" s="37">
        <v>2</v>
      </c>
      <c r="H26"/>
      <c r="K26" s="257" t="s">
        <v>221</v>
      </c>
      <c r="L26" s="258"/>
      <c r="M26" s="258"/>
      <c r="N26" s="258"/>
      <c r="O26" s="259"/>
      <c r="P26" s="36" t="s">
        <v>220</v>
      </c>
      <c r="Q26" s="37">
        <f>COUNTIF(Q14:Q25,"FAIL")</f>
        <v>0</v>
      </c>
      <c r="R26"/>
      <c r="S26" s="29" t="str">
        <f t="shared" si="15"/>
        <v>ECONOMICS</v>
      </c>
      <c r="T26" s="80">
        <f>VLOOKUP(T12,'TECH 1'!A10:PB109,366,0)</f>
        <v>0</v>
      </c>
      <c r="U26" s="80">
        <f>VLOOKUP(T12,'TECH 1'!A10:PB109,367,0)</f>
        <v>0</v>
      </c>
      <c r="V26" s="80">
        <f t="shared" si="2"/>
        <v>0</v>
      </c>
      <c r="W26" s="80" t="str">
        <f>VLOOKUP(T12,'TECH 1'!A10:PB109,369,0)</f>
        <v>58</v>
      </c>
      <c r="X26" s="80" t="str">
        <f>VLOOKUP(T12,'TECH 1'!A10:PB109,370,0)</f>
        <v>40</v>
      </c>
      <c r="Y26" s="80">
        <f t="shared" si="3"/>
        <v>98</v>
      </c>
      <c r="Z26" s="99">
        <f t="shared" si="4"/>
        <v>32.6666666666667</v>
      </c>
      <c r="AA26" s="30" t="str">
        <f t="shared" si="5"/>
        <v>F</v>
      </c>
      <c r="AB26" s="100" t="str">
        <f t="shared" si="6"/>
        <v>FAIL</v>
      </c>
      <c r="AC26" s="101" t="str">
        <f>VLOOKUP(T12,'TECH 1'!A10:PB109,374,0)</f>
        <v>11th</v>
      </c>
    </row>
    <row r="27" spans="1:29" s="5" customFormat="1" ht="24.95" customHeight="1">
      <c r="A27" s="38" t="s">
        <v>222</v>
      </c>
      <c r="B27" s="39"/>
      <c r="C27" s="260" t="s">
        <v>223</v>
      </c>
      <c r="D27" s="260"/>
      <c r="E27" s="260"/>
      <c r="F27" s="40" t="s">
        <v>224</v>
      </c>
      <c r="G27" s="41">
        <v>2</v>
      </c>
      <c r="H27"/>
      <c r="I27" s="38" t="s">
        <v>222</v>
      </c>
      <c r="J27" s="39"/>
      <c r="K27" s="261" t="s">
        <v>225</v>
      </c>
      <c r="L27" s="262"/>
      <c r="M27" s="262"/>
      <c r="N27" s="262"/>
      <c r="O27" s="263"/>
      <c r="P27" s="40" t="s">
        <v>224</v>
      </c>
      <c r="Q27" s="41">
        <f>COUNTIF(Q14:Q25,"FAIR")</f>
        <v>0</v>
      </c>
      <c r="R27"/>
      <c r="S27" s="81" t="str">
        <f t="shared" si="15"/>
        <v>ENTREPRENEURSHIP</v>
      </c>
      <c r="T27" s="33">
        <f>VLOOKUP(T12,'TECH 1'!A10:PB109,375,0)</f>
        <v>0</v>
      </c>
      <c r="U27" s="33">
        <f>VLOOKUP(T12,'TECH 1'!A10:PB109,376,0)</f>
        <v>0</v>
      </c>
      <c r="V27" s="33">
        <f t="shared" si="2"/>
        <v>0</v>
      </c>
      <c r="W27" s="33" t="str">
        <f>VLOOKUP(T12,'TECH 1'!A10:PB109,378,0)</f>
        <v>60</v>
      </c>
      <c r="X27" s="33" t="str">
        <f>VLOOKUP(T12,'TECH 1'!A10:PB109,379,0)</f>
        <v>71</v>
      </c>
      <c r="Y27" s="33">
        <f t="shared" si="3"/>
        <v>131</v>
      </c>
      <c r="Z27" s="33">
        <f t="shared" si="4"/>
        <v>43.6666666666667</v>
      </c>
      <c r="AA27" s="34" t="str">
        <f t="shared" si="5"/>
        <v>D</v>
      </c>
      <c r="AB27" s="102" t="str">
        <f t="shared" si="6"/>
        <v>PASS</v>
      </c>
      <c r="AC27" s="103" t="str">
        <f>VLOOKUP(T12,'TECH 1'!A10:PB109,383,0)</f>
        <v>45th</v>
      </c>
    </row>
    <row r="28" spans="1:29" s="5" customFormat="1" ht="24.95" customHeight="1">
      <c r="A28" s="42" t="s">
        <v>226</v>
      </c>
      <c r="B28" s="43">
        <f>SUM(E14:E25)</f>
        <v>540</v>
      </c>
      <c r="C28" s="260" t="s">
        <v>227</v>
      </c>
      <c r="D28" s="260"/>
      <c r="E28" s="260"/>
      <c r="F28" s="40" t="s">
        <v>228</v>
      </c>
      <c r="G28" s="41">
        <v>4</v>
      </c>
      <c r="H28"/>
      <c r="I28" s="42" t="s">
        <v>226</v>
      </c>
      <c r="J28" s="43">
        <f>SUM(O14:O25)</f>
        <v>750</v>
      </c>
      <c r="K28" s="264" t="s">
        <v>229</v>
      </c>
      <c r="L28" s="265"/>
      <c r="M28" s="265"/>
      <c r="N28" s="265"/>
      <c r="O28" s="266"/>
      <c r="P28" s="40" t="s">
        <v>228</v>
      </c>
      <c r="Q28" s="41">
        <f>COUNTIF(Q14:Q25,"PASS")</f>
        <v>2</v>
      </c>
      <c r="S28" s="82"/>
      <c r="T28" s="82"/>
      <c r="U28" s="82"/>
      <c r="V28" s="83"/>
      <c r="W28" s="84" t="s">
        <v>230</v>
      </c>
      <c r="X28" s="85"/>
      <c r="Y28" s="104"/>
      <c r="AA28" s="105"/>
      <c r="AB28" s="106">
        <f>COUNTIF(AB14:AB27,"FAIL")</f>
        <v>12</v>
      </c>
      <c r="AC28"/>
    </row>
    <row r="29" spans="1:29" s="5" customFormat="1" ht="24.95" customHeight="1">
      <c r="A29" s="44" t="s">
        <v>231</v>
      </c>
      <c r="B29" s="45">
        <v>1300</v>
      </c>
      <c r="C29" s="260" t="s">
        <v>232</v>
      </c>
      <c r="D29" s="260"/>
      <c r="E29" s="260"/>
      <c r="F29" s="46" t="s">
        <v>233</v>
      </c>
      <c r="G29" s="47">
        <v>3</v>
      </c>
      <c r="I29" s="44" t="s">
        <v>231</v>
      </c>
      <c r="J29" s="45">
        <v>1200</v>
      </c>
      <c r="K29" s="264" t="s">
        <v>234</v>
      </c>
      <c r="L29" s="265"/>
      <c r="M29" s="265"/>
      <c r="N29" s="265"/>
      <c r="O29" s="266"/>
      <c r="P29" s="46" t="s">
        <v>233</v>
      </c>
      <c r="Q29" s="47">
        <f>COUNTIF(Q14:Q25,"CREDIT")</f>
        <v>3</v>
      </c>
      <c r="R29"/>
      <c r="S29" s="267" t="s">
        <v>222</v>
      </c>
      <c r="T29" s="268"/>
      <c r="U29" s="269"/>
      <c r="V29" s="83"/>
      <c r="W29" s="270" t="s">
        <v>235</v>
      </c>
      <c r="X29" s="271"/>
      <c r="Y29" s="272"/>
      <c r="Z29" s="107"/>
      <c r="AA29" s="108"/>
      <c r="AB29" s="109">
        <f>COUNTIF(AB14:AB27,"PASS")</f>
        <v>2</v>
      </c>
      <c r="AC29"/>
    </row>
    <row r="30" spans="1:29" s="5" customFormat="1" ht="24.95" customHeight="1">
      <c r="A30" s="42" t="s">
        <v>236</v>
      </c>
      <c r="B30" s="48">
        <f>B28/12</f>
        <v>45</v>
      </c>
      <c r="C30" s="260" t="s">
        <v>237</v>
      </c>
      <c r="D30" s="260"/>
      <c r="E30" s="260"/>
      <c r="F30" s="49" t="s">
        <v>238</v>
      </c>
      <c r="G30" s="50">
        <v>1</v>
      </c>
      <c r="H30"/>
      <c r="I30" s="42" t="s">
        <v>236</v>
      </c>
      <c r="J30" s="48">
        <f>J28/12</f>
        <v>62.5</v>
      </c>
      <c r="K30" s="264" t="s">
        <v>239</v>
      </c>
      <c r="L30" s="265"/>
      <c r="M30" s="265"/>
      <c r="N30" s="265"/>
      <c r="O30" s="266"/>
      <c r="P30" s="49" t="s">
        <v>238</v>
      </c>
      <c r="Q30" s="50">
        <f>COUNTIF(Q14:Q25,"GOOD")</f>
        <v>3</v>
      </c>
      <c r="S30" s="42" t="s">
        <v>226</v>
      </c>
      <c r="T30" s="86">
        <f>SUM(Z14:Z26)</f>
        <v>367.33333333333297</v>
      </c>
      <c r="U30" s="87"/>
      <c r="V30" s="83"/>
      <c r="W30" s="270" t="s">
        <v>240</v>
      </c>
      <c r="X30" s="271"/>
      <c r="Y30" s="272"/>
      <c r="Z30" s="107"/>
      <c r="AA30" s="110"/>
      <c r="AB30" s="111">
        <f>COUNTIF(AB14:AB27,"CREDIT")</f>
        <v>0</v>
      </c>
      <c r="AC30"/>
    </row>
    <row r="31" spans="1:29" s="5" customFormat="1" ht="24.95" customHeight="1">
      <c r="A31" s="51"/>
      <c r="B31" s="52"/>
      <c r="C31" s="260" t="s">
        <v>241</v>
      </c>
      <c r="D31" s="260"/>
      <c r="E31" s="260"/>
      <c r="F31" s="49" t="s">
        <v>238</v>
      </c>
      <c r="G31" s="50">
        <v>1</v>
      </c>
      <c r="H31"/>
      <c r="I31" s="51"/>
      <c r="J31" s="52"/>
      <c r="K31" s="264" t="s">
        <v>241</v>
      </c>
      <c r="L31" s="265"/>
      <c r="M31" s="265"/>
      <c r="N31" s="265"/>
      <c r="O31" s="266"/>
      <c r="P31" s="49" t="s">
        <v>238</v>
      </c>
      <c r="Q31" s="50">
        <f>COUNTIF(Q14:Q25,"VERY GOOD")</f>
        <v>1</v>
      </c>
      <c r="S31" s="44" t="s">
        <v>231</v>
      </c>
      <c r="T31" s="88">
        <v>1300</v>
      </c>
      <c r="U31" s="89"/>
      <c r="V31" s="83"/>
      <c r="W31" s="270" t="s">
        <v>242</v>
      </c>
      <c r="X31" s="271"/>
      <c r="Y31" s="272"/>
      <c r="Z31" s="107"/>
      <c r="AA31" s="112"/>
      <c r="AB31" s="113">
        <f>COUNTIF(AB14:AB27,"GOOD")</f>
        <v>0</v>
      </c>
      <c r="AC31"/>
    </row>
    <row r="32" spans="1:29" s="5" customFormat="1" ht="27.95" customHeight="1">
      <c r="C32" s="273" t="s">
        <v>243</v>
      </c>
      <c r="D32" s="273"/>
      <c r="E32" s="273"/>
      <c r="F32" s="53" t="s">
        <v>244</v>
      </c>
      <c r="G32" s="54">
        <v>0</v>
      </c>
      <c r="K32" s="274" t="s">
        <v>243</v>
      </c>
      <c r="L32" s="275"/>
      <c r="M32" s="275"/>
      <c r="N32" s="275"/>
      <c r="O32" s="276"/>
      <c r="P32" s="53" t="s">
        <v>244</v>
      </c>
      <c r="Q32" s="54">
        <f>COUNTIF(Q14:Q25,"EXCELLENT")</f>
        <v>3</v>
      </c>
      <c r="AC32"/>
    </row>
    <row r="33" spans="1:29" s="5" customFormat="1" ht="44.1" customHeight="1">
      <c r="A33" s="55" t="s">
        <v>245</v>
      </c>
      <c r="C33" s="277" t="s">
        <v>246</v>
      </c>
      <c r="D33" s="277"/>
      <c r="E33" s="277"/>
      <c r="F33" s="277"/>
      <c r="G33" s="277"/>
      <c r="R33"/>
      <c r="AC33"/>
    </row>
    <row r="34" spans="1:29" s="5" customFormat="1" ht="29.1" customHeight="1">
      <c r="C34"/>
      <c r="D34"/>
      <c r="E34"/>
      <c r="F34"/>
      <c r="G34"/>
      <c r="I34" s="55" t="s">
        <v>245</v>
      </c>
      <c r="K34" s="277" t="s">
        <v>246</v>
      </c>
      <c r="L34" s="277"/>
      <c r="M34" s="277"/>
      <c r="N34" s="277"/>
      <c r="O34" s="277"/>
      <c r="R34"/>
    </row>
    <row r="35" spans="1:29" s="5" customFormat="1" ht="39" customHeight="1">
      <c r="A35" s="55" t="s">
        <v>247</v>
      </c>
      <c r="C35" s="278" t="s">
        <v>248</v>
      </c>
      <c r="D35" s="278"/>
      <c r="E35" s="278"/>
      <c r="F35" s="278"/>
      <c r="G35" s="278"/>
      <c r="R35" s="90"/>
      <c r="S35" s="55" t="s">
        <v>245</v>
      </c>
      <c r="U35" s="277"/>
      <c r="V35" s="277"/>
      <c r="W35" s="277"/>
      <c r="X35" s="277"/>
      <c r="Y35" s="277"/>
    </row>
    <row r="36" spans="1:29" s="5" customFormat="1" ht="24.95" customHeight="1">
      <c r="C36" s="56"/>
      <c r="D36" s="56"/>
      <c r="E36" s="56"/>
      <c r="F36" s="56"/>
      <c r="G36" s="56"/>
      <c r="I36" s="55" t="s">
        <v>247</v>
      </c>
      <c r="K36" s="278" t="s">
        <v>261</v>
      </c>
      <c r="L36" s="278"/>
      <c r="M36" s="278"/>
      <c r="N36" s="278"/>
      <c r="O36" s="278"/>
      <c r="P36" s="55"/>
      <c r="Q36" s="55"/>
      <c r="R36" s="55"/>
      <c r="S36" s="55" t="s">
        <v>247</v>
      </c>
      <c r="U36" s="277"/>
      <c r="V36" s="277"/>
      <c r="W36" s="277"/>
      <c r="X36" s="277"/>
      <c r="Y36" s="277"/>
      <c r="Z36" s="94"/>
      <c r="AA36" s="94"/>
      <c r="AB36" s="94"/>
    </row>
    <row r="37" spans="1:29" s="5" customFormat="1" ht="45" customHeight="1">
      <c r="A37" s="279" t="s">
        <v>249</v>
      </c>
      <c r="B37" s="279"/>
      <c r="C37" s="278" t="s">
        <v>248</v>
      </c>
      <c r="D37" s="278"/>
      <c r="E37" s="278"/>
      <c r="F37" s="278"/>
      <c r="G37" s="278"/>
      <c r="I37" s="280"/>
      <c r="J37" s="280"/>
      <c r="K37" s="278"/>
      <c r="L37" s="278"/>
      <c r="M37" s="278"/>
      <c r="N37" s="278"/>
      <c r="O37" s="278"/>
      <c r="S37" s="280"/>
      <c r="T37" s="280"/>
      <c r="U37" s="91"/>
      <c r="V37" s="91"/>
      <c r="W37" s="91"/>
      <c r="X37" s="91"/>
      <c r="Y37" s="91"/>
      <c r="Z37" s="82"/>
      <c r="AA37" s="82"/>
      <c r="AB37" s="82"/>
    </row>
    <row r="38" spans="1:29" s="5" customFormat="1" ht="20.100000000000001" customHeight="1">
      <c r="R38" s="92"/>
      <c r="Z38" s="82"/>
      <c r="AA38" s="82"/>
      <c r="AB38" s="82"/>
    </row>
    <row r="39" spans="1:29" s="5" customFormat="1" ht="72" customHeight="1">
      <c r="I39" s="279" t="s">
        <v>249</v>
      </c>
      <c r="J39" s="279"/>
      <c r="K39" s="278" t="s">
        <v>261</v>
      </c>
      <c r="L39" s="278"/>
      <c r="M39" s="278"/>
      <c r="N39" s="278"/>
      <c r="O39" s="278"/>
      <c r="S39" s="279" t="s">
        <v>249</v>
      </c>
      <c r="T39" s="279"/>
      <c r="U39" s="277"/>
      <c r="V39" s="277"/>
      <c r="W39" s="277"/>
      <c r="X39" s="277"/>
      <c r="Y39" s="277"/>
      <c r="Z39" s="82"/>
      <c r="AA39" s="82"/>
      <c r="AB39" s="82"/>
    </row>
    <row r="40" spans="1:29" s="5" customFormat="1" ht="20.100000000000001" customHeight="1">
      <c r="A40"/>
      <c r="B40"/>
      <c r="C40"/>
      <c r="D40"/>
      <c r="E40"/>
      <c r="F40"/>
      <c r="G40"/>
      <c r="H40"/>
      <c r="Z40" s="82"/>
      <c r="AA40" s="82"/>
      <c r="AB40" s="82"/>
    </row>
    <row r="41" spans="1:29" s="5" customFormat="1" ht="20.100000000000001" customHeight="1">
      <c r="A41"/>
      <c r="B41"/>
      <c r="C41"/>
      <c r="D41"/>
      <c r="E41"/>
      <c r="F41"/>
      <c r="G41"/>
      <c r="H41"/>
      <c r="T41" s="45"/>
      <c r="V41" s="93"/>
      <c r="W41" s="93"/>
      <c r="X41" s="281"/>
      <c r="Y41" s="281"/>
      <c r="Z41" s="82"/>
      <c r="AA41" s="82"/>
      <c r="AB41" s="82"/>
    </row>
    <row r="43" spans="1:29" ht="21">
      <c r="A43" s="5"/>
      <c r="B43" s="5"/>
      <c r="C43" s="5"/>
      <c r="D43" s="5"/>
      <c r="E43" s="5"/>
      <c r="F43" s="5"/>
      <c r="G43" s="5"/>
      <c r="H43" s="5"/>
    </row>
    <row r="44" spans="1:29" ht="21">
      <c r="A44" s="5"/>
      <c r="B44" s="5"/>
      <c r="H44" s="5"/>
    </row>
    <row r="45" spans="1:29" s="5" customFormat="1" ht="20.100000000000001" customHeight="1">
      <c r="C45"/>
      <c r="D45"/>
      <c r="E45"/>
      <c r="F45"/>
      <c r="G45"/>
      <c r="L45" s="282"/>
      <c r="M45" s="282"/>
      <c r="T45" s="45"/>
      <c r="V45" s="93"/>
      <c r="W45" s="93"/>
      <c r="X45" s="281"/>
      <c r="Y45" s="281"/>
      <c r="Z45" s="82"/>
      <c r="AA45" s="82"/>
      <c r="AB45" s="82"/>
    </row>
    <row r="46" spans="1:29" s="5" customFormat="1" ht="20.100000000000001" customHeight="1">
      <c r="L46" s="282"/>
      <c r="M46" s="282"/>
      <c r="T46" s="45"/>
      <c r="V46" s="93"/>
      <c r="W46" s="93"/>
      <c r="X46" s="281"/>
      <c r="Y46" s="281"/>
      <c r="Z46" s="82"/>
      <c r="AA46" s="82"/>
      <c r="AB46" s="82"/>
    </row>
    <row r="47" spans="1:29" s="5" customFormat="1" ht="20.100000000000001" customHeight="1">
      <c r="T47" s="45"/>
      <c r="V47" s="82"/>
      <c r="W47" s="82"/>
      <c r="X47" s="82"/>
      <c r="Y47" s="82"/>
      <c r="Z47" s="82"/>
      <c r="AA47" s="82"/>
      <c r="AB47" s="82"/>
    </row>
    <row r="48" spans="1:29" s="5" customFormat="1" ht="20.100000000000001" customHeight="1">
      <c r="T48" s="45"/>
      <c r="V48" s="82"/>
      <c r="W48" s="82"/>
      <c r="X48" s="82"/>
      <c r="Y48" s="82"/>
      <c r="Z48" s="82"/>
      <c r="AA48" s="82"/>
      <c r="AB48" s="82"/>
    </row>
    <row r="49" spans="1:28" s="5" customFormat="1" ht="20.100000000000001" customHeight="1">
      <c r="T49" s="45"/>
      <c r="V49" s="82"/>
      <c r="W49" s="82"/>
      <c r="X49" s="82"/>
      <c r="Y49" s="82"/>
      <c r="Z49" s="82"/>
      <c r="AA49" s="82"/>
      <c r="AB49" s="82"/>
    </row>
    <row r="50" spans="1:28" s="5" customFormat="1" ht="20.100000000000001" customHeight="1">
      <c r="T50" s="45"/>
      <c r="V50" s="82"/>
      <c r="W50" s="82"/>
      <c r="X50" s="82"/>
      <c r="Y50" s="82"/>
      <c r="Z50" s="82"/>
      <c r="AA50" s="82"/>
      <c r="AB50" s="82"/>
    </row>
    <row r="51" spans="1:28" s="5" customFormat="1" ht="20.100000000000001" customHeight="1">
      <c r="C51" s="57"/>
      <c r="D51" s="57"/>
      <c r="E51" s="57"/>
      <c r="F51" s="57"/>
      <c r="G51" s="57"/>
      <c r="H51" s="57"/>
      <c r="T51" s="45"/>
      <c r="V51" s="82"/>
      <c r="W51" s="82"/>
      <c r="X51" s="82"/>
      <c r="Y51" s="82"/>
      <c r="Z51" s="82"/>
      <c r="AA51" s="82"/>
      <c r="AB51" s="82"/>
    </row>
    <row r="52" spans="1:28" s="5" customFormat="1" ht="20.100000000000001" customHeight="1">
      <c r="A52"/>
      <c r="B52"/>
      <c r="C52" s="56"/>
      <c r="D52" s="56"/>
      <c r="E52" s="56"/>
      <c r="F52" s="56"/>
      <c r="G52" s="56"/>
      <c r="H52" s="58"/>
      <c r="T52" s="45"/>
      <c r="V52" s="82"/>
      <c r="W52" s="82"/>
      <c r="X52" s="82"/>
      <c r="Y52" s="82"/>
      <c r="Z52" s="82"/>
      <c r="AA52" s="82"/>
      <c r="AB52" s="82"/>
    </row>
    <row r="53" spans="1:28" s="5" customFormat="1" ht="20.100000000000001" customHeight="1">
      <c r="A53"/>
      <c r="B53"/>
      <c r="C53"/>
      <c r="D53"/>
      <c r="E53"/>
      <c r="F53"/>
      <c r="G53"/>
      <c r="H53" s="58"/>
      <c r="J53" s="69"/>
      <c r="K53" s="57"/>
      <c r="M53" s="57"/>
      <c r="N53" s="57"/>
      <c r="O53" s="57"/>
      <c r="P53" s="57"/>
      <c r="Q53" s="57"/>
      <c r="R53" s="57"/>
      <c r="T53" s="45"/>
      <c r="U53" s="57"/>
      <c r="V53" s="94"/>
      <c r="W53" s="94"/>
      <c r="X53" s="94"/>
      <c r="Y53" s="94"/>
      <c r="Z53" s="94"/>
      <c r="AA53" s="94"/>
      <c r="AB53" s="94"/>
    </row>
    <row r="54" spans="1:28" ht="18.95" customHeight="1">
      <c r="I54" s="5"/>
      <c r="J54" s="69"/>
      <c r="K54" s="57"/>
      <c r="M54" s="56"/>
      <c r="N54" s="56"/>
      <c r="O54" s="56"/>
      <c r="P54" s="56"/>
      <c r="Q54" s="56"/>
      <c r="R54" s="58"/>
      <c r="S54" s="5"/>
      <c r="T54" s="45"/>
      <c r="U54" s="57"/>
      <c r="V54" s="82"/>
      <c r="W54" s="82"/>
      <c r="X54" s="82"/>
      <c r="Y54" s="83"/>
      <c r="Z54" s="83"/>
      <c r="AA54" s="83"/>
      <c r="AB54" s="83"/>
    </row>
  </sheetData>
  <mergeCells count="50">
    <mergeCell ref="U39:Y39"/>
    <mergeCell ref="X41:Y41"/>
    <mergeCell ref="L45:M45"/>
    <mergeCell ref="X45:Y45"/>
    <mergeCell ref="L46:M46"/>
    <mergeCell ref="X46:Y46"/>
    <mergeCell ref="A37:B37"/>
    <mergeCell ref="C37:G37"/>
    <mergeCell ref="I37:J37"/>
    <mergeCell ref="S37:T37"/>
    <mergeCell ref="I39:J39"/>
    <mergeCell ref="K39:O39"/>
    <mergeCell ref="S39:T39"/>
    <mergeCell ref="K36:O37"/>
    <mergeCell ref="C33:G33"/>
    <mergeCell ref="K34:O34"/>
    <mergeCell ref="C35:G35"/>
    <mergeCell ref="U35:Y35"/>
    <mergeCell ref="U36:Y36"/>
    <mergeCell ref="C31:E31"/>
    <mergeCell ref="K31:O31"/>
    <mergeCell ref="W31:Y31"/>
    <mergeCell ref="C32:E32"/>
    <mergeCell ref="K32:O32"/>
    <mergeCell ref="S29:U29"/>
    <mergeCell ref="W29:Y29"/>
    <mergeCell ref="C30:E30"/>
    <mergeCell ref="K30:O30"/>
    <mergeCell ref="W30:Y30"/>
    <mergeCell ref="C27:E27"/>
    <mergeCell ref="K27:O27"/>
    <mergeCell ref="C28:E28"/>
    <mergeCell ref="K28:O28"/>
    <mergeCell ref="C29:E29"/>
    <mergeCell ref="K29:O29"/>
    <mergeCell ref="A3:H3"/>
    <mergeCell ref="I3:R3"/>
    <mergeCell ref="S3:AB3"/>
    <mergeCell ref="D10:E10"/>
    <mergeCell ref="C26:E26"/>
    <mergeCell ref="K26:O26"/>
    <mergeCell ref="A6:F7"/>
    <mergeCell ref="I6:M7"/>
    <mergeCell ref="S6:W7"/>
    <mergeCell ref="A1:H1"/>
    <mergeCell ref="I1:R1"/>
    <mergeCell ref="S1:AB1"/>
    <mergeCell ref="A2:H2"/>
    <mergeCell ref="I2:R2"/>
    <mergeCell ref="S2:AB2"/>
  </mergeCells>
  <conditionalFormatting sqref="G14:G25">
    <cfRule type="containsText" dxfId="32" priority="56" operator="containsText" text="EXCELLENT">
      <formula>NOT(ISERROR(SEARCH("EXCELLENT",G14)))</formula>
    </cfRule>
    <cfRule type="containsText" dxfId="31" priority="50" operator="containsText" text="GOOD">
      <formula>NOT(ISERROR(SEARCH("GOOD",G14)))</formula>
    </cfRule>
    <cfRule type="containsText" dxfId="30" priority="49" operator="containsText" text="POOR">
      <formula>NOT(ISERROR(SEARCH("POOR",G14)))</formula>
    </cfRule>
    <cfRule type="containsText" dxfId="29" priority="32" operator="containsText" text="FAIL">
      <formula>NOT(ISERROR(SEARCH("FAIL",G14)))</formula>
    </cfRule>
    <cfRule type="containsText" dxfId="28" priority="31" operator="containsText" text="CREDIT">
      <formula>NOT(ISERROR(SEARCH("CREDIT",G14)))</formula>
    </cfRule>
    <cfRule type="containsText" dxfId="27" priority="30" operator="containsText" text="PASS">
      <formula>NOT(ISERROR(SEARCH("PASS",G14)))</formula>
    </cfRule>
    <cfRule type="containsText" dxfId="26" priority="51" operator="containsText" text="FAIL">
      <formula>NOT(ISERROR(SEARCH("FAIL",G14)))</formula>
    </cfRule>
    <cfRule type="containsText" dxfId="25" priority="52" operator="containsText" text="PASS">
      <formula>NOT(ISERROR(SEARCH("PASS",G14)))</formula>
    </cfRule>
    <cfRule type="containsText" dxfId="24" priority="53" operator="containsText" text="FAIR">
      <formula>NOT(ISERROR(SEARCH("FAIR",G14)))</formula>
    </cfRule>
    <cfRule type="containsText" dxfId="23" priority="54" operator="containsText" text="GOOD">
      <formula>NOT(ISERROR(SEARCH("GOOD",G14)))</formula>
    </cfRule>
    <cfRule type="containsText" dxfId="22" priority="55" operator="containsText" text="VERY GOOD">
      <formula>NOT(ISERROR(SEARCH("VERY GOOD",G14)))</formula>
    </cfRule>
  </conditionalFormatting>
  <conditionalFormatting sqref="Q14:Q25">
    <cfRule type="containsText" dxfId="21" priority="7" operator="containsText" text="PASS">
      <formula>NOT(ISERROR(SEARCH("PASS",Q14)))</formula>
    </cfRule>
    <cfRule type="containsText" dxfId="20" priority="8" operator="containsText" text="FAIR">
      <formula>NOT(ISERROR(SEARCH("FAIR",Q14)))</formula>
    </cfRule>
    <cfRule type="containsText" dxfId="19" priority="9" operator="containsText" text="GOOD">
      <formula>NOT(ISERROR(SEARCH("GOOD",Q14)))</formula>
    </cfRule>
    <cfRule type="containsText" dxfId="18" priority="10" operator="containsText" text="VERY GOOD">
      <formula>NOT(ISERROR(SEARCH("VERY GOOD",Q14)))</formula>
    </cfRule>
    <cfRule type="containsText" dxfId="17" priority="11" operator="containsText" text="EXCELLENT">
      <formula>NOT(ISERROR(SEARCH("EXCELLENT",Q14)))</formula>
    </cfRule>
    <cfRule type="containsText" dxfId="16" priority="1" operator="containsText" text="PASS">
      <formula>NOT(ISERROR(SEARCH("PASS",Q14)))</formula>
    </cfRule>
    <cfRule type="containsText" dxfId="15" priority="2" operator="containsText" text="CREDIT">
      <formula>NOT(ISERROR(SEARCH("CREDIT",Q14)))</formula>
    </cfRule>
    <cfRule type="containsText" dxfId="14" priority="3" operator="containsText" text="FAIL">
      <formula>NOT(ISERROR(SEARCH("FAIL",Q14)))</formula>
    </cfRule>
    <cfRule type="containsText" dxfId="13" priority="4" operator="containsText" text="POOR">
      <formula>NOT(ISERROR(SEARCH("POOR",Q14)))</formula>
    </cfRule>
    <cfRule type="containsText" dxfId="12" priority="5" operator="containsText" text="GOOD">
      <formula>NOT(ISERROR(SEARCH("GOOD",Q14)))</formula>
    </cfRule>
    <cfRule type="containsText" dxfId="11" priority="6" operator="containsText" text="FAIL">
      <formula>NOT(ISERROR(SEARCH("FAIL",Q14)))</formula>
    </cfRule>
  </conditionalFormatting>
  <conditionalFormatting sqref="AB14:AB27">
    <cfRule type="containsText" dxfId="10" priority="23" operator="containsText" text="GOOD">
      <formula>NOT(ISERROR(SEARCH("GOOD",AB14)))</formula>
    </cfRule>
    <cfRule type="containsText" dxfId="9" priority="22" operator="containsText" text="POOR">
      <formula>NOT(ISERROR(SEARCH("POOR",AB14)))</formula>
    </cfRule>
    <cfRule type="containsText" dxfId="8" priority="16" operator="containsText" text="PASS">
      <formula>NOT(ISERROR(SEARCH("PASS",AB14)))</formula>
    </cfRule>
    <cfRule type="containsText" dxfId="7" priority="15" operator="containsText" text="CREDIT">
      <formula>NOT(ISERROR(SEARCH("CREDIT",AB14)))</formula>
    </cfRule>
    <cfRule type="containsText" dxfId="6" priority="13" operator="containsText" text="GOOD">
      <formula>NOT(ISERROR(SEARCH("GOOD",AB14)))</formula>
    </cfRule>
    <cfRule type="containsText" dxfId="5" priority="25" operator="containsText" text="PASS">
      <formula>NOT(ISERROR(SEARCH("PASS",AB14)))</formula>
    </cfRule>
    <cfRule type="containsText" dxfId="4" priority="26" operator="containsText" text="FAIR">
      <formula>NOT(ISERROR(SEARCH("FAIR",AB14)))</formula>
    </cfRule>
    <cfRule type="containsText" dxfId="3" priority="27" operator="containsText" text="GOOD">
      <formula>NOT(ISERROR(SEARCH("GOOD",AB14)))</formula>
    </cfRule>
    <cfRule type="containsText" dxfId="2" priority="28" operator="containsText" text="VERY GOOD">
      <formula>NOT(ISERROR(SEARCH("VERY GOOD",AB14)))</formula>
    </cfRule>
    <cfRule type="containsText" dxfId="1" priority="29" operator="containsText" text="EXCELLENT">
      <formula>NOT(ISERROR(SEARCH("EXCELLENT",AB14)))</formula>
    </cfRule>
    <cfRule type="containsText" dxfId="0" priority="24" operator="containsText" text="FAIL">
      <formula>NOT(ISERROR(SEARCH("FAIL",AB14)))</formula>
    </cfRule>
  </conditionalFormatting>
  <pageMargins left="0.27500000000000002" right="0.27500000000000002" top="0.43263888888888902" bottom="0.118055555555556" header="0.3" footer="0.3"/>
  <pageSetup paperSize="9" scale="57" orientation="portrait" r:id="rId1"/>
  <colBreaks count="2" manualBreakCount="2">
    <brk id="8" max="53" man="1"/>
    <brk id="18" max="5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'TECH 1'!$A$10:$A$109</xm:f>
          </x14:formula1>
          <xm:sqref>B12 J12 T12</xm:sqref>
        </x14:dataValidation>
        <x14:dataValidation type="list" allowBlank="1" showInputMessage="1" showErrorMessage="1" xr:uid="{00000000-0002-0000-0100-000001000000}">
          <x14:formula1>
            <xm:f>Sheet1!$A$2:$A$32</xm:f>
          </x14:formula1>
          <xm:sqref>C33:G33 U39:Y39 U35:Y36</xm:sqref>
        </x14:dataValidation>
        <x14:dataValidation type="list" allowBlank="1" showInputMessage="1" showErrorMessage="1" xr:uid="{00000000-0002-0000-0100-000002000000}">
          <x14:formula1>
            <xm:f>Sheet1!$A$3:$A$99</xm:f>
          </x14:formula1>
          <xm:sqref>K34:O34</xm:sqref>
        </x14:dataValidation>
        <x14:dataValidation type="list" allowBlank="1" showInputMessage="1" showErrorMessage="1" xr:uid="{00000000-0002-0000-0100-000003000000}">
          <x14:formula1>
            <xm:f>Sheet1!$E$2:$E$9</xm:f>
          </x14:formula1>
          <xm:sqref>C35:G35 C37:G37</xm:sqref>
        </x14:dataValidation>
        <x14:dataValidation type="list" allowBlank="1" showInputMessage="1" showErrorMessage="1" xr:uid="{00000000-0002-0000-0100-000004000000}">
          <x14:formula1>
            <xm:f>Sheet1!$E$3:$E$8</xm:f>
          </x14:formula1>
          <xm:sqref>K39:O39 K36:O37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80"/>
  <sheetViews>
    <sheetView workbookViewId="0">
      <selection activeCell="C33" sqref="C33:G33 C35:G35 C37:G37 K39:O39 U39:Y39 K35:O36 U35:Y36"/>
    </sheetView>
  </sheetViews>
  <sheetFormatPr defaultColWidth="9.140625" defaultRowHeight="15"/>
  <cols>
    <col min="1" max="1" width="75.140625" customWidth="1"/>
    <col min="5" max="5" width="60.28515625" customWidth="1"/>
  </cols>
  <sheetData>
    <row r="1" spans="1:5" ht="18" customHeight="1">
      <c r="A1" s="1" t="s">
        <v>250</v>
      </c>
      <c r="E1" s="1" t="s">
        <v>251</v>
      </c>
    </row>
    <row r="2" spans="1:5" ht="18" customHeight="1"/>
    <row r="3" spans="1:5" ht="18" customHeight="1">
      <c r="A3" t="s">
        <v>246</v>
      </c>
      <c r="E3" t="s">
        <v>252</v>
      </c>
    </row>
    <row r="4" spans="1:5" ht="18" customHeight="1">
      <c r="A4" t="s">
        <v>253</v>
      </c>
      <c r="E4" t="s">
        <v>254</v>
      </c>
    </row>
    <row r="5" spans="1:5" ht="18" customHeight="1">
      <c r="A5" s="2" t="s">
        <v>255</v>
      </c>
      <c r="E5" s="3" t="s">
        <v>256</v>
      </c>
    </row>
    <row r="6" spans="1:5" ht="18" customHeight="1">
      <c r="A6" s="2" t="s">
        <v>257</v>
      </c>
      <c r="E6" s="3" t="s">
        <v>248</v>
      </c>
    </row>
    <row r="7" spans="1:5" ht="18" customHeight="1">
      <c r="A7" s="2" t="s">
        <v>258</v>
      </c>
      <c r="E7" s="3" t="s">
        <v>259</v>
      </c>
    </row>
    <row r="8" spans="1:5" ht="18" customHeight="1">
      <c r="A8" s="2" t="s">
        <v>260</v>
      </c>
      <c r="E8" t="s">
        <v>261</v>
      </c>
    </row>
    <row r="9" spans="1:5" ht="18" customHeight="1">
      <c r="A9" s="2" t="s">
        <v>262</v>
      </c>
    </row>
    <row r="10" spans="1:5" ht="18" customHeight="1">
      <c r="A10" s="2" t="s">
        <v>263</v>
      </c>
    </row>
    <row r="11" spans="1:5" ht="18" customHeight="1">
      <c r="A11" s="2" t="s">
        <v>264</v>
      </c>
    </row>
    <row r="12" spans="1:5" ht="18" customHeight="1">
      <c r="A12" s="2" t="s">
        <v>265</v>
      </c>
    </row>
    <row r="13" spans="1:5" ht="18" customHeight="1">
      <c r="A13" s="2" t="s">
        <v>266</v>
      </c>
    </row>
    <row r="14" spans="1:5" ht="18" customHeight="1">
      <c r="A14" s="2" t="s">
        <v>267</v>
      </c>
    </row>
    <row r="15" spans="1:5" ht="18" customHeight="1">
      <c r="A15" s="2" t="s">
        <v>268</v>
      </c>
    </row>
    <row r="16" spans="1:5" ht="18" customHeight="1">
      <c r="A16" s="4" t="s">
        <v>269</v>
      </c>
    </row>
    <row r="17" spans="1:1" ht="18" customHeight="1">
      <c r="A17" s="4" t="s">
        <v>270</v>
      </c>
    </row>
    <row r="18" spans="1:1" ht="18" customHeight="1">
      <c r="A18" s="4" t="s">
        <v>271</v>
      </c>
    </row>
    <row r="19" spans="1:1" ht="18" customHeight="1">
      <c r="A19" s="4" t="s">
        <v>272</v>
      </c>
    </row>
    <row r="20" spans="1:1" ht="18" customHeight="1">
      <c r="A20" s="4" t="s">
        <v>273</v>
      </c>
    </row>
    <row r="21" spans="1:1" ht="18" customHeight="1">
      <c r="A21" s="4" t="s">
        <v>274</v>
      </c>
    </row>
    <row r="22" spans="1:1" ht="18" customHeight="1">
      <c r="A22" s="4" t="s">
        <v>275</v>
      </c>
    </row>
    <row r="23" spans="1:1" ht="18" customHeight="1">
      <c r="A23" s="4" t="s">
        <v>276</v>
      </c>
    </row>
    <row r="24" spans="1:1" ht="18" customHeight="1">
      <c r="A24" s="4" t="s">
        <v>277</v>
      </c>
    </row>
    <row r="25" spans="1:1" ht="18" customHeight="1">
      <c r="A25" s="4" t="s">
        <v>272</v>
      </c>
    </row>
    <row r="26" spans="1:1" ht="18" customHeight="1">
      <c r="A26" s="4" t="s">
        <v>278</v>
      </c>
    </row>
    <row r="27" spans="1:1" ht="18" customHeight="1">
      <c r="A27" s="4" t="s">
        <v>279</v>
      </c>
    </row>
    <row r="28" spans="1:1" ht="18" customHeight="1">
      <c r="A28" s="4" t="s">
        <v>280</v>
      </c>
    </row>
    <row r="29" spans="1:1" ht="18" customHeight="1">
      <c r="A29" s="4" t="s">
        <v>281</v>
      </c>
    </row>
    <row r="30" spans="1:1" ht="18" customHeight="1">
      <c r="A30" s="4" t="s">
        <v>282</v>
      </c>
    </row>
    <row r="31" spans="1:1" ht="18" customHeight="1">
      <c r="A31" s="4" t="s">
        <v>283</v>
      </c>
    </row>
    <row r="32" spans="1:1" ht="18" customHeight="1">
      <c r="A32" s="4" t="s">
        <v>284</v>
      </c>
    </row>
    <row r="33" spans="1:1" ht="18" customHeight="1">
      <c r="A33" s="4" t="s">
        <v>285</v>
      </c>
    </row>
    <row r="34" spans="1:1" ht="18" customHeight="1">
      <c r="A34" s="4" t="s">
        <v>286</v>
      </c>
    </row>
    <row r="35" spans="1:1" ht="18" customHeight="1">
      <c r="A35" s="4" t="s">
        <v>287</v>
      </c>
    </row>
    <row r="36" spans="1:1" ht="18" customHeight="1">
      <c r="A36" s="4" t="s">
        <v>288</v>
      </c>
    </row>
    <row r="37" spans="1:1" ht="18" customHeight="1">
      <c r="A37" s="4" t="s">
        <v>289</v>
      </c>
    </row>
    <row r="38" spans="1:1" ht="18" customHeight="1">
      <c r="A38" s="4" t="s">
        <v>290</v>
      </c>
    </row>
    <row r="39" spans="1:1" ht="18" customHeight="1">
      <c r="A39" s="4" t="s">
        <v>291</v>
      </c>
    </row>
    <row r="40" spans="1:1" ht="18" customHeight="1">
      <c r="A40" s="4" t="s">
        <v>292</v>
      </c>
    </row>
    <row r="41" spans="1:1" ht="18" customHeight="1">
      <c r="A41" s="4" t="s">
        <v>293</v>
      </c>
    </row>
    <row r="42" spans="1:1" ht="18" customHeight="1">
      <c r="A42" s="4" t="s">
        <v>294</v>
      </c>
    </row>
    <row r="43" spans="1:1" ht="18" customHeight="1">
      <c r="A43" s="4" t="s">
        <v>295</v>
      </c>
    </row>
    <row r="44" spans="1:1" ht="18" customHeight="1">
      <c r="A44" s="4" t="s">
        <v>296</v>
      </c>
    </row>
    <row r="45" spans="1:1" ht="18" customHeight="1">
      <c r="A45" s="4" t="s">
        <v>297</v>
      </c>
    </row>
    <row r="46" spans="1:1" ht="18" customHeight="1">
      <c r="A46" s="4" t="s">
        <v>298</v>
      </c>
    </row>
    <row r="47" spans="1:1" ht="18" customHeight="1">
      <c r="A47" s="4" t="s">
        <v>299</v>
      </c>
    </row>
    <row r="48" spans="1:1" ht="18" customHeight="1">
      <c r="A48" s="4" t="s">
        <v>300</v>
      </c>
    </row>
    <row r="49" spans="1:1" ht="18" customHeight="1">
      <c r="A49" s="4" t="s">
        <v>301</v>
      </c>
    </row>
    <row r="50" spans="1:1" ht="18" customHeight="1">
      <c r="A50" s="4" t="s">
        <v>302</v>
      </c>
    </row>
    <row r="51" spans="1:1" ht="18" customHeight="1">
      <c r="A51" s="4" t="s">
        <v>303</v>
      </c>
    </row>
    <row r="52" spans="1:1" ht="18" customHeight="1">
      <c r="A52" s="4" t="s">
        <v>304</v>
      </c>
    </row>
    <row r="53" spans="1:1" ht="18" customHeight="1">
      <c r="A53" s="4" t="s">
        <v>305</v>
      </c>
    </row>
    <row r="54" spans="1:1" ht="18" customHeight="1">
      <c r="A54" s="4" t="s">
        <v>306</v>
      </c>
    </row>
    <row r="55" spans="1:1" ht="18" customHeight="1">
      <c r="A55" s="4" t="s">
        <v>307</v>
      </c>
    </row>
    <row r="56" spans="1:1" ht="18" customHeight="1">
      <c r="A56" s="4" t="s">
        <v>308</v>
      </c>
    </row>
    <row r="57" spans="1:1" ht="18" customHeight="1">
      <c r="A57" s="4" t="s">
        <v>309</v>
      </c>
    </row>
    <row r="58" spans="1:1" ht="18" customHeight="1">
      <c r="A58" s="4" t="s">
        <v>310</v>
      </c>
    </row>
    <row r="59" spans="1:1" ht="18" customHeight="1">
      <c r="A59" s="4" t="s">
        <v>293</v>
      </c>
    </row>
    <row r="60" spans="1:1" ht="18" customHeight="1">
      <c r="A60" s="4" t="s">
        <v>311</v>
      </c>
    </row>
    <row r="61" spans="1:1" ht="18" customHeight="1">
      <c r="A61" s="4" t="s">
        <v>293</v>
      </c>
    </row>
    <row r="62" spans="1:1" ht="18" customHeight="1">
      <c r="A62" s="4" t="s">
        <v>293</v>
      </c>
    </row>
    <row r="63" spans="1:1" ht="18" customHeight="1">
      <c r="A63" s="4" t="s">
        <v>312</v>
      </c>
    </row>
    <row r="64" spans="1:1" ht="18" customHeight="1">
      <c r="A64" s="4" t="s">
        <v>313</v>
      </c>
    </row>
    <row r="65" spans="1:1" ht="18" customHeight="1">
      <c r="A65" s="4" t="s">
        <v>314</v>
      </c>
    </row>
    <row r="66" spans="1:1" ht="18" customHeight="1">
      <c r="A66" s="4" t="s">
        <v>315</v>
      </c>
    </row>
    <row r="67" spans="1:1" ht="18" customHeight="1">
      <c r="A67" s="4" t="s">
        <v>316</v>
      </c>
    </row>
    <row r="68" spans="1:1" ht="18" customHeight="1">
      <c r="A68" s="4" t="s">
        <v>317</v>
      </c>
    </row>
    <row r="69" spans="1:1" ht="18" customHeight="1">
      <c r="A69" s="4" t="s">
        <v>318</v>
      </c>
    </row>
    <row r="70" spans="1:1" ht="18" customHeight="1">
      <c r="A70" s="4" t="s">
        <v>319</v>
      </c>
    </row>
    <row r="71" spans="1:1" ht="18" customHeight="1">
      <c r="A71" s="4" t="s">
        <v>320</v>
      </c>
    </row>
    <row r="72" spans="1:1" ht="18" customHeight="1">
      <c r="A72" s="4" t="s">
        <v>321</v>
      </c>
    </row>
    <row r="73" spans="1:1" ht="18" customHeight="1">
      <c r="A73" s="4" t="s">
        <v>322</v>
      </c>
    </row>
    <row r="74" spans="1:1" ht="18" customHeight="1">
      <c r="A74" s="4" t="s">
        <v>323</v>
      </c>
    </row>
    <row r="75" spans="1:1" ht="18" customHeight="1">
      <c r="A75" s="4" t="s">
        <v>324</v>
      </c>
    </row>
    <row r="76" spans="1:1" ht="18" customHeight="1">
      <c r="A76" s="4" t="s">
        <v>325</v>
      </c>
    </row>
    <row r="77" spans="1:1" ht="18" customHeight="1">
      <c r="A77" s="4" t="s">
        <v>326</v>
      </c>
    </row>
    <row r="78" spans="1:1" ht="18" customHeight="1">
      <c r="A78" s="4" t="s">
        <v>327</v>
      </c>
    </row>
    <row r="79" spans="1:1" ht="18" customHeight="1">
      <c r="A79" s="4" t="s">
        <v>328</v>
      </c>
    </row>
    <row r="80" spans="1:1" ht="18" customHeight="1">
      <c r="A80" s="4" t="s">
        <v>329</v>
      </c>
    </row>
    <row r="81" spans="1:1" ht="18" customHeight="1">
      <c r="A81" s="4" t="s">
        <v>330</v>
      </c>
    </row>
    <row r="82" spans="1:1" ht="18" customHeight="1">
      <c r="A82" s="4" t="s">
        <v>331</v>
      </c>
    </row>
    <row r="83" spans="1:1" ht="18" customHeight="1">
      <c r="A83" s="4" t="s">
        <v>332</v>
      </c>
    </row>
    <row r="84" spans="1:1" ht="18" customHeight="1">
      <c r="A84" s="4" t="s">
        <v>333</v>
      </c>
    </row>
    <row r="85" spans="1:1" ht="18" customHeight="1">
      <c r="A85" s="4" t="s">
        <v>334</v>
      </c>
    </row>
    <row r="86" spans="1:1" ht="18" customHeight="1">
      <c r="A86" s="4" t="s">
        <v>335</v>
      </c>
    </row>
    <row r="87" spans="1:1" ht="18" customHeight="1">
      <c r="A87" s="4" t="s">
        <v>336</v>
      </c>
    </row>
    <row r="88" spans="1:1" ht="18" customHeight="1">
      <c r="A88" s="4" t="s">
        <v>337</v>
      </c>
    </row>
    <row r="89" spans="1:1" ht="18" customHeight="1">
      <c r="A89" s="4" t="s">
        <v>338</v>
      </c>
    </row>
    <row r="90" spans="1:1" ht="18" customHeight="1">
      <c r="A90" s="4" t="s">
        <v>339</v>
      </c>
    </row>
    <row r="91" spans="1:1" ht="18" customHeight="1">
      <c r="A91" s="4" t="s">
        <v>340</v>
      </c>
    </row>
    <row r="92" spans="1:1" ht="18" customHeight="1">
      <c r="A92" s="4" t="s">
        <v>341</v>
      </c>
    </row>
    <row r="93" spans="1:1" ht="18" customHeight="1">
      <c r="A93" s="4" t="s">
        <v>342</v>
      </c>
    </row>
    <row r="94" spans="1:1" ht="18" customHeight="1">
      <c r="A94" s="4" t="s">
        <v>343</v>
      </c>
    </row>
    <row r="95" spans="1:1" ht="18" customHeight="1">
      <c r="A95" s="4" t="s">
        <v>344</v>
      </c>
    </row>
    <row r="96" spans="1:1" ht="18" customHeight="1">
      <c r="A96" s="4" t="s">
        <v>345</v>
      </c>
    </row>
    <row r="97" spans="1:1" ht="18" customHeight="1">
      <c r="A97" s="4" t="s">
        <v>346</v>
      </c>
    </row>
    <row r="98" spans="1:1" ht="18" customHeight="1">
      <c r="A98" s="4" t="s">
        <v>347</v>
      </c>
    </row>
    <row r="99" spans="1:1" ht="18" customHeight="1">
      <c r="A99" s="4" t="s">
        <v>348</v>
      </c>
    </row>
    <row r="381" spans="1:2">
      <c r="A381">
        <v>1</v>
      </c>
      <c r="B381" t="s">
        <v>349</v>
      </c>
    </row>
    <row r="382" spans="1:2" ht="17.25">
      <c r="A382">
        <v>2</v>
      </c>
      <c r="B382" t="s">
        <v>350</v>
      </c>
    </row>
    <row r="383" spans="1:2" ht="17.25">
      <c r="A383">
        <v>3</v>
      </c>
      <c r="B383" t="s">
        <v>351</v>
      </c>
    </row>
    <row r="384" spans="1:2" ht="17.25">
      <c r="A384">
        <v>4</v>
      </c>
      <c r="B384" t="s">
        <v>352</v>
      </c>
    </row>
    <row r="385" spans="1:2" ht="17.25">
      <c r="A385">
        <v>5</v>
      </c>
      <c r="B385" t="s">
        <v>353</v>
      </c>
    </row>
    <row r="386" spans="1:2" ht="17.25">
      <c r="A386">
        <v>6</v>
      </c>
      <c r="B386" t="s">
        <v>354</v>
      </c>
    </row>
    <row r="387" spans="1:2" ht="17.25">
      <c r="A387">
        <v>7</v>
      </c>
      <c r="B387" t="s">
        <v>355</v>
      </c>
    </row>
    <row r="388" spans="1:2" ht="17.25">
      <c r="A388">
        <v>8</v>
      </c>
      <c r="B388" t="s">
        <v>356</v>
      </c>
    </row>
    <row r="389" spans="1:2" ht="17.25">
      <c r="A389">
        <v>9</v>
      </c>
      <c r="B389" t="s">
        <v>357</v>
      </c>
    </row>
    <row r="390" spans="1:2" ht="17.25">
      <c r="A390">
        <v>10</v>
      </c>
      <c r="B390" t="s">
        <v>358</v>
      </c>
    </row>
    <row r="391" spans="1:2" ht="17.25">
      <c r="A391">
        <v>11</v>
      </c>
      <c r="B391" t="s">
        <v>359</v>
      </c>
    </row>
    <row r="392" spans="1:2" ht="17.25">
      <c r="A392">
        <v>12</v>
      </c>
      <c r="B392" t="s">
        <v>360</v>
      </c>
    </row>
    <row r="393" spans="1:2" ht="17.25">
      <c r="A393">
        <v>13</v>
      </c>
      <c r="B393" t="s">
        <v>361</v>
      </c>
    </row>
    <row r="394" spans="1:2" ht="17.25">
      <c r="A394">
        <v>14</v>
      </c>
      <c r="B394" t="s">
        <v>362</v>
      </c>
    </row>
    <row r="395" spans="1:2" ht="17.25">
      <c r="A395">
        <v>15</v>
      </c>
      <c r="B395" t="s">
        <v>363</v>
      </c>
    </row>
    <row r="396" spans="1:2" ht="17.25">
      <c r="A396">
        <v>16</v>
      </c>
      <c r="B396" t="s">
        <v>364</v>
      </c>
    </row>
    <row r="397" spans="1:2" ht="17.25">
      <c r="A397">
        <v>17</v>
      </c>
      <c r="B397" t="s">
        <v>365</v>
      </c>
    </row>
    <row r="398" spans="1:2" ht="17.25">
      <c r="A398">
        <v>18</v>
      </c>
      <c r="B398" t="s">
        <v>366</v>
      </c>
    </row>
    <row r="399" spans="1:2" ht="17.25">
      <c r="A399">
        <v>19</v>
      </c>
      <c r="B399" t="s">
        <v>367</v>
      </c>
    </row>
    <row r="400" spans="1:2" ht="17.25">
      <c r="A400">
        <v>20</v>
      </c>
      <c r="B400" t="s">
        <v>368</v>
      </c>
    </row>
    <row r="401" spans="1:2" ht="17.25">
      <c r="A401">
        <v>21</v>
      </c>
      <c r="B401" t="s">
        <v>369</v>
      </c>
    </row>
    <row r="402" spans="1:2" ht="17.25">
      <c r="A402">
        <v>22</v>
      </c>
      <c r="B402" t="s">
        <v>370</v>
      </c>
    </row>
    <row r="403" spans="1:2" ht="17.25">
      <c r="A403">
        <v>23</v>
      </c>
      <c r="B403" t="s">
        <v>371</v>
      </c>
    </row>
    <row r="404" spans="1:2" ht="17.25">
      <c r="A404">
        <v>24</v>
      </c>
      <c r="B404" t="s">
        <v>372</v>
      </c>
    </row>
    <row r="405" spans="1:2" ht="17.25">
      <c r="A405">
        <v>25</v>
      </c>
      <c r="B405" t="s">
        <v>373</v>
      </c>
    </row>
    <row r="406" spans="1:2" ht="17.25">
      <c r="A406">
        <v>26</v>
      </c>
      <c r="B406" t="s">
        <v>374</v>
      </c>
    </row>
    <row r="407" spans="1:2" ht="17.25">
      <c r="A407">
        <v>27</v>
      </c>
      <c r="B407" t="s">
        <v>375</v>
      </c>
    </row>
    <row r="408" spans="1:2" ht="17.25">
      <c r="A408">
        <v>28</v>
      </c>
      <c r="B408" t="s">
        <v>376</v>
      </c>
    </row>
    <row r="409" spans="1:2" ht="17.25">
      <c r="A409">
        <v>29</v>
      </c>
      <c r="B409" t="s">
        <v>377</v>
      </c>
    </row>
    <row r="410" spans="1:2" ht="17.25">
      <c r="A410">
        <v>30</v>
      </c>
      <c r="B410" t="s">
        <v>378</v>
      </c>
    </row>
    <row r="411" spans="1:2" ht="17.25">
      <c r="A411">
        <v>31</v>
      </c>
      <c r="B411" t="s">
        <v>379</v>
      </c>
    </row>
    <row r="412" spans="1:2" ht="17.25">
      <c r="A412">
        <v>32</v>
      </c>
      <c r="B412" t="s">
        <v>380</v>
      </c>
    </row>
    <row r="413" spans="1:2" ht="17.25">
      <c r="A413">
        <v>33</v>
      </c>
      <c r="B413" t="s">
        <v>381</v>
      </c>
    </row>
    <row r="414" spans="1:2" ht="17.25">
      <c r="A414">
        <v>34</v>
      </c>
      <c r="B414" t="s">
        <v>382</v>
      </c>
    </row>
    <row r="415" spans="1:2" ht="17.25">
      <c r="A415">
        <v>35</v>
      </c>
      <c r="B415" t="s">
        <v>383</v>
      </c>
    </row>
    <row r="416" spans="1:2" ht="17.25">
      <c r="A416">
        <v>36</v>
      </c>
      <c r="B416" t="s">
        <v>384</v>
      </c>
    </row>
    <row r="417" spans="1:2" ht="17.25">
      <c r="A417">
        <v>37</v>
      </c>
      <c r="B417" t="s">
        <v>385</v>
      </c>
    </row>
    <row r="418" spans="1:2" ht="17.25">
      <c r="A418">
        <v>38</v>
      </c>
      <c r="B418" t="s">
        <v>386</v>
      </c>
    </row>
    <row r="419" spans="1:2" ht="17.25">
      <c r="A419">
        <v>39</v>
      </c>
      <c r="B419" t="s">
        <v>387</v>
      </c>
    </row>
    <row r="420" spans="1:2" ht="17.25">
      <c r="A420">
        <v>40</v>
      </c>
      <c r="B420" t="s">
        <v>388</v>
      </c>
    </row>
    <row r="421" spans="1:2" ht="17.25">
      <c r="A421">
        <v>41</v>
      </c>
      <c r="B421" t="s">
        <v>389</v>
      </c>
    </row>
    <row r="422" spans="1:2" ht="17.25">
      <c r="A422">
        <v>42</v>
      </c>
      <c r="B422" t="s">
        <v>390</v>
      </c>
    </row>
    <row r="423" spans="1:2" ht="17.25">
      <c r="A423">
        <v>43</v>
      </c>
      <c r="B423" t="s">
        <v>391</v>
      </c>
    </row>
    <row r="424" spans="1:2" ht="17.25">
      <c r="A424">
        <v>44</v>
      </c>
      <c r="B424" t="s">
        <v>392</v>
      </c>
    </row>
    <row r="425" spans="1:2" ht="17.25">
      <c r="A425">
        <v>45</v>
      </c>
      <c r="B425" t="s">
        <v>393</v>
      </c>
    </row>
    <row r="426" spans="1:2" ht="17.25">
      <c r="A426">
        <v>46</v>
      </c>
      <c r="B426" t="s">
        <v>394</v>
      </c>
    </row>
    <row r="427" spans="1:2" ht="17.25">
      <c r="A427">
        <v>47</v>
      </c>
      <c r="B427" t="s">
        <v>395</v>
      </c>
    </row>
    <row r="428" spans="1:2" ht="17.25">
      <c r="A428">
        <v>48</v>
      </c>
      <c r="B428" t="s">
        <v>396</v>
      </c>
    </row>
    <row r="429" spans="1:2" ht="17.25">
      <c r="A429">
        <v>49</v>
      </c>
      <c r="B429" t="s">
        <v>397</v>
      </c>
    </row>
    <row r="430" spans="1:2" ht="17.25">
      <c r="A430">
        <v>50</v>
      </c>
      <c r="B430" t="s">
        <v>398</v>
      </c>
    </row>
    <row r="431" spans="1:2" ht="17.25">
      <c r="A431">
        <v>51</v>
      </c>
      <c r="B431" t="s">
        <v>399</v>
      </c>
    </row>
    <row r="432" spans="1:2" ht="17.25">
      <c r="A432">
        <v>52</v>
      </c>
      <c r="B432" t="s">
        <v>400</v>
      </c>
    </row>
    <row r="433" spans="1:2" ht="17.25">
      <c r="A433">
        <v>53</v>
      </c>
      <c r="B433" t="s">
        <v>401</v>
      </c>
    </row>
    <row r="434" spans="1:2" ht="17.25">
      <c r="A434">
        <v>54</v>
      </c>
      <c r="B434" t="s">
        <v>402</v>
      </c>
    </row>
    <row r="435" spans="1:2" ht="17.25">
      <c r="A435">
        <v>55</v>
      </c>
      <c r="B435" t="s">
        <v>403</v>
      </c>
    </row>
    <row r="436" spans="1:2" ht="17.25">
      <c r="A436">
        <v>56</v>
      </c>
      <c r="B436" t="s">
        <v>404</v>
      </c>
    </row>
    <row r="437" spans="1:2" ht="17.25">
      <c r="A437">
        <v>57</v>
      </c>
      <c r="B437" t="s">
        <v>405</v>
      </c>
    </row>
    <row r="438" spans="1:2" ht="17.25">
      <c r="A438">
        <v>58</v>
      </c>
      <c r="B438" t="s">
        <v>406</v>
      </c>
    </row>
    <row r="439" spans="1:2" ht="17.25">
      <c r="A439">
        <v>59</v>
      </c>
      <c r="B439" t="s">
        <v>407</v>
      </c>
    </row>
    <row r="440" spans="1:2" ht="17.25">
      <c r="A440">
        <v>60</v>
      </c>
      <c r="B440" t="s">
        <v>408</v>
      </c>
    </row>
    <row r="441" spans="1:2" ht="17.25">
      <c r="A441">
        <v>61</v>
      </c>
      <c r="B441" t="s">
        <v>409</v>
      </c>
    </row>
    <row r="442" spans="1:2" ht="17.25">
      <c r="A442">
        <v>62</v>
      </c>
      <c r="B442" t="s">
        <v>410</v>
      </c>
    </row>
    <row r="443" spans="1:2" ht="17.25">
      <c r="A443">
        <v>63</v>
      </c>
      <c r="B443" t="s">
        <v>411</v>
      </c>
    </row>
    <row r="444" spans="1:2" ht="17.25">
      <c r="A444">
        <v>64</v>
      </c>
      <c r="B444" t="s">
        <v>412</v>
      </c>
    </row>
    <row r="445" spans="1:2" ht="17.25">
      <c r="A445">
        <v>65</v>
      </c>
      <c r="B445" t="s">
        <v>413</v>
      </c>
    </row>
    <row r="446" spans="1:2" ht="17.25">
      <c r="A446">
        <v>66</v>
      </c>
      <c r="B446" t="s">
        <v>414</v>
      </c>
    </row>
    <row r="447" spans="1:2" ht="17.25">
      <c r="A447">
        <v>67</v>
      </c>
      <c r="B447" t="s">
        <v>415</v>
      </c>
    </row>
    <row r="448" spans="1:2" ht="17.25">
      <c r="A448">
        <v>68</v>
      </c>
      <c r="B448" t="s">
        <v>416</v>
      </c>
    </row>
    <row r="449" spans="1:2" ht="17.25">
      <c r="A449">
        <v>69</v>
      </c>
      <c r="B449" t="s">
        <v>417</v>
      </c>
    </row>
    <row r="450" spans="1:2" ht="17.25">
      <c r="A450">
        <v>70</v>
      </c>
      <c r="B450" t="s">
        <v>418</v>
      </c>
    </row>
    <row r="451" spans="1:2" ht="17.25">
      <c r="A451">
        <v>71</v>
      </c>
      <c r="B451" t="s">
        <v>419</v>
      </c>
    </row>
    <row r="452" spans="1:2" ht="17.25">
      <c r="A452">
        <v>72</v>
      </c>
      <c r="B452" t="s">
        <v>420</v>
      </c>
    </row>
    <row r="453" spans="1:2" ht="17.25">
      <c r="A453">
        <v>73</v>
      </c>
      <c r="B453" t="s">
        <v>421</v>
      </c>
    </row>
    <row r="454" spans="1:2" ht="17.25">
      <c r="A454">
        <v>74</v>
      </c>
      <c r="B454" t="s">
        <v>422</v>
      </c>
    </row>
    <row r="455" spans="1:2" ht="17.25">
      <c r="A455">
        <v>75</v>
      </c>
      <c r="B455" t="s">
        <v>423</v>
      </c>
    </row>
    <row r="456" spans="1:2" ht="17.25">
      <c r="A456">
        <v>76</v>
      </c>
      <c r="B456" t="s">
        <v>424</v>
      </c>
    </row>
    <row r="457" spans="1:2" ht="17.25">
      <c r="A457">
        <v>77</v>
      </c>
      <c r="B457" t="s">
        <v>425</v>
      </c>
    </row>
    <row r="458" spans="1:2" ht="17.25">
      <c r="A458">
        <v>78</v>
      </c>
      <c r="B458" t="s">
        <v>426</v>
      </c>
    </row>
    <row r="459" spans="1:2" ht="17.25">
      <c r="A459">
        <v>79</v>
      </c>
      <c r="B459" t="s">
        <v>427</v>
      </c>
    </row>
    <row r="460" spans="1:2" ht="17.25">
      <c r="A460">
        <v>80</v>
      </c>
      <c r="B460" t="s">
        <v>428</v>
      </c>
    </row>
    <row r="461" spans="1:2" ht="17.25">
      <c r="A461">
        <v>81</v>
      </c>
      <c r="B461" t="s">
        <v>429</v>
      </c>
    </row>
    <row r="462" spans="1:2" ht="17.25">
      <c r="A462">
        <v>82</v>
      </c>
      <c r="B462" t="s">
        <v>430</v>
      </c>
    </row>
    <row r="463" spans="1:2" ht="17.25">
      <c r="A463">
        <v>83</v>
      </c>
      <c r="B463" t="s">
        <v>431</v>
      </c>
    </row>
    <row r="464" spans="1:2" ht="17.25">
      <c r="A464">
        <v>84</v>
      </c>
      <c r="B464" t="s">
        <v>432</v>
      </c>
    </row>
    <row r="465" spans="1:2" ht="17.25">
      <c r="A465">
        <v>85</v>
      </c>
      <c r="B465" t="s">
        <v>433</v>
      </c>
    </row>
    <row r="466" spans="1:2" ht="17.25">
      <c r="A466">
        <v>86</v>
      </c>
      <c r="B466" t="s">
        <v>434</v>
      </c>
    </row>
    <row r="467" spans="1:2" ht="17.25">
      <c r="A467">
        <v>87</v>
      </c>
      <c r="B467" t="s">
        <v>435</v>
      </c>
    </row>
    <row r="468" spans="1:2" ht="17.25">
      <c r="A468">
        <v>88</v>
      </c>
      <c r="B468" t="s">
        <v>436</v>
      </c>
    </row>
    <row r="469" spans="1:2" ht="17.25">
      <c r="A469">
        <v>89</v>
      </c>
      <c r="B469" t="s">
        <v>437</v>
      </c>
    </row>
    <row r="470" spans="1:2" ht="17.25">
      <c r="A470">
        <v>90</v>
      </c>
      <c r="B470" t="s">
        <v>438</v>
      </c>
    </row>
    <row r="471" spans="1:2" ht="17.25">
      <c r="A471">
        <v>91</v>
      </c>
      <c r="B471" t="s">
        <v>439</v>
      </c>
    </row>
    <row r="472" spans="1:2" ht="17.25">
      <c r="A472">
        <v>92</v>
      </c>
      <c r="B472" t="s">
        <v>440</v>
      </c>
    </row>
    <row r="473" spans="1:2" ht="17.25">
      <c r="A473">
        <v>93</v>
      </c>
      <c r="B473" t="s">
        <v>441</v>
      </c>
    </row>
    <row r="474" spans="1:2" ht="17.25">
      <c r="A474">
        <v>94</v>
      </c>
      <c r="B474" t="s">
        <v>442</v>
      </c>
    </row>
    <row r="475" spans="1:2" ht="17.25">
      <c r="A475">
        <v>95</v>
      </c>
      <c r="B475" t="s">
        <v>443</v>
      </c>
    </row>
    <row r="476" spans="1:2" ht="17.25">
      <c r="A476">
        <v>96</v>
      </c>
      <c r="B476" t="s">
        <v>444</v>
      </c>
    </row>
    <row r="477" spans="1:2" ht="17.25">
      <c r="A477">
        <v>97</v>
      </c>
      <c r="B477" t="s">
        <v>445</v>
      </c>
    </row>
    <row r="478" spans="1:2" ht="17.25">
      <c r="A478">
        <v>98</v>
      </c>
      <c r="B478" t="s">
        <v>446</v>
      </c>
    </row>
    <row r="479" spans="1:2" ht="17.25">
      <c r="A479">
        <v>99</v>
      </c>
      <c r="B479" t="s">
        <v>447</v>
      </c>
    </row>
    <row r="480" spans="1:2" ht="17.25">
      <c r="A480">
        <v>100</v>
      </c>
      <c r="B480" t="s">
        <v>448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TECH 1</vt:lpstr>
      <vt:lpstr>REPORT CARD</vt:lpstr>
      <vt:lpstr>Sheet1</vt:lpstr>
      <vt:lpstr>'REPORT CARD'!Print_Area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Oluwatola Akindipe</cp:lastModifiedBy>
  <cp:lastPrinted>2023-11-14T11:47:00Z</cp:lastPrinted>
  <dcterms:created xsi:type="dcterms:W3CDTF">2021-08-02T10:58:00Z</dcterms:created>
  <dcterms:modified xsi:type="dcterms:W3CDTF">2025-06-27T08:55:38Z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30F1786908F245948DA29D21F290BD9E_13</vt:lpwstr>
  </property>
  <property fmtid="{D5CDD505-2E9C-101B-9397-08002B2CF9AE}" pid="3" name="KSOProductBuildVer">
    <vt:lpwstr>1033-12.2.0.20326</vt:lpwstr>
  </property>
</Properties>
</file>